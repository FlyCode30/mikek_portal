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F:\my_toolbox\projects\career\portfolio_main\assets\docs\"/>
    </mc:Choice>
  </mc:AlternateContent>
  <xr:revisionPtr revIDLastSave="0" documentId="13_ncr:1_{7C734D08-44A5-46B4-9F3C-85DE41070A87}" xr6:coauthVersionLast="47" xr6:coauthVersionMax="47" xr10:uidLastSave="{00000000-0000-0000-0000-000000000000}"/>
  <bookViews>
    <workbookView xWindow="-120" yWindow="-120" windowWidth="38640" windowHeight="21120" activeTab="1" xr2:uid="{00000000-000D-0000-FFFF-FFFF00000000}"/>
  </bookViews>
  <sheets>
    <sheet name="Sheet1" sheetId="5" r:id="rId1"/>
    <sheet name="WBS Task List" sheetId="4" r:id="rId2"/>
    <sheet name="Gantt Chart for WBS" sheetId="1" r:id="rId3"/>
    <sheet name="Sheet2" sheetId="6" r:id="rId4"/>
    <sheet name="Sheet3" sheetId="7" r:id="rId5"/>
  </sheets>
  <definedNames>
    <definedName name="current_date">'WBS Task List'!$I$9</definedName>
    <definedName name="Slicer_Column1">#N/A</definedName>
    <definedName name="Slicer_Column3">#N/A</definedName>
    <definedName name="Slicer_Column4">#N/A</definedName>
    <definedName name="Slicer_Level_1">#N/A</definedName>
    <definedName name="Slicer_Level_2">#N/A</definedName>
    <definedName name="Slicer_Level_3">#N/A</definedName>
    <definedName name="start_date">'WBS Task List'!$C$9</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5" i="4" l="1"/>
  <c r="H37" i="1"/>
  <c r="I37" i="1"/>
  <c r="H38" i="1"/>
  <c r="I38" i="1"/>
  <c r="H39" i="1"/>
  <c r="H41" i="1"/>
  <c r="I41" i="1"/>
  <c r="H42" i="1"/>
  <c r="I42" i="1"/>
  <c r="H44" i="1"/>
  <c r="I44" i="1"/>
  <c r="H45" i="1"/>
  <c r="I45" i="1"/>
  <c r="H47" i="1"/>
  <c r="I47" i="1"/>
  <c r="H48" i="1"/>
  <c r="H50" i="1"/>
  <c r="I50" i="1"/>
  <c r="H51" i="1"/>
  <c r="I51" i="1"/>
  <c r="H52" i="1"/>
  <c r="I52" i="1"/>
  <c r="H54" i="1"/>
  <c r="I54" i="1"/>
  <c r="H55" i="1"/>
  <c r="I55" i="1"/>
  <c r="H56" i="1"/>
  <c r="I56" i="1"/>
  <c r="H58" i="1"/>
  <c r="I58" i="1"/>
  <c r="H59" i="1"/>
  <c r="I59" i="1"/>
  <c r="H60" i="1"/>
  <c r="I60" i="1"/>
  <c r="H61" i="1"/>
  <c r="H63" i="1"/>
  <c r="I63" i="1"/>
  <c r="H64" i="1"/>
  <c r="I64" i="1"/>
  <c r="H66" i="1"/>
  <c r="I66" i="1"/>
  <c r="H67" i="1"/>
  <c r="I67" i="1"/>
  <c r="H69" i="1"/>
  <c r="I69" i="1"/>
  <c r="H70" i="1"/>
  <c r="I70" i="1"/>
  <c r="J65" i="4"/>
  <c r="I62" i="1" s="1"/>
  <c r="J60" i="4"/>
  <c r="I57" i="1" s="1"/>
  <c r="J56" i="4"/>
  <c r="I53" i="1" s="1"/>
  <c r="J52" i="4"/>
  <c r="I49" i="1" s="1"/>
  <c r="J34" i="4"/>
  <c r="J30" i="4"/>
  <c r="J26" i="4"/>
  <c r="M41" i="4" l="1"/>
  <c r="M71" i="4"/>
  <c r="M67" i="4"/>
  <c r="J73" i="4"/>
  <c r="I68" i="1" s="1"/>
  <c r="J69" i="4"/>
  <c r="I65" i="1" s="1"/>
  <c r="J39" i="4"/>
  <c r="I40" i="1" s="1"/>
  <c r="J43" i="4"/>
  <c r="I43" i="1" s="1"/>
  <c r="H36" i="1"/>
  <c r="I36" i="1"/>
  <c r="H73" i="4"/>
  <c r="H68" i="1" s="1"/>
  <c r="H65" i="4"/>
  <c r="H62" i="1" s="1"/>
  <c r="H69" i="4"/>
  <c r="H65" i="1" s="1"/>
  <c r="H60" i="4"/>
  <c r="H57" i="1" s="1"/>
  <c r="H52" i="4"/>
  <c r="H49" i="1" s="1"/>
  <c r="H56" i="4"/>
  <c r="H53" i="1" s="1"/>
  <c r="H47" i="4"/>
  <c r="H46" i="1" s="1"/>
  <c r="H39" i="4"/>
  <c r="H40" i="1" s="1"/>
  <c r="H43" i="4"/>
  <c r="H34" i="4"/>
  <c r="H35" i="1" s="1"/>
  <c r="H26" i="4"/>
  <c r="H30" i="4"/>
  <c r="H21" i="4"/>
  <c r="H22" i="1" s="1"/>
  <c r="H13" i="4"/>
  <c r="H17" i="4"/>
  <c r="I15" i="1"/>
  <c r="I16" i="1"/>
  <c r="I17" i="1"/>
  <c r="I19" i="1"/>
  <c r="I20" i="1"/>
  <c r="I21" i="1"/>
  <c r="I23" i="1"/>
  <c r="I24" i="1"/>
  <c r="I25" i="1"/>
  <c r="I28" i="1"/>
  <c r="I30" i="1"/>
  <c r="I32" i="1"/>
  <c r="I35" i="1"/>
  <c r="H13" i="1"/>
  <c r="H15" i="1"/>
  <c r="H16" i="1"/>
  <c r="H17" i="1"/>
  <c r="H19" i="1"/>
  <c r="H20" i="1"/>
  <c r="H21" i="1"/>
  <c r="H23" i="1"/>
  <c r="H24" i="1"/>
  <c r="H25" i="1"/>
  <c r="H26" i="1"/>
  <c r="H28" i="1"/>
  <c r="H30" i="1"/>
  <c r="H32" i="1"/>
  <c r="H33" i="1"/>
  <c r="H12" i="1"/>
  <c r="F11" i="4"/>
  <c r="F12" i="4"/>
  <c r="J17" i="4"/>
  <c r="F13" i="4"/>
  <c r="J13" i="4"/>
  <c r="J21" i="4"/>
  <c r="I31" i="1"/>
  <c r="J47" i="4"/>
  <c r="I46" i="1" s="1"/>
  <c r="M14" i="4" l="1"/>
  <c r="F14" i="1"/>
  <c r="M13" i="4"/>
  <c r="L13" i="4" s="1"/>
  <c r="F13" i="1"/>
  <c r="F12" i="1"/>
  <c r="H31" i="1"/>
  <c r="H34" i="1"/>
  <c r="H43" i="1"/>
  <c r="I18" i="1"/>
  <c r="H18" i="1"/>
  <c r="H29" i="1"/>
  <c r="I27" i="1"/>
  <c r="H27" i="1"/>
  <c r="I29" i="1"/>
  <c r="I14" i="1"/>
  <c r="H14" i="1"/>
  <c r="F17" i="4"/>
  <c r="F21" i="4"/>
  <c r="G13" i="4"/>
  <c r="G14" i="1" s="1"/>
  <c r="I22" i="1"/>
  <c r="M21" i="4" l="1"/>
  <c r="L21" i="4" s="1"/>
  <c r="M18" i="4"/>
  <c r="M15" i="4"/>
  <c r="F18" i="1"/>
  <c r="M17" i="4"/>
  <c r="L17" i="4" s="1"/>
  <c r="F15" i="1"/>
  <c r="F22" i="1"/>
  <c r="G17" i="4"/>
  <c r="G18" i="1" s="1"/>
  <c r="G21" i="4"/>
  <c r="G22" i="1" s="1"/>
  <c r="G15" i="1"/>
  <c r="M16" i="4" l="1"/>
  <c r="M19" i="4"/>
  <c r="M22" i="4"/>
  <c r="F20" i="1"/>
  <c r="F19" i="1"/>
  <c r="F23" i="1"/>
  <c r="F16" i="1"/>
  <c r="G19" i="1"/>
  <c r="G23" i="1"/>
  <c r="G16" i="1"/>
  <c r="M23" i="4" l="1"/>
  <c r="M20" i="4"/>
  <c r="F21" i="1"/>
  <c r="F24" i="1"/>
  <c r="G24" i="1"/>
  <c r="G20" i="1"/>
  <c r="M24" i="4" l="1"/>
  <c r="F25" i="1"/>
  <c r="G17" i="1"/>
  <c r="F17" i="1"/>
  <c r="G25" i="1"/>
  <c r="G21" i="1"/>
  <c r="G12" i="4" l="1"/>
  <c r="G13" i="1" s="1"/>
  <c r="F25" i="4" l="1"/>
  <c r="F34" i="4" s="1"/>
  <c r="J12" i="4"/>
  <c r="M12" i="4" s="1"/>
  <c r="L12" i="4" s="1"/>
  <c r="I13" i="1"/>
  <c r="F30" i="4" l="1"/>
  <c r="M30" i="4" s="1"/>
  <c r="L30" i="4" s="1"/>
  <c r="F26" i="4"/>
  <c r="M26" i="4"/>
  <c r="M34" i="4"/>
  <c r="L34" i="4" s="1"/>
  <c r="F26" i="1"/>
  <c r="F31" i="1"/>
  <c r="F35" i="1"/>
  <c r="F27" i="1"/>
  <c r="G34" i="4"/>
  <c r="G30" i="4"/>
  <c r="G26" i="4"/>
  <c r="G27" i="1" s="1"/>
  <c r="L26" i="4"/>
  <c r="M35" i="4" l="1"/>
  <c r="M27" i="4"/>
  <c r="M31" i="4"/>
  <c r="F33" i="1"/>
  <c r="F28" i="1"/>
  <c r="F36" i="1"/>
  <c r="F32" i="1"/>
  <c r="F37" i="1"/>
  <c r="F29" i="1"/>
  <c r="G31" i="1"/>
  <c r="G32" i="1"/>
  <c r="G28" i="1"/>
  <c r="M32" i="4" l="1"/>
  <c r="M28" i="4"/>
  <c r="M36" i="4"/>
  <c r="F34" i="1"/>
  <c r="G37" i="1"/>
  <c r="M37" i="4" l="1"/>
  <c r="G29" i="1"/>
  <c r="M33" i="4"/>
  <c r="F30" i="1"/>
  <c r="G38" i="1"/>
  <c r="F38" i="1"/>
  <c r="M29" i="4" l="1"/>
  <c r="G25" i="4"/>
  <c r="J25" i="4" s="1"/>
  <c r="M25" i="4" s="1"/>
  <c r="G30" i="1"/>
  <c r="F38" i="4"/>
  <c r="G26" i="1"/>
  <c r="F39" i="1" l="1"/>
  <c r="F43" i="4"/>
  <c r="F39" i="4"/>
  <c r="F47" i="4"/>
  <c r="I26" i="1"/>
  <c r="L25" i="4"/>
  <c r="I34" i="1"/>
  <c r="M49" i="4" l="1"/>
  <c r="G43" i="4"/>
  <c r="G43" i="1" s="1"/>
  <c r="M48" i="4"/>
  <c r="M44" i="4"/>
  <c r="M50" i="4"/>
  <c r="M40" i="4"/>
  <c r="M45" i="4"/>
  <c r="F46" i="1"/>
  <c r="M47" i="4"/>
  <c r="L47" i="4" s="1"/>
  <c r="F40" i="1"/>
  <c r="M39" i="4"/>
  <c r="L39" i="4" s="1"/>
  <c r="F43" i="1"/>
  <c r="M43" i="4"/>
  <c r="L43" i="4" s="1"/>
  <c r="G39" i="4"/>
  <c r="G40" i="1" s="1"/>
  <c r="G47" i="4"/>
  <c r="G46" i="1" s="1"/>
  <c r="G34" i="1"/>
  <c r="M46" i="4" l="1"/>
  <c r="M42" i="4"/>
  <c r="F44" i="1"/>
  <c r="F47" i="1"/>
  <c r="F41" i="1"/>
  <c r="G47" i="1"/>
  <c r="G41" i="1"/>
  <c r="G44" i="1"/>
  <c r="G35" i="1" l="1"/>
  <c r="F42" i="1" l="1"/>
  <c r="F45" i="1"/>
  <c r="G45" i="1"/>
  <c r="G36" i="1" l="1"/>
  <c r="G42" i="1"/>
  <c r="G38" i="4"/>
  <c r="G39" i="1" s="1"/>
  <c r="J38" i="4" l="1"/>
  <c r="F51" i="4"/>
  <c r="G33" i="1"/>
  <c r="F48" i="1" l="1"/>
  <c r="I39" i="1"/>
  <c r="M38" i="4"/>
  <c r="L38" i="4" s="1"/>
  <c r="F52" i="4"/>
  <c r="F56" i="4"/>
  <c r="F60" i="4"/>
  <c r="I33" i="1"/>
  <c r="M53" i="4" l="1"/>
  <c r="M57" i="4"/>
  <c r="M61" i="4"/>
  <c r="F57" i="1"/>
  <c r="M60" i="4"/>
  <c r="L60" i="4" s="1"/>
  <c r="F49" i="1"/>
  <c r="M52" i="4"/>
  <c r="L52" i="4" s="1"/>
  <c r="F53" i="1"/>
  <c r="M56" i="4"/>
  <c r="L56" i="4" s="1"/>
  <c r="G60" i="4"/>
  <c r="G57" i="1" s="1"/>
  <c r="G56" i="4"/>
  <c r="G53" i="1" s="1"/>
  <c r="G52" i="4"/>
  <c r="G49" i="1" s="1"/>
  <c r="M62" i="4" l="1"/>
  <c r="M58" i="4"/>
  <c r="M54" i="4"/>
  <c r="F54" i="1"/>
  <c r="F58" i="1"/>
  <c r="F50" i="1"/>
  <c r="G50" i="1"/>
  <c r="M55" i="4" l="1"/>
  <c r="M59" i="4"/>
  <c r="M63" i="4"/>
  <c r="G54" i="1"/>
  <c r="G58" i="1"/>
  <c r="F59" i="1" l="1"/>
  <c r="F51" i="1"/>
  <c r="F55" i="1"/>
  <c r="G55" i="1"/>
  <c r="G59" i="1"/>
  <c r="G56" i="1"/>
  <c r="G60" i="1"/>
  <c r="F56" i="1" l="1"/>
  <c r="F60" i="1"/>
  <c r="G51" i="1"/>
  <c r="F52" i="1" l="1"/>
  <c r="G51" i="4" l="1"/>
  <c r="G52" i="1"/>
  <c r="G48" i="1" l="1"/>
  <c r="J51" i="4"/>
  <c r="M51" i="4" s="1"/>
  <c r="F64" i="4"/>
  <c r="F61" i="1" l="1"/>
  <c r="F73" i="4"/>
  <c r="F65" i="4"/>
  <c r="F69" i="4"/>
  <c r="I48" i="1"/>
  <c r="L51" i="4"/>
  <c r="M69" i="4" l="1"/>
  <c r="M65" i="4"/>
  <c r="M73" i="4"/>
  <c r="F65" i="1"/>
  <c r="G69" i="4"/>
  <c r="G65" i="1" s="1"/>
  <c r="L69" i="4"/>
  <c r="F62" i="1"/>
  <c r="G65" i="4"/>
  <c r="G62" i="1" s="1"/>
  <c r="L65" i="4"/>
  <c r="F68" i="1"/>
  <c r="L73" i="4"/>
  <c r="G73" i="4"/>
  <c r="G68" i="1" s="1"/>
  <c r="M74" i="4" l="1"/>
  <c r="M70" i="4"/>
  <c r="M66" i="4"/>
  <c r="F69" i="1"/>
  <c r="F66" i="1"/>
  <c r="F63" i="1"/>
  <c r="M68" i="4" l="1"/>
  <c r="M72" i="4"/>
  <c r="M76" i="4"/>
  <c r="G66" i="1"/>
  <c r="G63" i="1"/>
  <c r="G69" i="1"/>
  <c r="F67" i="1" l="1"/>
  <c r="F64" i="1"/>
  <c r="F70" i="1"/>
  <c r="G70" i="1"/>
  <c r="G64" i="1" l="1"/>
  <c r="G67" i="1"/>
  <c r="G64" i="4"/>
  <c r="G61" i="1" l="1"/>
  <c r="J64" i="4"/>
  <c r="M64" i="4" s="1"/>
  <c r="G11" i="4"/>
  <c r="J11" i="4" l="1"/>
  <c r="M11" i="4" s="1"/>
  <c r="G12" i="1"/>
  <c r="AD2" i="1" s="1"/>
  <c r="B8" i="1" s="1"/>
  <c r="I61" i="1"/>
  <c r="L64" i="4"/>
  <c r="L11" i="4" l="1"/>
  <c r="I12" i="1"/>
</calcChain>
</file>

<file path=xl/sharedStrings.xml><?xml version="1.0" encoding="utf-8"?>
<sst xmlns="http://schemas.openxmlformats.org/spreadsheetml/2006/main" count="520" uniqueCount="156">
  <si>
    <t>START DATE</t>
  </si>
  <si>
    <t>END DATE</t>
  </si>
  <si>
    <t>DESCRIPTION</t>
  </si>
  <si>
    <t>DURATION
(Days)</t>
  </si>
  <si>
    <t>Complete Project</t>
  </si>
  <si>
    <t>Complete Requirements</t>
  </si>
  <si>
    <t>Task ID</t>
  </si>
  <si>
    <t>1.1.1</t>
  </si>
  <si>
    <t>1.1.1.1</t>
  </si>
  <si>
    <t>1.1.1.2</t>
  </si>
  <si>
    <t>1.1.1.3</t>
  </si>
  <si>
    <t>1.1.2</t>
  </si>
  <si>
    <t>1.1.2.1</t>
  </si>
  <si>
    <t>1.1.2.2</t>
  </si>
  <si>
    <t>1.1.2.3</t>
  </si>
  <si>
    <t>1.1.3</t>
  </si>
  <si>
    <t>1.1.3.1</t>
  </si>
  <si>
    <t>1.1.3.2</t>
  </si>
  <si>
    <t>1.1.3.3</t>
  </si>
  <si>
    <t>1.2.1</t>
  </si>
  <si>
    <t>1.2.1.1</t>
  </si>
  <si>
    <t>1.2.2</t>
  </si>
  <si>
    <t>1.2.2.1</t>
  </si>
  <si>
    <t>1.2.3</t>
  </si>
  <si>
    <t>1.2.3.1</t>
  </si>
  <si>
    <t>1.3.1</t>
  </si>
  <si>
    <t>1.3.1.1</t>
  </si>
  <si>
    <t>1.3.2</t>
  </si>
  <si>
    <t>1.3.2.1</t>
  </si>
  <si>
    <t>1.3.3</t>
  </si>
  <si>
    <t>1.3.3.1</t>
  </si>
  <si>
    <t>1.4.1</t>
  </si>
  <si>
    <t>1.4.1.1</t>
  </si>
  <si>
    <t>1.4.2</t>
  </si>
  <si>
    <t>1.4.3</t>
  </si>
  <si>
    <t>1.4.3.1</t>
  </si>
  <si>
    <t>1.5.1</t>
  </si>
  <si>
    <t>1.5.2</t>
  </si>
  <si>
    <t>1.5.2.1</t>
  </si>
  <si>
    <t>1.5.3</t>
  </si>
  <si>
    <t>1.5.3.1</t>
  </si>
  <si>
    <t>Final Project: Gantt Chart</t>
  </si>
  <si>
    <t>Deliverable: User Guides, training materials, tutorials</t>
  </si>
  <si>
    <t>Deliverable: Mainenance Request System</t>
  </si>
  <si>
    <t>Deliverable: Accounting and Analytical Tools</t>
  </si>
  <si>
    <t>Deployment Phase</t>
  </si>
  <si>
    <t>Implementation Phase</t>
  </si>
  <si>
    <t>Design Phase</t>
  </si>
  <si>
    <t>Planning Phase</t>
  </si>
  <si>
    <t>Requirements</t>
  </si>
  <si>
    <t>Project</t>
  </si>
  <si>
    <t>Column2</t>
  </si>
  <si>
    <t>Completion</t>
  </si>
  <si>
    <t>Predecessor</t>
  </si>
  <si>
    <t>estimate</t>
  </si>
  <si>
    <t>Task Description</t>
  </si>
  <si>
    <t>Completetion</t>
  </si>
  <si>
    <t>Start Date</t>
  </si>
  <si>
    <t>ID</t>
  </si>
  <si>
    <t>Current Date:</t>
  </si>
  <si>
    <t>Start Date:</t>
  </si>
  <si>
    <t>Task</t>
  </si>
  <si>
    <t>Complete Planning Phase</t>
  </si>
  <si>
    <t>Complete Design Phase</t>
  </si>
  <si>
    <t>Complete Implmentation Phase</t>
  </si>
  <si>
    <t>Completion Deployment Phase</t>
  </si>
  <si>
    <t>1.3.1.2</t>
  </si>
  <si>
    <t>1.3.2.2</t>
  </si>
  <si>
    <t>Property Management App Tasks</t>
  </si>
  <si>
    <t>Work Breakdown Structure</t>
  </si>
  <si>
    <t>1.5.2.2</t>
  </si>
  <si>
    <t>1.5.3.2</t>
  </si>
  <si>
    <t>1.2.1.2</t>
  </si>
  <si>
    <t>1.2.1.3</t>
  </si>
  <si>
    <t>1.2.2.2</t>
  </si>
  <si>
    <t>1.2.2.3</t>
  </si>
  <si>
    <t>1.2.3.2</t>
  </si>
  <si>
    <t>1.2.3.3</t>
  </si>
  <si>
    <t>1.4.1.2</t>
  </si>
  <si>
    <t>1.4.1.3</t>
  </si>
  <si>
    <t>1.4.3.2</t>
  </si>
  <si>
    <t>1.4.3.3</t>
  </si>
  <si>
    <t>1.4.2.1</t>
  </si>
  <si>
    <t>1.4.2.2</t>
  </si>
  <si>
    <t>1.4.2.3</t>
  </si>
  <si>
    <t>End Date:</t>
  </si>
  <si>
    <t>Level 1</t>
  </si>
  <si>
    <t>Level 2</t>
  </si>
  <si>
    <t>Level 3</t>
  </si>
  <si>
    <t>Header</t>
  </si>
  <si>
    <t>1 - Requirement</t>
  </si>
  <si>
    <t>2 - Planning</t>
  </si>
  <si>
    <t>3 - Design</t>
  </si>
  <si>
    <t>4 - Implementation</t>
  </si>
  <si>
    <t>5 - Deployment</t>
  </si>
  <si>
    <t>1 - Work Order</t>
  </si>
  <si>
    <t>2 - Accounting &amp; Analytics</t>
  </si>
  <si>
    <t>3 - Training Materials</t>
  </si>
  <si>
    <t>Use the slicers below to filter which parts of the project you want to see</t>
  </si>
  <si>
    <t>DO NOT ALTER CELL BELOW</t>
  </si>
  <si>
    <t>1 - Project</t>
  </si>
  <si>
    <t>2 - Process</t>
  </si>
  <si>
    <t>3 - Package</t>
  </si>
  <si>
    <t>4 - task</t>
  </si>
  <si>
    <t>Tier</t>
  </si>
  <si>
    <t>Type</t>
  </si>
  <si>
    <t>portal</t>
  </si>
  <si>
    <t>Description</t>
  </si>
  <si>
    <t>process</t>
  </si>
  <si>
    <t>Index</t>
  </si>
  <si>
    <t>Planning</t>
  </si>
  <si>
    <t>Design</t>
  </si>
  <si>
    <t>Implementation</t>
  </si>
  <si>
    <t>Content Integration</t>
  </si>
  <si>
    <t>Deployment</t>
  </si>
  <si>
    <t>Future Enhancements</t>
  </si>
  <si>
    <t>Package ID</t>
  </si>
  <si>
    <t>Package Name</t>
  </si>
  <si>
    <t>Level</t>
  </si>
  <si>
    <t>Portal</t>
  </si>
  <si>
    <t xml:space="preserve">Project </t>
  </si>
  <si>
    <t>Package No.</t>
  </si>
  <si>
    <t>Hospital Triage App</t>
  </si>
  <si>
    <t>Yahtzee Game</t>
  </si>
  <si>
    <t>Dashboard App</t>
  </si>
  <si>
    <t>Shift Tracker</t>
  </si>
  <si>
    <t>Budget Tracker</t>
  </si>
  <si>
    <t>Schedule Tracker</t>
  </si>
  <si>
    <t>Upload portal supporting document Project Charter &amp; Systems Overview</t>
  </si>
  <si>
    <t>1.5.1.1</t>
  </si>
  <si>
    <t xml:space="preserve"> Dec 21</t>
  </si>
  <si>
    <t>Portal: Portfolio Section</t>
  </si>
  <si>
    <t>Portal Scope: Packages</t>
  </si>
  <si>
    <t>Sub-Package 1</t>
  </si>
  <si>
    <t>Main</t>
  </si>
  <si>
    <t>Support Document</t>
  </si>
  <si>
    <t>Project Charter and Systems Overview</t>
  </si>
  <si>
    <t>Database Overview</t>
  </si>
  <si>
    <t>sub-package description</t>
  </si>
  <si>
    <t>Integrate supporting documents: Yahtzee - Project Charter and System Overview</t>
  </si>
  <si>
    <t>Package Type</t>
  </si>
  <si>
    <t xml:space="preserve">Documentation </t>
  </si>
  <si>
    <t>Name</t>
  </si>
  <si>
    <t>Descriptoin</t>
  </si>
  <si>
    <t>Triage App</t>
  </si>
  <si>
    <t>PORT</t>
  </si>
  <si>
    <t>YAHT</t>
  </si>
  <si>
    <t>BUDG</t>
  </si>
  <si>
    <t>SCHE</t>
  </si>
  <si>
    <t>DASH-01</t>
  </si>
  <si>
    <t>SHFT</t>
  </si>
  <si>
    <t>Level Type</t>
  </si>
  <si>
    <t>-</t>
  </si>
  <si>
    <t>REQ</t>
  </si>
  <si>
    <t>PKG</t>
  </si>
  <si>
    <t>TRIG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</si>
</sst>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35" x14ac:knownFonts="1">
    <font>
      <sz val="11"/>
      <color theme="1"/>
      <name val="Calibri"/>
      <family val="2"/>
      <scheme val="minor"/>
    </font>
    <font>
      <sz val="11"/>
      <color theme="1"/>
      <name val="Calibri Light"/>
      <family val="2"/>
      <scheme val="major"/>
    </font>
    <font>
      <sz val="11"/>
      <color theme="0"/>
      <name val="Calibri Light"/>
      <family val="2"/>
      <scheme val="major"/>
    </font>
    <font>
      <b/>
      <sz val="16"/>
      <color theme="0"/>
      <name val="Calibri Light"/>
      <family val="2"/>
      <scheme val="major"/>
    </font>
    <font>
      <sz val="11"/>
      <color theme="1"/>
      <name val="Calibri"/>
      <family val="2"/>
      <scheme val="minor"/>
    </font>
    <font>
      <sz val="9"/>
      <color theme="0"/>
      <name val="Calibri Light"/>
      <family val="2"/>
      <scheme val="major"/>
    </font>
    <font>
      <sz val="9"/>
      <name val="Calibri Light"/>
      <family val="2"/>
      <scheme val="major"/>
    </font>
    <font>
      <sz val="9"/>
      <color theme="1"/>
      <name val="Calibri Light"/>
      <family val="2"/>
      <scheme val="major"/>
    </font>
    <font>
      <u/>
      <sz val="11"/>
      <color theme="10"/>
      <name val="Calibri"/>
      <family val="2"/>
      <scheme val="minor"/>
    </font>
    <font>
      <sz val="8"/>
      <name val="Calibri"/>
      <family val="2"/>
      <scheme val="minor"/>
    </font>
    <font>
      <b/>
      <sz val="11"/>
      <color theme="1"/>
      <name val="Calibri"/>
      <family val="2"/>
      <scheme val="minor"/>
    </font>
    <font>
      <b/>
      <sz val="11"/>
      <color theme="1"/>
      <name val="Calibri Light"/>
      <family val="2"/>
      <scheme val="major"/>
    </font>
    <font>
      <b/>
      <sz val="12"/>
      <color theme="1"/>
      <name val="Calibri Light"/>
      <family val="2"/>
      <scheme val="major"/>
    </font>
    <font>
      <b/>
      <sz val="12"/>
      <color rgb="FF595959"/>
      <name val="Calibri Light"/>
      <family val="2"/>
      <scheme val="major"/>
    </font>
    <font>
      <b/>
      <sz val="11"/>
      <color rgb="FF595959"/>
      <name val="Calibri Light"/>
      <family val="2"/>
      <scheme val="major"/>
    </font>
    <font>
      <sz val="11"/>
      <color rgb="FF000000"/>
      <name val="Arial"/>
      <family val="2"/>
    </font>
    <font>
      <b/>
      <sz val="12"/>
      <color theme="1"/>
      <name val="Calibri"/>
      <family val="2"/>
      <scheme val="minor"/>
    </font>
    <font>
      <sz val="12"/>
      <color theme="1"/>
      <name val="Calibri"/>
      <family val="2"/>
      <scheme val="minor"/>
    </font>
    <font>
      <b/>
      <sz val="14"/>
      <color theme="1"/>
      <name val="Calibri"/>
      <family val="2"/>
      <scheme val="minor"/>
    </font>
    <font>
      <sz val="11"/>
      <color rgb="FF595959"/>
      <name val="Calibri Light"/>
      <family val="2"/>
      <scheme val="major"/>
    </font>
    <font>
      <b/>
      <sz val="14"/>
      <color theme="1"/>
      <name val="Calibri Light"/>
      <family val="2"/>
      <scheme val="major"/>
    </font>
    <font>
      <b/>
      <u/>
      <sz val="22"/>
      <color theme="1"/>
      <name val="Calibri"/>
      <family val="2"/>
      <scheme val="minor"/>
    </font>
    <font>
      <sz val="11"/>
      <color rgb="FF000000"/>
      <name val="Calibri"/>
      <family val="2"/>
      <scheme val="minor"/>
    </font>
    <font>
      <b/>
      <sz val="12"/>
      <color rgb="FF000000"/>
      <name val="Calibri"/>
      <family val="2"/>
      <scheme val="minor"/>
    </font>
    <font>
      <sz val="12"/>
      <color theme="1"/>
      <name val="Calibri Light"/>
      <family val="2"/>
      <scheme val="major"/>
    </font>
    <font>
      <sz val="12"/>
      <color rgb="FF595959"/>
      <name val="Calibri Light"/>
      <family val="2"/>
      <scheme val="major"/>
    </font>
    <font>
      <b/>
      <sz val="28"/>
      <name val="Calibri"/>
      <family val="2"/>
      <scheme val="minor"/>
    </font>
    <font>
      <sz val="11"/>
      <name val="Calibri Light"/>
      <family val="2"/>
      <scheme val="major"/>
    </font>
    <font>
      <b/>
      <sz val="16"/>
      <name val="Calibri Light"/>
      <family val="2"/>
      <scheme val="major"/>
    </font>
    <font>
      <b/>
      <sz val="11"/>
      <name val="Calibri Light"/>
      <family val="2"/>
      <scheme val="major"/>
    </font>
    <font>
      <sz val="10"/>
      <name val="Calibri Light"/>
      <family val="2"/>
      <scheme val="major"/>
    </font>
    <font>
      <b/>
      <sz val="14"/>
      <name val="Calibri"/>
      <family val="2"/>
      <scheme val="minor"/>
    </font>
    <font>
      <sz val="11"/>
      <color theme="0" tint="-0.499984740745262"/>
      <name val="Calibri Light"/>
      <family val="2"/>
      <scheme val="major"/>
    </font>
    <font>
      <b/>
      <sz val="18"/>
      <color theme="1"/>
      <name val="Calibri"/>
      <family val="2"/>
      <scheme val="minor"/>
    </font>
    <font>
      <b/>
      <sz val="16"/>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rgb="FFD3B5E9"/>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499984740745262"/>
        <bgColor indexed="64"/>
      </patternFill>
    </fill>
  </fills>
  <borders count="23">
    <border>
      <left/>
      <right/>
      <top/>
      <bottom/>
      <diagonal/>
    </border>
    <border>
      <left style="medium">
        <color theme="1"/>
      </left>
      <right style="hair">
        <color theme="0" tint="-0.14996795556505021"/>
      </right>
      <top style="hair">
        <color theme="0" tint="-0.14996795556505021"/>
      </top>
      <bottom style="hair">
        <color theme="0" tint="-0.14996795556505021"/>
      </bottom>
      <diagonal/>
    </border>
    <border>
      <left style="hair">
        <color theme="0" tint="-0.14996795556505021"/>
      </left>
      <right style="hair">
        <color theme="0" tint="-0.14996795556505021"/>
      </right>
      <top style="hair">
        <color theme="0" tint="-0.14996795556505021"/>
      </top>
      <bottom style="hair">
        <color theme="0" tint="-0.14996795556505021"/>
      </bottom>
      <diagonal/>
    </border>
    <border>
      <left style="hair">
        <color theme="0" tint="-0.14996795556505021"/>
      </left>
      <right/>
      <top style="hair">
        <color theme="0" tint="-0.14996795556505021"/>
      </top>
      <bottom style="hair">
        <color theme="0" tint="-0.14996795556505021"/>
      </bottom>
      <diagonal/>
    </border>
    <border>
      <left/>
      <right/>
      <top style="thick">
        <color theme="1"/>
      </top>
      <bottom/>
      <diagonal/>
    </border>
    <border>
      <left style="thick">
        <color theme="1"/>
      </left>
      <right/>
      <top/>
      <bottom/>
      <diagonal/>
    </border>
    <border>
      <left style="thick">
        <color theme="1"/>
      </left>
      <right/>
      <top/>
      <bottom style="thick">
        <color theme="1"/>
      </bottom>
      <diagonal/>
    </border>
    <border>
      <left/>
      <right style="thick">
        <color auto="1"/>
      </right>
      <top/>
      <bottom/>
      <diagonal/>
    </border>
    <border>
      <left/>
      <right/>
      <top/>
      <bottom style="thick">
        <color auto="1"/>
      </bottom>
      <diagonal/>
    </border>
    <border>
      <left/>
      <right style="thick">
        <color auto="1"/>
      </right>
      <top/>
      <bottom style="thick">
        <color auto="1"/>
      </bottom>
      <diagonal/>
    </border>
    <border>
      <left style="medium">
        <color theme="1"/>
      </left>
      <right style="medium">
        <color theme="0" tint="-0.34998626667073579"/>
      </right>
      <top/>
      <bottom style="hair">
        <color theme="0" tint="-0.14996795556505021"/>
      </bottom>
      <diagonal/>
    </border>
    <border>
      <left style="medium">
        <color theme="0" tint="-0.34998626667073579"/>
      </left>
      <right style="medium">
        <color theme="0" tint="-0.34998626667073579"/>
      </right>
      <top/>
      <bottom style="hair">
        <color theme="0" tint="-0.14996795556505021"/>
      </bottom>
      <diagonal/>
    </border>
    <border>
      <left style="medium">
        <color theme="0" tint="-0.34998626667073579"/>
      </left>
      <right style="thick">
        <color auto="1"/>
      </right>
      <top/>
      <bottom style="hair">
        <color theme="0" tint="-0.14996795556505021"/>
      </bottom>
      <diagonal/>
    </border>
    <border>
      <left style="thick">
        <color theme="1"/>
      </left>
      <right/>
      <top style="thick">
        <color theme="1"/>
      </top>
      <bottom style="thick">
        <color theme="1"/>
      </bottom>
      <diagonal/>
    </border>
    <border>
      <left/>
      <right/>
      <top style="thick">
        <color theme="1"/>
      </top>
      <bottom style="thick">
        <color theme="1"/>
      </bottom>
      <diagonal/>
    </border>
    <border>
      <left/>
      <right style="thick">
        <color theme="1"/>
      </right>
      <top style="thick">
        <color theme="1"/>
      </top>
      <bottom style="thick">
        <color theme="1"/>
      </bottom>
      <diagonal/>
    </border>
    <border>
      <left style="thick">
        <color theme="1"/>
      </left>
      <right/>
      <top style="thick">
        <color theme="1"/>
      </top>
      <bottom/>
      <diagonal/>
    </border>
    <border>
      <left/>
      <right style="thick">
        <color theme="1"/>
      </right>
      <top style="thick">
        <color theme="1"/>
      </top>
      <bottom/>
      <diagonal/>
    </border>
    <border>
      <left/>
      <right style="medium">
        <color theme="0" tint="-0.34998626667073579"/>
      </right>
      <top/>
      <bottom style="hair">
        <color theme="0" tint="-0.14996795556505021"/>
      </bottom>
      <diagonal/>
    </border>
    <border>
      <left style="medium">
        <color auto="1"/>
      </left>
      <right style="medium">
        <color auto="1"/>
      </right>
      <top style="medium">
        <color auto="1"/>
      </top>
      <bottom style="medium">
        <color auto="1"/>
      </bottom>
      <diagonal/>
    </border>
    <border>
      <left style="thick">
        <color theme="1"/>
      </left>
      <right/>
      <top style="hair">
        <color theme="0" tint="-0.14996795556505021"/>
      </top>
      <bottom/>
      <diagonal/>
    </border>
    <border>
      <left style="hair">
        <color theme="0" tint="-0.14996795556505021"/>
      </left>
      <right style="hair">
        <color theme="0" tint="-0.14996795556505021"/>
      </right>
      <top style="hair">
        <color theme="0" tint="-0.14996795556505021"/>
      </top>
      <bottom style="thick">
        <color theme="1"/>
      </bottom>
      <diagonal/>
    </border>
    <border>
      <left style="hair">
        <color theme="0" tint="-0.14996795556505021"/>
      </left>
      <right/>
      <top style="hair">
        <color theme="0" tint="-0.14996795556505021"/>
      </top>
      <bottom style="thick">
        <color theme="1"/>
      </bottom>
      <diagonal/>
    </border>
  </borders>
  <cellStyleXfs count="3">
    <xf numFmtId="0" fontId="0" fillId="0" borderId="0"/>
    <xf numFmtId="0" fontId="4" fillId="0" borderId="0"/>
    <xf numFmtId="0" fontId="8" fillId="0" borderId="0" applyNumberFormat="0" applyFill="0" applyBorder="0" applyAlignment="0" applyProtection="0"/>
  </cellStyleXfs>
  <cellXfs count="145">
    <xf numFmtId="0" fontId="0" fillId="0" borderId="0" xfId="0"/>
    <xf numFmtId="0" fontId="1" fillId="0" borderId="0" xfId="0" applyFont="1"/>
    <xf numFmtId="0" fontId="1" fillId="3" borderId="0" xfId="0" applyFont="1" applyFill="1"/>
    <xf numFmtId="0" fontId="1" fillId="2" borderId="1" xfId="0" applyFont="1" applyFill="1" applyBorder="1" applyAlignment="1">
      <alignment horizontal="left" vertical="center"/>
    </xf>
    <xf numFmtId="0" fontId="1" fillId="2" borderId="4" xfId="0" applyFont="1" applyFill="1" applyBorder="1"/>
    <xf numFmtId="0" fontId="0" fillId="5" borderId="0" xfId="0" applyFill="1"/>
    <xf numFmtId="16" fontId="0" fillId="0" borderId="0" xfId="0" applyNumberFormat="1"/>
    <xf numFmtId="0" fontId="16" fillId="0" borderId="0" xfId="0" applyFont="1"/>
    <xf numFmtId="164" fontId="1" fillId="2" borderId="2" xfId="0" applyNumberFormat="1" applyFont="1" applyFill="1" applyBorder="1" applyAlignment="1">
      <alignment horizontal="center" vertical="center" wrapText="1" readingOrder="1"/>
    </xf>
    <xf numFmtId="164" fontId="19" fillId="2" borderId="2" xfId="0" applyNumberFormat="1" applyFont="1" applyFill="1" applyBorder="1" applyAlignment="1">
      <alignment horizontal="center" vertical="center" wrapText="1" readingOrder="1"/>
    </xf>
    <xf numFmtId="0" fontId="1" fillId="2" borderId="2" xfId="0" applyFont="1" applyFill="1" applyBorder="1" applyAlignment="1">
      <alignment horizontal="left" vertical="center" wrapText="1" readingOrder="1"/>
    </xf>
    <xf numFmtId="0" fontId="1" fillId="2" borderId="3" xfId="0" applyFont="1" applyFill="1" applyBorder="1" applyAlignment="1">
      <alignment horizontal="center" vertical="center" wrapText="1" readingOrder="1"/>
    </xf>
    <xf numFmtId="0" fontId="20" fillId="7" borderId="1" xfId="0" applyFont="1" applyFill="1" applyBorder="1" applyAlignment="1">
      <alignment horizontal="left" vertical="center"/>
    </xf>
    <xf numFmtId="164" fontId="20" fillId="7" borderId="2" xfId="0" applyNumberFormat="1" applyFont="1" applyFill="1" applyBorder="1" applyAlignment="1">
      <alignment horizontal="center" vertical="center" wrapText="1" readingOrder="1"/>
    </xf>
    <xf numFmtId="0" fontId="20" fillId="7" borderId="2" xfId="0" applyFont="1" applyFill="1" applyBorder="1" applyAlignment="1">
      <alignment horizontal="left" vertical="center" wrapText="1" readingOrder="1"/>
    </xf>
    <xf numFmtId="0" fontId="20" fillId="7" borderId="3" xfId="0" applyFont="1" applyFill="1" applyBorder="1" applyAlignment="1">
      <alignment horizontal="center" vertical="center" wrapText="1" readingOrder="1"/>
    </xf>
    <xf numFmtId="0" fontId="12" fillId="9" borderId="1" xfId="0" applyFont="1" applyFill="1" applyBorder="1" applyAlignment="1">
      <alignment horizontal="left" vertical="center"/>
    </xf>
    <xf numFmtId="164" fontId="12" fillId="9" borderId="2" xfId="0" applyNumberFormat="1" applyFont="1" applyFill="1" applyBorder="1" applyAlignment="1">
      <alignment horizontal="center" vertical="center" wrapText="1" readingOrder="1"/>
    </xf>
    <xf numFmtId="0" fontId="12" fillId="9" borderId="2" xfId="0" applyFont="1" applyFill="1" applyBorder="1" applyAlignment="1">
      <alignment horizontal="left" vertical="center" wrapText="1" readingOrder="1"/>
    </xf>
    <xf numFmtId="0" fontId="12" fillId="9" borderId="3" xfId="0" applyFont="1" applyFill="1" applyBorder="1" applyAlignment="1">
      <alignment horizontal="center" vertical="center" wrapText="1" readingOrder="1"/>
    </xf>
    <xf numFmtId="164" fontId="13" fillId="9" borderId="2" xfId="0" applyNumberFormat="1" applyFont="1" applyFill="1" applyBorder="1" applyAlignment="1">
      <alignment horizontal="center" vertical="center" wrapText="1" readingOrder="1"/>
    </xf>
    <xf numFmtId="0" fontId="11" fillId="8" borderId="1" xfId="0" applyFont="1" applyFill="1" applyBorder="1" applyAlignment="1">
      <alignment horizontal="left" vertical="center"/>
    </xf>
    <xf numFmtId="164" fontId="11" fillId="8" borderId="2" xfId="0" applyNumberFormat="1" applyFont="1" applyFill="1" applyBorder="1" applyAlignment="1">
      <alignment horizontal="center" vertical="center" wrapText="1" readingOrder="1"/>
    </xf>
    <xf numFmtId="0" fontId="11" fillId="8" borderId="2" xfId="0" applyFont="1" applyFill="1" applyBorder="1" applyAlignment="1">
      <alignment horizontal="left" vertical="center" wrapText="1" readingOrder="1"/>
    </xf>
    <xf numFmtId="0" fontId="11" fillId="8" borderId="3" xfId="0" applyFont="1" applyFill="1" applyBorder="1" applyAlignment="1">
      <alignment horizontal="center" vertical="center" wrapText="1" readingOrder="1"/>
    </xf>
    <xf numFmtId="164" fontId="14" fillId="8" borderId="2" xfId="0" applyNumberFormat="1" applyFont="1" applyFill="1" applyBorder="1" applyAlignment="1">
      <alignment horizontal="center" vertical="center" wrapText="1" readingOrder="1"/>
    </xf>
    <xf numFmtId="0" fontId="17" fillId="0" borderId="0" xfId="0" applyFont="1"/>
    <xf numFmtId="0" fontId="16" fillId="5" borderId="0" xfId="0" applyFont="1" applyFill="1"/>
    <xf numFmtId="16" fontId="17" fillId="5" borderId="0" xfId="0" applyNumberFormat="1" applyFont="1" applyFill="1"/>
    <xf numFmtId="16" fontId="0" fillId="5" borderId="0" xfId="0" applyNumberFormat="1" applyFill="1"/>
    <xf numFmtId="0" fontId="21" fillId="0" borderId="0" xfId="0" applyFont="1"/>
    <xf numFmtId="0" fontId="0" fillId="0" borderId="0" xfId="0" applyAlignment="1">
      <alignment vertical="top" wrapText="1"/>
    </xf>
    <xf numFmtId="0" fontId="15" fillId="0" borderId="0" xfId="0" applyFont="1" applyAlignment="1">
      <alignment vertical="top" wrapText="1"/>
    </xf>
    <xf numFmtId="0" fontId="22" fillId="0" borderId="0" xfId="0" applyFont="1" applyAlignment="1">
      <alignment vertical="top" wrapText="1"/>
    </xf>
    <xf numFmtId="0" fontId="18" fillId="7" borderId="0" xfId="0" applyFont="1" applyFill="1" applyAlignment="1">
      <alignment horizontal="left" vertical="center" wrapText="1"/>
    </xf>
    <xf numFmtId="14" fontId="18" fillId="7" borderId="0" xfId="0" applyNumberFormat="1" applyFont="1" applyFill="1" applyAlignment="1">
      <alignment horizontal="center" vertical="center" wrapText="1"/>
    </xf>
    <xf numFmtId="0" fontId="10" fillId="5" borderId="0" xfId="0" applyFont="1" applyFill="1" applyAlignment="1">
      <alignment horizontal="left" vertical="top" wrapText="1"/>
    </xf>
    <xf numFmtId="14" fontId="10" fillId="5" borderId="0" xfId="0" applyNumberFormat="1" applyFont="1" applyFill="1" applyAlignment="1">
      <alignment horizontal="center" vertical="top" wrapText="1"/>
    </xf>
    <xf numFmtId="14" fontId="10" fillId="5" borderId="0" xfId="0" applyNumberFormat="1" applyFont="1" applyFill="1" applyAlignment="1">
      <alignment vertical="top" wrapText="1"/>
    </xf>
    <xf numFmtId="0" fontId="10" fillId="5" borderId="0" xfId="0" applyFont="1" applyFill="1" applyAlignment="1">
      <alignment vertical="top" wrapText="1"/>
    </xf>
    <xf numFmtId="0" fontId="10" fillId="5" borderId="0" xfId="0" applyFont="1" applyFill="1" applyAlignment="1">
      <alignment horizontal="right" vertical="top" wrapText="1"/>
    </xf>
    <xf numFmtId="9" fontId="10" fillId="5" borderId="0" xfId="0" applyNumberFormat="1" applyFont="1" applyFill="1" applyAlignment="1">
      <alignment horizontal="right" vertical="top" wrapText="1"/>
    </xf>
    <xf numFmtId="0" fontId="10" fillId="5" borderId="0" xfId="0" applyFont="1" applyFill="1" applyAlignment="1">
      <alignment horizontal="left" vertical="center" wrapText="1"/>
    </xf>
    <xf numFmtId="0" fontId="0" fillId="0" borderId="0" xfId="0"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top" wrapText="1"/>
    </xf>
    <xf numFmtId="0" fontId="0" fillId="2" borderId="0" xfId="0" applyFill="1" applyAlignment="1">
      <alignment horizontal="right" vertical="top" wrapText="1"/>
    </xf>
    <xf numFmtId="9" fontId="0" fillId="2" borderId="0" xfId="0" applyNumberFormat="1" applyFill="1" applyAlignment="1">
      <alignment horizontal="right" vertical="top" wrapText="1"/>
    </xf>
    <xf numFmtId="0" fontId="0" fillId="2" borderId="0" xfId="0" applyFill="1" applyAlignment="1">
      <alignment horizontal="left" vertical="top" wrapText="1"/>
    </xf>
    <xf numFmtId="14" fontId="0" fillId="2" borderId="0" xfId="0" applyNumberFormat="1" applyFill="1" applyAlignment="1">
      <alignment horizontal="center" vertical="top" wrapText="1"/>
    </xf>
    <xf numFmtId="14" fontId="16" fillId="8" borderId="0" xfId="0" applyNumberFormat="1" applyFont="1" applyFill="1" applyAlignment="1">
      <alignment vertical="top" wrapText="1"/>
    </xf>
    <xf numFmtId="0" fontId="16" fillId="8" borderId="0" xfId="0" applyFont="1" applyFill="1" applyAlignment="1">
      <alignment vertical="top" wrapText="1"/>
    </xf>
    <xf numFmtId="14" fontId="0" fillId="0" borderId="0" xfId="0" applyNumberFormat="1" applyAlignment="1">
      <alignment vertical="top" wrapText="1"/>
    </xf>
    <xf numFmtId="14" fontId="0" fillId="2" borderId="0" xfId="0" applyNumberFormat="1" applyFill="1" applyAlignment="1">
      <alignment vertical="top" wrapText="1"/>
    </xf>
    <xf numFmtId="0" fontId="23" fillId="8" borderId="0" xfId="0" applyFont="1" applyFill="1" applyAlignment="1">
      <alignment vertical="top" wrapText="1"/>
    </xf>
    <xf numFmtId="0" fontId="15" fillId="0" borderId="0" xfId="0" applyFont="1" applyAlignment="1">
      <alignment vertical="top"/>
    </xf>
    <xf numFmtId="14" fontId="18" fillId="7" borderId="0" xfId="0" applyNumberFormat="1" applyFont="1" applyFill="1" applyAlignment="1">
      <alignment vertical="center" wrapText="1"/>
    </xf>
    <xf numFmtId="0" fontId="18" fillId="7" borderId="0" xfId="0" applyFont="1" applyFill="1" applyAlignment="1">
      <alignment vertical="center" wrapText="1"/>
    </xf>
    <xf numFmtId="0" fontId="18" fillId="7" borderId="0" xfId="0" applyFont="1" applyFill="1" applyAlignment="1">
      <alignment horizontal="right" vertical="center" wrapText="1"/>
    </xf>
    <xf numFmtId="9" fontId="18" fillId="7" borderId="0" xfId="0" applyNumberFormat="1" applyFont="1" applyFill="1" applyAlignment="1">
      <alignment horizontal="right" vertical="center" wrapText="1"/>
    </xf>
    <xf numFmtId="0" fontId="0" fillId="6" borderId="0" xfId="0" applyFill="1" applyAlignment="1">
      <alignment vertical="center" wrapText="1"/>
    </xf>
    <xf numFmtId="0" fontId="16" fillId="8" borderId="0" xfId="0" applyFont="1" applyFill="1" applyAlignment="1">
      <alignment vertical="center" wrapText="1"/>
    </xf>
    <xf numFmtId="0" fontId="17" fillId="8" borderId="0" xfId="0" applyFont="1" applyFill="1" applyAlignment="1">
      <alignment vertical="center" wrapText="1"/>
    </xf>
    <xf numFmtId="0" fontId="10" fillId="5" borderId="0" xfId="0" applyFont="1" applyFill="1" applyAlignment="1">
      <alignment vertical="center" wrapText="1"/>
    </xf>
    <xf numFmtId="0" fontId="0" fillId="0" borderId="0" xfId="0" applyAlignment="1">
      <alignment vertical="center" wrapText="1"/>
    </xf>
    <xf numFmtId="0" fontId="0" fillId="2" borderId="0" xfId="0" applyFill="1" applyAlignment="1">
      <alignment horizontal="right" vertical="center" wrapText="1"/>
    </xf>
    <xf numFmtId="0" fontId="0" fillId="2" borderId="0" xfId="0" applyFill="1" applyAlignment="1">
      <alignment vertical="center" wrapText="1"/>
    </xf>
    <xf numFmtId="0" fontId="10" fillId="2" borderId="0" xfId="0" applyFont="1" applyFill="1" applyAlignment="1">
      <alignment horizontal="right" vertical="center" wrapText="1"/>
    </xf>
    <xf numFmtId="0" fontId="1" fillId="3" borderId="0" xfId="0" applyFont="1" applyFill="1" applyAlignment="1">
      <alignment horizontal="left"/>
    </xf>
    <xf numFmtId="0" fontId="1" fillId="0" borderId="0" xfId="0" applyFont="1" applyAlignment="1">
      <alignment horizontal="left"/>
    </xf>
    <xf numFmtId="0" fontId="1" fillId="2" borderId="0" xfId="0" applyFont="1" applyFill="1"/>
    <xf numFmtId="0" fontId="1" fillId="8" borderId="1" xfId="0" applyFont="1" applyFill="1" applyBorder="1" applyAlignment="1">
      <alignment horizontal="left" vertical="center"/>
    </xf>
    <xf numFmtId="0" fontId="12" fillId="8" borderId="1" xfId="0" applyFont="1" applyFill="1" applyBorder="1" applyAlignment="1">
      <alignment horizontal="left" vertical="center"/>
    </xf>
    <xf numFmtId="0" fontId="24" fillId="9" borderId="1" xfId="0" applyFont="1" applyFill="1" applyBorder="1" applyAlignment="1">
      <alignment horizontal="left" vertical="center"/>
    </xf>
    <xf numFmtId="0" fontId="24" fillId="2" borderId="1" xfId="0" applyFont="1" applyFill="1" applyBorder="1" applyAlignment="1">
      <alignment horizontal="left" vertical="center"/>
    </xf>
    <xf numFmtId="164" fontId="25" fillId="2" borderId="2" xfId="0" applyNumberFormat="1" applyFont="1" applyFill="1" applyBorder="1" applyAlignment="1">
      <alignment horizontal="center" vertical="center" wrapText="1" readingOrder="1"/>
    </xf>
    <xf numFmtId="164" fontId="24" fillId="2" borderId="2" xfId="0" applyNumberFormat="1" applyFont="1" applyFill="1" applyBorder="1" applyAlignment="1">
      <alignment horizontal="center" vertical="center" wrapText="1" readingOrder="1"/>
    </xf>
    <xf numFmtId="0" fontId="24" fillId="2" borderId="2" xfId="0" applyFont="1" applyFill="1" applyBorder="1" applyAlignment="1">
      <alignment horizontal="left" vertical="center" wrapText="1" readingOrder="1"/>
    </xf>
    <xf numFmtId="0" fontId="24" fillId="2" borderId="3" xfId="0" applyFont="1" applyFill="1" applyBorder="1" applyAlignment="1">
      <alignment horizontal="center" vertical="center" wrapText="1" readingOrder="1"/>
    </xf>
    <xf numFmtId="0" fontId="2" fillId="2" borderId="0" xfId="0" applyFont="1" applyFill="1" applyAlignment="1">
      <alignment horizontal="center"/>
    </xf>
    <xf numFmtId="0" fontId="1" fillId="2" borderId="7" xfId="0" applyFont="1" applyFill="1" applyBorder="1"/>
    <xf numFmtId="0" fontId="1" fillId="2" borderId="8" xfId="0" applyFont="1" applyFill="1" applyBorder="1"/>
    <xf numFmtId="0" fontId="1" fillId="2" borderId="9" xfId="0" applyFont="1" applyFill="1" applyBorder="1"/>
    <xf numFmtId="0" fontId="5" fillId="2" borderId="0" xfId="0" applyFont="1" applyFill="1" applyAlignment="1">
      <alignment horizontal="center"/>
    </xf>
    <xf numFmtId="0" fontId="7" fillId="2" borderId="0" xfId="0" applyFont="1" applyFill="1"/>
    <xf numFmtId="0" fontId="6" fillId="5" borderId="10" xfId="0" applyFont="1" applyFill="1" applyBorder="1" applyAlignment="1">
      <alignment horizontal="left" vertical="center" wrapText="1" readingOrder="1"/>
    </xf>
    <xf numFmtId="0" fontId="6" fillId="5" borderId="11" xfId="0" applyFont="1" applyFill="1" applyBorder="1" applyAlignment="1">
      <alignment horizontal="center" vertical="center" wrapText="1" readingOrder="1"/>
    </xf>
    <xf numFmtId="0" fontId="6" fillId="5" borderId="12" xfId="0" applyFont="1" applyFill="1" applyBorder="1" applyAlignment="1">
      <alignment horizontal="center" vertical="center" wrapText="1" readingOrder="1"/>
    </xf>
    <xf numFmtId="0" fontId="1" fillId="2" borderId="0" xfId="0" applyFont="1" applyFill="1" applyAlignment="1">
      <alignment horizontal="left"/>
    </xf>
    <xf numFmtId="0" fontId="1" fillId="2" borderId="16" xfId="0" applyFont="1" applyFill="1" applyBorder="1"/>
    <xf numFmtId="0" fontId="1" fillId="2" borderId="17" xfId="0" applyFont="1" applyFill="1" applyBorder="1"/>
    <xf numFmtId="0" fontId="6" fillId="5" borderId="18" xfId="0" applyFont="1" applyFill="1" applyBorder="1" applyAlignment="1">
      <alignment horizontal="center" vertical="center" wrapText="1" readingOrder="1"/>
    </xf>
    <xf numFmtId="0" fontId="27" fillId="3" borderId="0" xfId="0" applyFont="1" applyFill="1"/>
    <xf numFmtId="0" fontId="27" fillId="3" borderId="0" xfId="0" applyFont="1" applyFill="1" applyAlignment="1">
      <alignment horizontal="left"/>
    </xf>
    <xf numFmtId="0" fontId="28" fillId="3" borderId="0" xfId="0" applyFont="1" applyFill="1" applyAlignment="1">
      <alignment vertical="center"/>
    </xf>
    <xf numFmtId="0" fontId="29" fillId="3" borderId="0" xfId="0" applyFont="1" applyFill="1" applyAlignment="1">
      <alignment vertical="center"/>
    </xf>
    <xf numFmtId="0" fontId="29" fillId="3" borderId="0" xfId="0" applyFont="1" applyFill="1"/>
    <xf numFmtId="0" fontId="30" fillId="3" borderId="0" xfId="0" applyFont="1" applyFill="1"/>
    <xf numFmtId="0" fontId="26" fillId="3" borderId="0" xfId="0" applyFont="1" applyFill="1" applyAlignment="1">
      <alignment vertical="center"/>
    </xf>
    <xf numFmtId="0" fontId="31" fillId="3" borderId="0" xfId="0" applyFont="1" applyFill="1" applyAlignment="1">
      <alignment vertical="center"/>
    </xf>
    <xf numFmtId="0" fontId="11" fillId="3" borderId="0" xfId="0" applyFont="1" applyFill="1"/>
    <xf numFmtId="0" fontId="32" fillId="10" borderId="19" xfId="0" applyFont="1" applyFill="1" applyBorder="1"/>
    <xf numFmtId="0" fontId="20" fillId="3" borderId="0" xfId="0" applyFont="1" applyFill="1" applyAlignment="1">
      <alignment horizontal="right"/>
    </xf>
    <xf numFmtId="164" fontId="12" fillId="3" borderId="0" xfId="0" applyNumberFormat="1" applyFont="1" applyFill="1" applyAlignment="1">
      <alignment horizontal="center"/>
    </xf>
    <xf numFmtId="0" fontId="33" fillId="0" borderId="0" xfId="0" applyFont="1"/>
    <xf numFmtId="0" fontId="18" fillId="0" borderId="0" xfId="0" applyFont="1" applyAlignment="1">
      <alignment horizontal="right" vertical="top"/>
    </xf>
    <xf numFmtId="0" fontId="16" fillId="8" borderId="0" xfId="0" applyFont="1" applyFill="1" applyAlignment="1">
      <alignment horizontal="left" vertical="center" wrapText="1"/>
    </xf>
    <xf numFmtId="0" fontId="1" fillId="2" borderId="20" xfId="0" applyFont="1" applyFill="1" applyBorder="1" applyAlignment="1">
      <alignment horizontal="left"/>
    </xf>
    <xf numFmtId="0" fontId="1" fillId="2" borderId="5" xfId="0" applyFont="1" applyFill="1" applyBorder="1" applyAlignment="1">
      <alignment horizontal="left"/>
    </xf>
    <xf numFmtId="0" fontId="12" fillId="9" borderId="5" xfId="0" applyFont="1" applyFill="1" applyBorder="1" applyAlignment="1">
      <alignment horizontal="left"/>
    </xf>
    <xf numFmtId="0" fontId="11" fillId="8" borderId="5" xfId="0" applyFont="1" applyFill="1" applyBorder="1" applyAlignment="1">
      <alignment horizontal="left"/>
    </xf>
    <xf numFmtId="0" fontId="1" fillId="2" borderId="6" xfId="0" applyFont="1" applyFill="1" applyBorder="1" applyAlignment="1">
      <alignment horizontal="left"/>
    </xf>
    <xf numFmtId="164" fontId="19" fillId="2" borderId="21" xfId="0" applyNumberFormat="1" applyFont="1" applyFill="1" applyBorder="1" applyAlignment="1">
      <alignment horizontal="center" vertical="center" wrapText="1" readingOrder="1"/>
    </xf>
    <xf numFmtId="164" fontId="1" fillId="2" borderId="21" xfId="0" applyNumberFormat="1" applyFont="1" applyFill="1" applyBorder="1" applyAlignment="1">
      <alignment horizontal="center" vertical="center" wrapText="1" readingOrder="1"/>
    </xf>
    <xf numFmtId="0" fontId="1" fillId="2" borderId="21" xfId="0" applyFont="1" applyFill="1" applyBorder="1" applyAlignment="1">
      <alignment horizontal="left" vertical="center" wrapText="1" readingOrder="1"/>
    </xf>
    <xf numFmtId="0" fontId="1" fillId="2" borderId="22" xfId="0" applyFont="1" applyFill="1" applyBorder="1" applyAlignment="1">
      <alignment horizontal="center" vertical="center" wrapText="1" readingOrder="1"/>
    </xf>
    <xf numFmtId="0" fontId="16" fillId="8" borderId="0" xfId="0" applyFont="1" applyFill="1" applyAlignment="1">
      <alignment horizontal="left" vertical="top" wrapText="1"/>
    </xf>
    <xf numFmtId="14" fontId="16" fillId="8" borderId="0" xfId="0" applyNumberFormat="1" applyFont="1" applyFill="1" applyAlignment="1">
      <alignment horizontal="center" vertical="top" wrapText="1"/>
    </xf>
    <xf numFmtId="0" fontId="16" fillId="8" borderId="0" xfId="0" applyFont="1" applyFill="1" applyAlignment="1">
      <alignment horizontal="right" vertical="top" wrapText="1"/>
    </xf>
    <xf numFmtId="9" fontId="16" fillId="8" borderId="0" xfId="0" applyNumberFormat="1" applyFont="1" applyFill="1" applyAlignment="1">
      <alignment horizontal="right" vertical="top" wrapText="1"/>
    </xf>
    <xf numFmtId="0" fontId="0" fillId="0" borderId="0" xfId="0" applyAlignment="1">
      <alignment horizontal="left" vertical="top" wrapText="1"/>
    </xf>
    <xf numFmtId="14" fontId="0" fillId="0" borderId="0" xfId="0" applyNumberFormat="1" applyAlignment="1">
      <alignment horizontal="center" vertical="top" wrapText="1"/>
    </xf>
    <xf numFmtId="0" fontId="0" fillId="0" borderId="0" xfId="0" applyAlignment="1">
      <alignment horizontal="right" vertical="top" wrapText="1"/>
    </xf>
    <xf numFmtId="9" fontId="0" fillId="0" borderId="0" xfId="0" applyNumberFormat="1" applyAlignment="1">
      <alignment horizontal="right" vertical="top" wrapText="1"/>
    </xf>
    <xf numFmtId="0" fontId="22" fillId="0" borderId="0" xfId="0" applyFont="1" applyAlignment="1">
      <alignment vertical="center" wrapText="1"/>
    </xf>
    <xf numFmtId="9" fontId="0" fillId="2" borderId="0" xfId="0" applyNumberFormat="1" applyFill="1" applyAlignment="1">
      <alignment horizontal="right" vertical="center" wrapText="1"/>
    </xf>
    <xf numFmtId="14" fontId="0" fillId="2" borderId="0" xfId="0" applyNumberFormat="1" applyFill="1" applyAlignment="1">
      <alignment horizontal="center" vertical="center" wrapText="1"/>
    </xf>
    <xf numFmtId="14" fontId="0" fillId="2" borderId="0" xfId="0" applyNumberFormat="1" applyFill="1" applyAlignment="1">
      <alignment vertical="center" wrapText="1"/>
    </xf>
    <xf numFmtId="0" fontId="22" fillId="2" borderId="0" xfId="0" applyFont="1" applyFill="1" applyAlignment="1">
      <alignment vertical="top" wrapText="1"/>
    </xf>
    <xf numFmtId="0" fontId="15" fillId="2" borderId="0" xfId="0" applyFont="1" applyFill="1" applyAlignment="1">
      <alignment vertical="top" wrapText="1"/>
    </xf>
    <xf numFmtId="14" fontId="22" fillId="2" borderId="0" xfId="0" applyNumberFormat="1" applyFont="1" applyFill="1" applyAlignment="1">
      <alignment vertical="center" wrapText="1"/>
    </xf>
    <xf numFmtId="0" fontId="22" fillId="2" borderId="0" xfId="0" applyFont="1" applyFill="1" applyAlignment="1">
      <alignment vertical="center" wrapText="1"/>
    </xf>
    <xf numFmtId="0" fontId="10" fillId="2" borderId="0" xfId="0" applyFont="1" applyFill="1" applyAlignment="1">
      <alignment horizontal="left" vertical="center" wrapText="1"/>
    </xf>
    <xf numFmtId="14" fontId="10" fillId="2" borderId="0" xfId="0" applyNumberFormat="1" applyFont="1" applyFill="1" applyAlignment="1">
      <alignment horizontal="center" vertical="center" wrapText="1"/>
    </xf>
    <xf numFmtId="14" fontId="10" fillId="2" borderId="0" xfId="0" applyNumberFormat="1" applyFont="1" applyFill="1" applyAlignment="1">
      <alignment vertical="center" wrapText="1"/>
    </xf>
    <xf numFmtId="0" fontId="10" fillId="2" borderId="0" xfId="0" applyFont="1" applyFill="1" applyAlignment="1">
      <alignment vertical="center" wrapText="1"/>
    </xf>
    <xf numFmtId="9" fontId="10" fillId="2" borderId="0" xfId="0" applyNumberFormat="1" applyFont="1" applyFill="1" applyAlignment="1">
      <alignment horizontal="right" vertical="center" wrapText="1"/>
    </xf>
    <xf numFmtId="0" fontId="15" fillId="2" borderId="0" xfId="0" applyFont="1" applyFill="1" applyAlignment="1">
      <alignment vertical="top"/>
    </xf>
    <xf numFmtId="0" fontId="18" fillId="0" borderId="0" xfId="0" applyFont="1" applyAlignment="1">
      <alignment horizontal="left"/>
    </xf>
    <xf numFmtId="0" fontId="34" fillId="0" borderId="0" xfId="0" applyFont="1"/>
    <xf numFmtId="0" fontId="17" fillId="0" borderId="0" xfId="0" applyFont="1" applyAlignment="1">
      <alignment horizontal="left" vertical="top" wrapText="1"/>
    </xf>
    <xf numFmtId="0" fontId="3" fillId="4" borderId="13" xfId="0" applyFont="1" applyFill="1" applyBorder="1" applyAlignment="1">
      <alignment horizontal="center" vertical="center" wrapText="1" readingOrder="1"/>
    </xf>
    <xf numFmtId="0" fontId="3" fillId="4" borderId="14" xfId="0" applyFont="1" applyFill="1" applyBorder="1" applyAlignment="1">
      <alignment horizontal="center" vertical="center" wrapText="1" readingOrder="1"/>
    </xf>
    <xf numFmtId="0" fontId="3" fillId="4" borderId="15" xfId="0" applyFont="1" applyFill="1" applyBorder="1" applyAlignment="1">
      <alignment horizontal="center" vertical="center" wrapText="1" readingOrder="1"/>
    </xf>
    <xf numFmtId="0" fontId="26" fillId="3" borderId="0" xfId="0" applyFont="1" applyFill="1" applyAlignment="1">
      <alignment horizontal="left" vertical="center"/>
    </xf>
  </cellXfs>
  <cellStyles count="3">
    <cellStyle name="Hyperlink 2" xfId="2" xr:uid="{00000000-0005-0000-0000-000000000000}"/>
    <cellStyle name="Normal" xfId="0" builtinId="0"/>
    <cellStyle name="Normal 3" xfId="1" xr:uid="{00000000-0005-0000-0000-000002000000}"/>
  </cellStyles>
  <dxfs count="24">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center" vertical="center" textRotation="0" wrapText="1" indent="0" justifyLastLine="0" shrinkToFit="0" readingOrder="1"/>
      <border diagonalUp="0" diagonalDown="0">
        <left style="hair">
          <color theme="0" tint="-0.14996795556505021"/>
        </left>
        <right/>
        <top style="hair">
          <color theme="0" tint="-0.14996795556505021"/>
        </top>
        <bottom style="hair">
          <color theme="0" tint="-0.14996795556505021"/>
        </bottom>
        <vertical/>
        <horizontal/>
      </border>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left" vertical="center" textRotation="0" wrapText="1" indent="0" justifyLastLine="0" shrinkToFit="0" readingOrder="1"/>
      <border diagonalUp="0" diagonalDown="0">
        <left style="hair">
          <color theme="0" tint="-0.14996795556505021"/>
        </left>
        <right style="hair">
          <color theme="0" tint="-0.14996795556505021"/>
        </right>
        <top style="hair">
          <color theme="0" tint="-0.14996795556505021"/>
        </top>
        <bottom style="hair">
          <color theme="0" tint="-0.14996795556505021"/>
        </bottom>
        <vertical/>
        <horizontal/>
      </border>
    </dxf>
    <dxf>
      <font>
        <b val="0"/>
        <i val="0"/>
        <strike val="0"/>
        <condense val="0"/>
        <extend val="0"/>
        <outline val="0"/>
        <shadow val="0"/>
        <u val="none"/>
        <vertAlign val="baseline"/>
        <sz val="11"/>
        <color theme="1"/>
        <name val="Calibri Light"/>
        <family val="2"/>
        <scheme val="major"/>
      </font>
      <numFmt numFmtId="164" formatCode="m/d/yy;@"/>
      <fill>
        <patternFill patternType="solid">
          <fgColor indexed="64"/>
          <bgColor theme="0"/>
        </patternFill>
      </fill>
      <alignment horizontal="center" vertical="center" textRotation="0" wrapText="1" indent="0" justifyLastLine="0" shrinkToFit="0" readingOrder="1"/>
      <border diagonalUp="0" diagonalDown="0">
        <left style="hair">
          <color theme="0" tint="-0.14996795556505021"/>
        </left>
        <right style="hair">
          <color theme="0" tint="-0.14996795556505021"/>
        </right>
        <top style="hair">
          <color theme="0" tint="-0.14996795556505021"/>
        </top>
        <bottom style="hair">
          <color theme="0" tint="-0.14996795556505021"/>
        </bottom>
        <vertical/>
        <horizontal/>
      </border>
    </dxf>
    <dxf>
      <font>
        <b val="0"/>
        <i val="0"/>
        <strike val="0"/>
        <condense val="0"/>
        <extend val="0"/>
        <outline val="0"/>
        <shadow val="0"/>
        <u val="none"/>
        <vertAlign val="baseline"/>
        <sz val="11"/>
        <color rgb="FF595959"/>
        <name val="Calibri Light"/>
        <family val="2"/>
        <scheme val="major"/>
      </font>
      <numFmt numFmtId="164" formatCode="m/d/yy;@"/>
      <fill>
        <patternFill patternType="solid">
          <fgColor indexed="64"/>
          <bgColor theme="0"/>
        </patternFill>
      </fill>
      <alignment horizontal="center" vertical="center" textRotation="0" wrapText="1" indent="0" justifyLastLine="0" shrinkToFit="0" readingOrder="1"/>
      <border diagonalUp="0" diagonalDown="0">
        <left style="hair">
          <color theme="0" tint="-0.14996795556505021"/>
        </left>
        <right style="hair">
          <color theme="0" tint="-0.14996795556505021"/>
        </right>
        <top style="hair">
          <color theme="0" tint="-0.14996795556505021"/>
        </top>
        <bottom style="hair">
          <color theme="0" tint="-0.14996795556505021"/>
        </bottom>
        <vertical/>
        <horizontal/>
      </border>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solid">
          <fgColor indexed="64"/>
          <bgColor theme="0"/>
        </patternFill>
      </fill>
      <alignment horizontal="left" vertical="bottom" textRotation="0" wrapText="0" indent="0" justifyLastLine="0" shrinkToFit="0" readingOrder="0"/>
    </dxf>
    <dxf>
      <border outline="0">
        <right style="thick">
          <color auto="1"/>
        </right>
        <top style="medium">
          <color theme="1"/>
        </top>
      </border>
    </dxf>
    <dxf>
      <border outline="0">
        <bottom style="hair">
          <color theme="0" tint="-0.14996795556505021"/>
        </bottom>
      </border>
    </dxf>
    <dxf>
      <font>
        <b val="0"/>
        <i val="0"/>
        <strike val="0"/>
        <condense val="0"/>
        <extend val="0"/>
        <outline val="0"/>
        <shadow val="0"/>
        <u val="none"/>
        <vertAlign val="baseline"/>
        <sz val="9"/>
        <color auto="1"/>
        <name val="Calibri Light"/>
        <family val="2"/>
        <scheme val="major"/>
      </font>
      <fill>
        <patternFill patternType="solid">
          <fgColor indexed="64"/>
          <bgColor theme="0" tint="-0.14999847407452621"/>
        </patternFill>
      </fill>
      <alignment horizontal="center" vertical="center" textRotation="0" wrapText="1" indent="0" justifyLastLine="0" shrinkToFit="0" readingOrder="1"/>
      <border diagonalUp="0" diagonalDown="0" outline="0">
        <left style="medium">
          <color theme="0" tint="-0.34998626667073579"/>
        </left>
        <right style="medium">
          <color theme="0" tint="-0.34998626667073579"/>
        </right>
        <top/>
        <bottom/>
      </border>
    </dxf>
    <dxf>
      <font>
        <strike val="0"/>
        <outline val="0"/>
        <shadow val="0"/>
        <u val="none"/>
        <vertAlign val="baseline"/>
        <name val="Calibri"/>
        <family val="2"/>
        <scheme val="minor"/>
      </font>
      <numFmt numFmtId="0" formatCode="General"/>
      <fill>
        <patternFill patternType="solid">
          <fgColor indexed="64"/>
          <bgColor theme="0"/>
        </patternFill>
      </fill>
      <alignment horizontal="right" vertical="center" textRotation="0" wrapText="1" indent="0" justifyLastLine="0" shrinkToFit="0" readingOrder="0"/>
    </dxf>
    <dxf>
      <font>
        <strike val="0"/>
        <outline val="0"/>
        <shadow val="0"/>
        <u val="none"/>
        <vertAlign val="baseline"/>
        <name val="Calibri"/>
        <family val="2"/>
        <scheme val="minor"/>
      </font>
      <numFmt numFmtId="13" formatCode="0%"/>
      <alignment horizontal="right" vertical="center" textRotation="0" wrapText="1" indent="0" justifyLastLine="0" shrinkToFit="0" readingOrder="0"/>
    </dxf>
    <dxf>
      <font>
        <strike val="0"/>
        <outline val="0"/>
        <shadow val="0"/>
        <u val="none"/>
        <vertAlign val="baseline"/>
        <name val="Calibri"/>
        <family val="2"/>
        <scheme val="minor"/>
      </font>
      <numFmt numFmtId="0" formatCode="General"/>
      <alignment horizontal="right" vertical="center" textRotation="0" wrapText="1" indent="0" justifyLastLine="0" shrinkToFit="0" readingOrder="0"/>
    </dxf>
    <dxf>
      <font>
        <strike val="0"/>
        <outline val="0"/>
        <shadow val="0"/>
        <u val="none"/>
        <vertAlign val="baseline"/>
        <name val="Calibri"/>
        <family val="2"/>
        <scheme val="minor"/>
      </font>
      <numFmt numFmtId="0" formatCode="General"/>
      <alignment vertical="center" textRotation="0" wrapText="1" indent="0" justifyLastLine="0" shrinkToFit="0" readingOrder="0"/>
    </dxf>
    <dxf>
      <font>
        <strike val="0"/>
        <outline val="0"/>
        <shadow val="0"/>
        <u val="none"/>
        <vertAlign val="baseline"/>
        <name val="Calibri"/>
        <family val="2"/>
        <scheme val="minor"/>
      </font>
      <alignment horizontal="general" vertical="center" textRotation="0" wrapText="1" indent="0" justifyLastLine="0" shrinkToFit="0" readingOrder="0"/>
    </dxf>
    <dxf>
      <font>
        <strike val="0"/>
        <outline val="0"/>
        <shadow val="0"/>
        <u val="none"/>
        <vertAlign val="baseline"/>
        <name val="Calibri"/>
        <family val="2"/>
        <scheme val="minor"/>
      </font>
      <numFmt numFmtId="19" formatCode="m/d/yyyy"/>
      <fill>
        <patternFill patternType="solid">
          <fgColor indexed="64"/>
          <bgColor theme="3" tint="0.89999084444715716"/>
        </patternFill>
      </fill>
      <alignment horizontal="general" vertical="center" textRotation="0" wrapText="1" indent="0" justifyLastLine="0" shrinkToFit="0" readingOrder="0"/>
    </dxf>
    <dxf>
      <font>
        <strike val="0"/>
        <outline val="0"/>
        <shadow val="0"/>
        <u val="none"/>
        <vertAlign val="baseline"/>
        <name val="Calibri"/>
        <family val="2"/>
        <scheme val="minor"/>
      </font>
      <numFmt numFmtId="19" formatCode="m/d/yyyy"/>
      <fill>
        <patternFill patternType="solid">
          <fgColor indexed="64"/>
          <bgColor theme="3" tint="0.89999084444715716"/>
        </patternFill>
      </fill>
      <alignment horizontal="center" vertical="center" textRotation="0" wrapText="1" indent="0" justifyLastLine="0" shrinkToFit="0" readingOrder="0"/>
    </dxf>
    <dxf>
      <font>
        <strike val="0"/>
        <outline val="0"/>
        <shadow val="0"/>
        <u val="none"/>
        <vertAlign val="baseline"/>
        <name val="Calibri"/>
        <family val="2"/>
        <scheme val="minor"/>
      </font>
      <numFmt numFmtId="19" formatCode="m/d/yyyy"/>
      <fill>
        <patternFill patternType="solid">
          <fgColor indexed="64"/>
          <bgColor theme="3" tint="0.89999084444715716"/>
        </patternFill>
      </fill>
      <alignment horizontal="center" vertical="center" textRotation="0" wrapText="1" indent="0" justifyLastLine="0" shrinkToFit="0" readingOrder="0"/>
    </dxf>
    <dxf>
      <font>
        <strike val="0"/>
        <outline val="0"/>
        <shadow val="0"/>
        <u val="none"/>
        <vertAlign val="baseline"/>
        <name val="Calibri"/>
        <family val="2"/>
        <scheme val="minor"/>
      </font>
      <numFmt numFmtId="0" formatCode="General"/>
      <alignment horizontal="left" vertical="center" textRotation="0" wrapText="1" indent="0" justifyLastLine="0" shrinkToFit="0" readingOrder="0"/>
    </dxf>
    <dxf>
      <font>
        <strike val="0"/>
        <outline val="0"/>
        <shadow val="0"/>
        <u val="none"/>
        <vertAlign val="baseline"/>
        <name val="Calibri"/>
        <family val="2"/>
        <scheme val="minor"/>
      </font>
      <numFmt numFmtId="0" formatCode="General"/>
      <alignment horizontal="left" vertical="center" textRotation="0" wrapText="1" indent="0" justifyLastLine="0" shrinkToFit="0" readingOrder="0"/>
    </dxf>
    <dxf>
      <font>
        <strike val="0"/>
        <outline val="0"/>
        <shadow val="0"/>
        <u val="none"/>
        <vertAlign val="baseline"/>
        <name val="Calibri"/>
        <family val="2"/>
        <scheme val="minor"/>
      </font>
      <numFmt numFmtId="0" formatCode="General"/>
      <alignment horizontal="left" vertical="center" textRotation="0" wrapText="1" indent="0" justifyLastLine="0" shrinkToFit="0" readingOrder="0"/>
    </dxf>
    <dxf>
      <font>
        <strike val="0"/>
        <outline val="0"/>
        <shadow val="0"/>
        <u val="none"/>
        <vertAlign val="baseline"/>
        <name val="Calibri"/>
        <family val="2"/>
        <scheme val="minor"/>
      </font>
      <numFmt numFmtId="0" formatCode="General"/>
      <alignment horizontal="left" vertical="center" textRotation="0" wrapText="1" indent="0" justifyLastLine="0" shrinkToFit="0" readingOrder="0"/>
    </dxf>
    <dxf>
      <font>
        <strike val="0"/>
        <outline val="0"/>
        <shadow val="0"/>
        <u val="none"/>
        <vertAlign val="baseline"/>
        <name val="Calibri"/>
        <family val="2"/>
        <scheme val="minor"/>
      </font>
      <alignment vertical="center" textRotation="0" wrapText="1" indent="0" justifyLastLine="0" shrinkToFit="0" readingOrder="0"/>
    </dxf>
  </dxfs>
  <tableStyles count="0" defaultTableStyle="TableStyleMedium2" defaultPivotStyle="PivotStyleLight16"/>
  <colors>
    <mruColors>
      <color rgb="FFD3B5E9"/>
      <color rgb="FFA9D08E"/>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8405794782135556E-2"/>
          <c:y val="4.3276342547702261E-2"/>
          <c:w val="0.93191605498069607"/>
          <c:h val="0.9567236574522977"/>
        </c:manualLayout>
      </c:layout>
      <c:barChart>
        <c:barDir val="bar"/>
        <c:grouping val="stacked"/>
        <c:varyColors val="0"/>
        <c:ser>
          <c:idx val="0"/>
          <c:order val="0"/>
          <c:tx>
            <c:strRef>
              <c:f>'Gantt Chart for WBS'!$F$11</c:f>
              <c:strCache>
                <c:ptCount val="1"/>
                <c:pt idx="0">
                  <c:v>START DATE</c:v>
                </c:pt>
              </c:strCache>
            </c:strRef>
          </c:tx>
          <c:spPr>
            <a:noFill/>
            <a:ln>
              <a:noFill/>
            </a:ln>
            <a:effectLst/>
          </c:spPr>
          <c:invertIfNegative val="0"/>
          <c:cat>
            <c:strRef>
              <c:f>'Gantt Chart for WBS'!$H$12:$H$70</c:f>
              <c:strCache>
                <c:ptCount val="59"/>
                <c:pt idx="0">
                  <c:v>Complete Project</c:v>
                </c:pt>
                <c:pt idx="1">
                  <c:v>Complete Requirements</c:v>
                </c:pt>
                <c:pt idx="2">
                  <c:v>Complete Requirements: Package 1.1.1</c:v>
                </c:pt>
                <c:pt idx="3">
                  <c:v>missing</c:v>
                </c:pt>
                <c:pt idx="4">
                  <c:v>missing</c:v>
                </c:pt>
                <c:pt idx="5">
                  <c:v>missing</c:v>
                </c:pt>
                <c:pt idx="6">
                  <c:v>Complete Requirements: Package 1.1.2</c:v>
                </c:pt>
                <c:pt idx="7">
                  <c:v>missing</c:v>
                </c:pt>
                <c:pt idx="8">
                  <c:v>missing</c:v>
                </c:pt>
                <c:pt idx="9">
                  <c:v>missing</c:v>
                </c:pt>
                <c:pt idx="10">
                  <c:v>Complete Requirements: Package 1.1.3</c:v>
                </c:pt>
                <c:pt idx="11">
                  <c:v>missing</c:v>
                </c:pt>
                <c:pt idx="12">
                  <c:v>missing</c:v>
                </c:pt>
                <c:pt idx="13">
                  <c:v>missing</c:v>
                </c:pt>
                <c:pt idx="14">
                  <c:v>Complete Planning Phase</c:v>
                </c:pt>
                <c:pt idx="15">
                  <c:v>Complete Planning: Package 1.2.1</c:v>
                </c:pt>
                <c:pt idx="16">
                  <c:v>missing</c:v>
                </c:pt>
                <c:pt idx="17">
                  <c:v>missing</c:v>
                </c:pt>
                <c:pt idx="18">
                  <c:v>missing</c:v>
                </c:pt>
                <c:pt idx="19">
                  <c:v>Complete Planning: Package 1.2.2</c:v>
                </c:pt>
                <c:pt idx="20">
                  <c:v>missing</c:v>
                </c:pt>
                <c:pt idx="21">
                  <c:v>missing</c:v>
                </c:pt>
                <c:pt idx="22">
                  <c:v>missing</c:v>
                </c:pt>
                <c:pt idx="23">
                  <c:v>Complete Planning: Package 1.2.3</c:v>
                </c:pt>
                <c:pt idx="24">
                  <c:v>missing</c:v>
                </c:pt>
                <c:pt idx="25">
                  <c:v>missing</c:v>
                </c:pt>
                <c:pt idx="26">
                  <c:v>missing</c:v>
                </c:pt>
                <c:pt idx="27">
                  <c:v>Complete Design Phase</c:v>
                </c:pt>
                <c:pt idx="28">
                  <c:v>Complete Design: Package 1.3.1</c:v>
                </c:pt>
                <c:pt idx="29">
                  <c:v>missing</c:v>
                </c:pt>
                <c:pt idx="30">
                  <c:v>missing</c:v>
                </c:pt>
                <c:pt idx="31">
                  <c:v>Complete Design: Package 1.3.2</c:v>
                </c:pt>
                <c:pt idx="32">
                  <c:v>missing</c:v>
                </c:pt>
                <c:pt idx="33">
                  <c:v>missing</c:v>
                </c:pt>
                <c:pt idx="34">
                  <c:v>Complete Design: Package 1.3.3</c:v>
                </c:pt>
                <c:pt idx="35">
                  <c:v>missing</c:v>
                </c:pt>
                <c:pt idx="36">
                  <c:v>Complete Implmentation Phase</c:v>
                </c:pt>
                <c:pt idx="37">
                  <c:v>Complete Implementation: Package 1.4.1</c:v>
                </c:pt>
                <c:pt idx="38">
                  <c:v>missing</c:v>
                </c:pt>
                <c:pt idx="39">
                  <c:v>missing</c:v>
                </c:pt>
                <c:pt idx="40">
                  <c:v>missing</c:v>
                </c:pt>
                <c:pt idx="41">
                  <c:v>Complete Implementation: Package 1.4.2</c:v>
                </c:pt>
                <c:pt idx="42">
                  <c:v>missing</c:v>
                </c:pt>
                <c:pt idx="43">
                  <c:v>missing</c:v>
                </c:pt>
                <c:pt idx="44">
                  <c:v>missing</c:v>
                </c:pt>
                <c:pt idx="45">
                  <c:v>Complete Implementation: Package 1.4.3</c:v>
                </c:pt>
                <c:pt idx="46">
                  <c:v>missing</c:v>
                </c:pt>
                <c:pt idx="47">
                  <c:v>missing</c:v>
                </c:pt>
                <c:pt idx="48">
                  <c:v>missing</c:v>
                </c:pt>
                <c:pt idx="49">
                  <c:v>Completion Deployment Phase</c:v>
                </c:pt>
                <c:pt idx="50">
                  <c:v>Complete Deployment: Package 1.5.1</c:v>
                </c:pt>
                <c:pt idx="51">
                  <c:v>missing</c:v>
                </c:pt>
                <c:pt idx="52">
                  <c:v>missing</c:v>
                </c:pt>
                <c:pt idx="53">
                  <c:v>Complete Deployment: Package 1.5.2</c:v>
                </c:pt>
                <c:pt idx="54">
                  <c:v>missing</c:v>
                </c:pt>
                <c:pt idx="55">
                  <c:v>missing</c:v>
                </c:pt>
                <c:pt idx="56">
                  <c:v>Complete Deployment: Package 1.5.3</c:v>
                </c:pt>
                <c:pt idx="57">
                  <c:v>missing</c:v>
                </c:pt>
                <c:pt idx="58">
                  <c:v>missing</c:v>
                </c:pt>
              </c:strCache>
            </c:strRef>
          </c:cat>
          <c:val>
            <c:numRef>
              <c:f>'Gantt Chart for WBS'!$F$12:$F$70</c:f>
              <c:numCache>
                <c:formatCode>m/d/yy;@</c:formatCode>
                <c:ptCount val="59"/>
                <c:pt idx="0">
                  <c:v>45698</c:v>
                </c:pt>
                <c:pt idx="1">
                  <c:v>45698</c:v>
                </c:pt>
                <c:pt idx="2">
                  <c:v>45698</c:v>
                </c:pt>
                <c:pt idx="3">
                  <c:v>0</c:v>
                </c:pt>
                <c:pt idx="4">
                  <c:v>0</c:v>
                </c:pt>
                <c:pt idx="5">
                  <c:v>0</c:v>
                </c:pt>
                <c:pt idx="6">
                  <c:v>45698</c:v>
                </c:pt>
                <c:pt idx="7">
                  <c:v>0</c:v>
                </c:pt>
                <c:pt idx="8">
                  <c:v>0</c:v>
                </c:pt>
                <c:pt idx="9">
                  <c:v>0</c:v>
                </c:pt>
                <c:pt idx="10">
                  <c:v>45698</c:v>
                </c:pt>
                <c:pt idx="11">
                  <c:v>0</c:v>
                </c:pt>
                <c:pt idx="12">
                  <c:v>0</c:v>
                </c:pt>
                <c:pt idx="13">
                  <c:v>0</c:v>
                </c:pt>
                <c:pt idx="14">
                  <c:v>45699</c:v>
                </c:pt>
                <c:pt idx="15">
                  <c:v>45699</c:v>
                </c:pt>
                <c:pt idx="16">
                  <c:v>0</c:v>
                </c:pt>
                <c:pt idx="17">
                  <c:v>0</c:v>
                </c:pt>
                <c:pt idx="18">
                  <c:v>0</c:v>
                </c:pt>
                <c:pt idx="19">
                  <c:v>45699</c:v>
                </c:pt>
                <c:pt idx="20">
                  <c:v>0</c:v>
                </c:pt>
                <c:pt idx="21">
                  <c:v>0</c:v>
                </c:pt>
                <c:pt idx="22">
                  <c:v>0</c:v>
                </c:pt>
                <c:pt idx="23">
                  <c:v>45699</c:v>
                </c:pt>
                <c:pt idx="24">
                  <c:v>0</c:v>
                </c:pt>
                <c:pt idx="25">
                  <c:v>0</c:v>
                </c:pt>
                <c:pt idx="26">
                  <c:v>0</c:v>
                </c:pt>
                <c:pt idx="27">
                  <c:v>45700</c:v>
                </c:pt>
                <c:pt idx="28">
                  <c:v>45700</c:v>
                </c:pt>
                <c:pt idx="29">
                  <c:v>0</c:v>
                </c:pt>
                <c:pt idx="30">
                  <c:v>0</c:v>
                </c:pt>
                <c:pt idx="31">
                  <c:v>45700</c:v>
                </c:pt>
                <c:pt idx="32">
                  <c:v>0</c:v>
                </c:pt>
                <c:pt idx="33">
                  <c:v>0</c:v>
                </c:pt>
                <c:pt idx="34">
                  <c:v>45700</c:v>
                </c:pt>
                <c:pt idx="35">
                  <c:v>0</c:v>
                </c:pt>
                <c:pt idx="36">
                  <c:v>45701</c:v>
                </c:pt>
                <c:pt idx="37">
                  <c:v>45701</c:v>
                </c:pt>
                <c:pt idx="38">
                  <c:v>0</c:v>
                </c:pt>
                <c:pt idx="39">
                  <c:v>0</c:v>
                </c:pt>
                <c:pt idx="40">
                  <c:v>0</c:v>
                </c:pt>
                <c:pt idx="41">
                  <c:v>45701</c:v>
                </c:pt>
                <c:pt idx="42">
                  <c:v>0</c:v>
                </c:pt>
                <c:pt idx="43">
                  <c:v>0</c:v>
                </c:pt>
                <c:pt idx="44">
                  <c:v>0</c:v>
                </c:pt>
                <c:pt idx="45">
                  <c:v>45701</c:v>
                </c:pt>
                <c:pt idx="46">
                  <c:v>0</c:v>
                </c:pt>
                <c:pt idx="47">
                  <c:v>0</c:v>
                </c:pt>
                <c:pt idx="48">
                  <c:v>0</c:v>
                </c:pt>
                <c:pt idx="49">
                  <c:v>45702</c:v>
                </c:pt>
                <c:pt idx="50">
                  <c:v>45702</c:v>
                </c:pt>
                <c:pt idx="51">
                  <c:v>0</c:v>
                </c:pt>
                <c:pt idx="52">
                  <c:v>0</c:v>
                </c:pt>
                <c:pt idx="53">
                  <c:v>45702</c:v>
                </c:pt>
                <c:pt idx="54">
                  <c:v>0</c:v>
                </c:pt>
                <c:pt idx="55">
                  <c:v>0</c:v>
                </c:pt>
                <c:pt idx="56">
                  <c:v>45702</c:v>
                </c:pt>
                <c:pt idx="57">
                  <c:v>0</c:v>
                </c:pt>
                <c:pt idx="58">
                  <c:v>0</c:v>
                </c:pt>
              </c:numCache>
            </c:numRef>
          </c:val>
          <c:extLst>
            <c:ext xmlns:c16="http://schemas.microsoft.com/office/drawing/2014/chart" uri="{C3380CC4-5D6E-409C-BE32-E72D297353CC}">
              <c16:uniqueId val="{00000000-8EDC-4129-B550-F1095A0D7DDD}"/>
            </c:ext>
          </c:extLst>
        </c:ser>
        <c:ser>
          <c:idx val="1"/>
          <c:order val="1"/>
          <c:tx>
            <c:strRef>
              <c:f>'Gantt Chart for WBS'!$I$11</c:f>
              <c:strCache>
                <c:ptCount val="1"/>
                <c:pt idx="0">
                  <c:v>DURATION
(Days)</c:v>
                </c:pt>
              </c:strCache>
            </c:strRef>
          </c:tx>
          <c:spPr>
            <a:solidFill>
              <a:schemeClr val="tx1">
                <a:lumMod val="65000"/>
                <a:lumOff val="35000"/>
              </a:schemeClr>
            </a:solidFill>
            <a:ln>
              <a:noFill/>
            </a:ln>
            <a:effectLst/>
          </c:spPr>
          <c:invertIfNegative val="0"/>
          <c:dPt>
            <c:idx val="0"/>
            <c:invertIfNegative val="0"/>
            <c:bubble3D val="0"/>
            <c:spPr>
              <a:solidFill>
                <a:srgbClr val="D3B5E9"/>
              </a:solidFill>
              <a:ln>
                <a:noFill/>
              </a:ln>
              <a:effectLst/>
            </c:spPr>
            <c:extLst>
              <c:ext xmlns:c16="http://schemas.microsoft.com/office/drawing/2014/chart" uri="{C3380CC4-5D6E-409C-BE32-E72D297353CC}">
                <c16:uniqueId val="{00000000-0045-4E68-B085-4AF1823B72A3}"/>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0045-4E68-B085-4AF1823B72A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0045-4E68-B085-4AF1823B72A3}"/>
              </c:ext>
            </c:extLst>
          </c:dPt>
          <c:dPt>
            <c:idx val="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0045-4E68-B085-4AF1823B72A3}"/>
              </c:ext>
            </c:extLst>
          </c:dPt>
          <c:dPt>
            <c:idx val="1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0045-4E68-B085-4AF1823B72A3}"/>
              </c:ext>
            </c:extLst>
          </c:dPt>
          <c:dPt>
            <c:idx val="1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A-5635-496D-8B4C-4DCCA500B38B}"/>
              </c:ext>
            </c:extLst>
          </c:dPt>
          <c:dPt>
            <c:idx val="1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5635-496D-8B4C-4DCCA500B38B}"/>
              </c:ext>
            </c:extLst>
          </c:dPt>
          <c:dPt>
            <c:idx val="1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C-5635-496D-8B4C-4DCCA500B38B}"/>
              </c:ext>
            </c:extLst>
          </c:dPt>
          <c:dPt>
            <c:idx val="21"/>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5-0045-4E68-B085-4AF1823B72A3}"/>
              </c:ext>
            </c:extLst>
          </c:dPt>
          <c:dPt>
            <c:idx val="22"/>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6-0045-4E68-B085-4AF1823B72A3}"/>
              </c:ext>
            </c:extLst>
          </c:dPt>
          <c:dPt>
            <c:idx val="2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5635-496D-8B4C-4DCCA500B38B}"/>
              </c:ext>
            </c:extLst>
          </c:dPt>
          <c:dPt>
            <c:idx val="25"/>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7-0045-4E68-B085-4AF1823B72A3}"/>
              </c:ext>
            </c:extLst>
          </c:dPt>
          <c:dPt>
            <c:idx val="2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E-5635-496D-8B4C-4DCCA500B38B}"/>
              </c:ext>
            </c:extLst>
          </c:dPt>
          <c:dPt>
            <c:idx val="2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8-0045-4E68-B085-4AF1823B72A3}"/>
              </c:ext>
            </c:extLst>
          </c:dPt>
          <c:dPt>
            <c:idx val="3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F-5635-496D-8B4C-4DCCA500B38B}"/>
              </c:ext>
            </c:extLst>
          </c:dPt>
          <c:dPt>
            <c:idx val="3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0-5635-496D-8B4C-4DCCA500B38B}"/>
              </c:ext>
            </c:extLst>
          </c:dPt>
          <c:dPt>
            <c:idx val="36"/>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21-5635-496D-8B4C-4DCCA500B38B}"/>
              </c:ext>
            </c:extLst>
          </c:dPt>
          <c:dPt>
            <c:idx val="37"/>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2-9918-4FF9-B8F7-2DFF14B299D3}"/>
              </c:ext>
            </c:extLst>
          </c:dPt>
          <c:dPt>
            <c:idx val="38"/>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13-9918-4FF9-B8F7-2DFF14B299D3}"/>
              </c:ext>
            </c:extLst>
          </c:dPt>
          <c:dPt>
            <c:idx val="4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4-9918-4FF9-B8F7-2DFF14B299D3}"/>
              </c:ext>
            </c:extLst>
          </c:dPt>
          <c:dPt>
            <c:idx val="44"/>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15-9918-4FF9-B8F7-2DFF14B299D3}"/>
              </c:ext>
            </c:extLst>
          </c:dPt>
          <c:dPt>
            <c:idx val="4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2-5635-496D-8B4C-4DCCA500B38B}"/>
              </c:ext>
            </c:extLst>
          </c:dPt>
          <c:dPt>
            <c:idx val="49"/>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23-5635-496D-8B4C-4DCCA500B38B}"/>
              </c:ext>
            </c:extLst>
          </c:dPt>
          <c:dPt>
            <c:idx val="5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4-5635-496D-8B4C-4DCCA500B38B}"/>
              </c:ext>
            </c:extLst>
          </c:dPt>
          <c:dPt>
            <c:idx val="5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5-5635-496D-8B4C-4DCCA500B38B}"/>
              </c:ext>
            </c:extLst>
          </c:dPt>
          <c:dPt>
            <c:idx val="56"/>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26-5635-496D-8B4C-4DCCA500B38B}"/>
              </c:ext>
            </c:extLst>
          </c:dPt>
          <c:cat>
            <c:strRef>
              <c:f>'Gantt Chart for WBS'!$H$12:$H$70</c:f>
              <c:strCache>
                <c:ptCount val="59"/>
                <c:pt idx="0">
                  <c:v>Complete Project</c:v>
                </c:pt>
                <c:pt idx="1">
                  <c:v>Complete Requirements</c:v>
                </c:pt>
                <c:pt idx="2">
                  <c:v>Complete Requirements: Package 1.1.1</c:v>
                </c:pt>
                <c:pt idx="3">
                  <c:v>missing</c:v>
                </c:pt>
                <c:pt idx="4">
                  <c:v>missing</c:v>
                </c:pt>
                <c:pt idx="5">
                  <c:v>missing</c:v>
                </c:pt>
                <c:pt idx="6">
                  <c:v>Complete Requirements: Package 1.1.2</c:v>
                </c:pt>
                <c:pt idx="7">
                  <c:v>missing</c:v>
                </c:pt>
                <c:pt idx="8">
                  <c:v>missing</c:v>
                </c:pt>
                <c:pt idx="9">
                  <c:v>missing</c:v>
                </c:pt>
                <c:pt idx="10">
                  <c:v>Complete Requirements: Package 1.1.3</c:v>
                </c:pt>
                <c:pt idx="11">
                  <c:v>missing</c:v>
                </c:pt>
                <c:pt idx="12">
                  <c:v>missing</c:v>
                </c:pt>
                <c:pt idx="13">
                  <c:v>missing</c:v>
                </c:pt>
                <c:pt idx="14">
                  <c:v>Complete Planning Phase</c:v>
                </c:pt>
                <c:pt idx="15">
                  <c:v>Complete Planning: Package 1.2.1</c:v>
                </c:pt>
                <c:pt idx="16">
                  <c:v>missing</c:v>
                </c:pt>
                <c:pt idx="17">
                  <c:v>missing</c:v>
                </c:pt>
                <c:pt idx="18">
                  <c:v>missing</c:v>
                </c:pt>
                <c:pt idx="19">
                  <c:v>Complete Planning: Package 1.2.2</c:v>
                </c:pt>
                <c:pt idx="20">
                  <c:v>missing</c:v>
                </c:pt>
                <c:pt idx="21">
                  <c:v>missing</c:v>
                </c:pt>
                <c:pt idx="22">
                  <c:v>missing</c:v>
                </c:pt>
                <c:pt idx="23">
                  <c:v>Complete Planning: Package 1.2.3</c:v>
                </c:pt>
                <c:pt idx="24">
                  <c:v>missing</c:v>
                </c:pt>
                <c:pt idx="25">
                  <c:v>missing</c:v>
                </c:pt>
                <c:pt idx="26">
                  <c:v>missing</c:v>
                </c:pt>
                <c:pt idx="27">
                  <c:v>Complete Design Phase</c:v>
                </c:pt>
                <c:pt idx="28">
                  <c:v>Complete Design: Package 1.3.1</c:v>
                </c:pt>
                <c:pt idx="29">
                  <c:v>missing</c:v>
                </c:pt>
                <c:pt idx="30">
                  <c:v>missing</c:v>
                </c:pt>
                <c:pt idx="31">
                  <c:v>Complete Design: Package 1.3.2</c:v>
                </c:pt>
                <c:pt idx="32">
                  <c:v>missing</c:v>
                </c:pt>
                <c:pt idx="33">
                  <c:v>missing</c:v>
                </c:pt>
                <c:pt idx="34">
                  <c:v>Complete Design: Package 1.3.3</c:v>
                </c:pt>
                <c:pt idx="35">
                  <c:v>missing</c:v>
                </c:pt>
                <c:pt idx="36">
                  <c:v>Complete Implmentation Phase</c:v>
                </c:pt>
                <c:pt idx="37">
                  <c:v>Complete Implementation: Package 1.4.1</c:v>
                </c:pt>
                <c:pt idx="38">
                  <c:v>missing</c:v>
                </c:pt>
                <c:pt idx="39">
                  <c:v>missing</c:v>
                </c:pt>
                <c:pt idx="40">
                  <c:v>missing</c:v>
                </c:pt>
                <c:pt idx="41">
                  <c:v>Complete Implementation: Package 1.4.2</c:v>
                </c:pt>
                <c:pt idx="42">
                  <c:v>missing</c:v>
                </c:pt>
                <c:pt idx="43">
                  <c:v>missing</c:v>
                </c:pt>
                <c:pt idx="44">
                  <c:v>missing</c:v>
                </c:pt>
                <c:pt idx="45">
                  <c:v>Complete Implementation: Package 1.4.3</c:v>
                </c:pt>
                <c:pt idx="46">
                  <c:v>missing</c:v>
                </c:pt>
                <c:pt idx="47">
                  <c:v>missing</c:v>
                </c:pt>
                <c:pt idx="48">
                  <c:v>missing</c:v>
                </c:pt>
                <c:pt idx="49">
                  <c:v>Completion Deployment Phase</c:v>
                </c:pt>
                <c:pt idx="50">
                  <c:v>Complete Deployment: Package 1.5.1</c:v>
                </c:pt>
                <c:pt idx="51">
                  <c:v>missing</c:v>
                </c:pt>
                <c:pt idx="52">
                  <c:v>missing</c:v>
                </c:pt>
                <c:pt idx="53">
                  <c:v>Complete Deployment: Package 1.5.2</c:v>
                </c:pt>
                <c:pt idx="54">
                  <c:v>missing</c:v>
                </c:pt>
                <c:pt idx="55">
                  <c:v>missing</c:v>
                </c:pt>
                <c:pt idx="56">
                  <c:v>Complete Deployment: Package 1.5.3</c:v>
                </c:pt>
                <c:pt idx="57">
                  <c:v>missing</c:v>
                </c:pt>
                <c:pt idx="58">
                  <c:v>missing</c:v>
                </c:pt>
              </c:strCache>
            </c:strRef>
          </c:cat>
          <c:val>
            <c:numRef>
              <c:f>'Gantt Chart for WBS'!$I$12:$I$70</c:f>
              <c:numCache>
                <c:formatCode>General</c:formatCode>
                <c:ptCount val="59"/>
                <c:pt idx="0">
                  <c:v>4</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numCache>
            </c:numRef>
          </c:val>
          <c:extLst>
            <c:ext xmlns:c16="http://schemas.microsoft.com/office/drawing/2014/chart" uri="{C3380CC4-5D6E-409C-BE32-E72D297353CC}">
              <c16:uniqueId val="{00000001-8EDC-4129-B550-F1095A0D7DDD}"/>
            </c:ext>
          </c:extLst>
        </c:ser>
        <c:dLbls>
          <c:showLegendKey val="0"/>
          <c:showVal val="0"/>
          <c:showCatName val="0"/>
          <c:showSerName val="0"/>
          <c:showPercent val="0"/>
          <c:showBubbleSize val="0"/>
        </c:dLbls>
        <c:gapWidth val="150"/>
        <c:overlap val="100"/>
        <c:axId val="750255136"/>
        <c:axId val="750256816"/>
      </c:barChart>
      <c:catAx>
        <c:axId val="750255136"/>
        <c:scaling>
          <c:orientation val="maxMin"/>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50256816"/>
        <c:crosses val="autoZero"/>
        <c:auto val="1"/>
        <c:lblAlgn val="ctr"/>
        <c:lblOffset val="100"/>
        <c:noMultiLvlLbl val="0"/>
      </c:catAx>
      <c:valAx>
        <c:axId val="750256816"/>
        <c:scaling>
          <c:orientation val="minMax"/>
          <c:max val="45805"/>
          <c:min val="45696"/>
        </c:scaling>
        <c:delete val="0"/>
        <c:axPos val="t"/>
        <c:majorGridlines>
          <c:spPr>
            <a:ln w="9525" cap="flat" cmpd="sng" algn="ctr">
              <a:solidFill>
                <a:schemeClr val="tx1">
                  <a:lumMod val="15000"/>
                  <a:lumOff val="85000"/>
                </a:schemeClr>
              </a:solidFill>
              <a:round/>
            </a:ln>
            <a:effectLst/>
          </c:spPr>
        </c:majorGridlines>
        <c:numFmt formatCode="m/d;@"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50255136"/>
        <c:crosses val="autoZero"/>
        <c:crossBetween val="between"/>
        <c:majorUnit val="7"/>
        <c:minorUnit val="1"/>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 l="0" r="0" t="0" header="0" footer="0"/>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3457575</xdr:colOff>
      <xdr:row>0</xdr:row>
      <xdr:rowOff>142874</xdr:rowOff>
    </xdr:from>
    <xdr:to>
      <xdr:col>8</xdr:col>
      <xdr:colOff>647700</xdr:colOff>
      <xdr:row>7</xdr:row>
      <xdr:rowOff>200024</xdr:rowOff>
    </xdr:to>
    <mc:AlternateContent xmlns:mc="http://schemas.openxmlformats.org/markup-compatibility/2006" xmlns:sle15="http://schemas.microsoft.com/office/drawing/2012/slicer">
      <mc:Choice Requires="sle15">
        <xdr:graphicFrame macro="">
          <xdr:nvGraphicFramePr>
            <xdr:cNvPr id="2" name="Column4">
              <a:extLst>
                <a:ext uri="{FF2B5EF4-FFF2-40B4-BE49-F238E27FC236}">
                  <a16:creationId xmlns:a16="http://schemas.microsoft.com/office/drawing/2014/main" id="{180B28E1-67E9-C31A-FBFF-A640AC9CD0A8}"/>
                </a:ext>
              </a:extLst>
            </xdr:cNvPr>
            <xdr:cNvGraphicFramePr/>
          </xdr:nvGraphicFramePr>
          <xdr:xfrm>
            <a:off x="0" y="0"/>
            <a:ext cx="0" cy="0"/>
          </xdr:xfrm>
          <a:graphic>
            <a:graphicData uri="http://schemas.microsoft.com/office/drawing/2010/slicer">
              <sle:slicer xmlns:sle="http://schemas.microsoft.com/office/drawing/2010/slicer" name="Column4"/>
            </a:graphicData>
          </a:graphic>
        </xdr:graphicFrame>
      </mc:Choice>
      <mc:Fallback xmlns="">
        <xdr:sp macro="" textlink="">
          <xdr:nvSpPr>
            <xdr:cNvPr id="0" name=""/>
            <xdr:cNvSpPr>
              <a:spLocks noTextEdit="1"/>
            </xdr:cNvSpPr>
          </xdr:nvSpPr>
          <xdr:spPr>
            <a:xfrm>
              <a:off x="7467600" y="142874"/>
              <a:ext cx="1143000" cy="1781175"/>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781049</xdr:colOff>
      <xdr:row>5</xdr:row>
      <xdr:rowOff>76200</xdr:rowOff>
    </xdr:from>
    <xdr:to>
      <xdr:col>11</xdr:col>
      <xdr:colOff>228600</xdr:colOff>
      <xdr:row>7</xdr:row>
      <xdr:rowOff>173355</xdr:rowOff>
    </xdr:to>
    <mc:AlternateContent xmlns:mc="http://schemas.openxmlformats.org/markup-compatibility/2006" xmlns:sle15="http://schemas.microsoft.com/office/drawing/2012/slicer">
      <mc:Choice Requires="sle15">
        <xdr:graphicFrame macro="">
          <xdr:nvGraphicFramePr>
            <xdr:cNvPr id="3" name="Column3">
              <a:extLst>
                <a:ext uri="{FF2B5EF4-FFF2-40B4-BE49-F238E27FC236}">
                  <a16:creationId xmlns:a16="http://schemas.microsoft.com/office/drawing/2014/main" id="{EAA2D3CB-5E4E-25C9-109B-DE1F948B597F}"/>
                </a:ext>
              </a:extLst>
            </xdr:cNvPr>
            <xdr:cNvGraphicFramePr/>
          </xdr:nvGraphicFramePr>
          <xdr:xfrm>
            <a:off x="0" y="0"/>
            <a:ext cx="0" cy="0"/>
          </xdr:xfrm>
          <a:graphic>
            <a:graphicData uri="http://schemas.microsoft.com/office/drawing/2010/slicer">
              <sle:slicer xmlns:sle="http://schemas.microsoft.com/office/drawing/2010/slicer" name="Column3"/>
            </a:graphicData>
          </a:graphic>
        </xdr:graphicFrame>
      </mc:Choice>
      <mc:Fallback xmlns="">
        <xdr:sp macro="" textlink="">
          <xdr:nvSpPr>
            <xdr:cNvPr id="0" name=""/>
            <xdr:cNvSpPr>
              <a:spLocks noTextEdit="1"/>
            </xdr:cNvSpPr>
          </xdr:nvSpPr>
          <xdr:spPr>
            <a:xfrm>
              <a:off x="8743949" y="1257300"/>
              <a:ext cx="7820026" cy="64008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771524</xdr:colOff>
      <xdr:row>1</xdr:row>
      <xdr:rowOff>285751</xdr:rowOff>
    </xdr:from>
    <xdr:to>
      <xdr:col>11</xdr:col>
      <xdr:colOff>200024</xdr:colOff>
      <xdr:row>4</xdr:row>
      <xdr:rowOff>68581</xdr:rowOff>
    </xdr:to>
    <mc:AlternateContent xmlns:mc="http://schemas.openxmlformats.org/markup-compatibility/2006" xmlns:sle15="http://schemas.microsoft.com/office/drawing/2012/slicer">
      <mc:Choice Requires="sle15">
        <xdr:graphicFrame macro="">
          <xdr:nvGraphicFramePr>
            <xdr:cNvPr id="4" name="Column1">
              <a:extLst>
                <a:ext uri="{FF2B5EF4-FFF2-40B4-BE49-F238E27FC236}">
                  <a16:creationId xmlns:a16="http://schemas.microsoft.com/office/drawing/2014/main" id="{AB040C36-BF67-23A3-83D7-3E5F2AC04F9A}"/>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8734424" y="476251"/>
              <a:ext cx="7800975" cy="64008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oneCellAnchor>
    <xdr:from>
      <xdr:col>15</xdr:col>
      <xdr:colOff>381000</xdr:colOff>
      <xdr:row>3</xdr:row>
      <xdr:rowOff>285750</xdr:rowOff>
    </xdr:from>
    <xdr:ext cx="184731" cy="264560"/>
    <xdr:sp macro="" textlink="">
      <xdr:nvSpPr>
        <xdr:cNvPr id="5" name="TextBox 4">
          <a:extLst>
            <a:ext uri="{FF2B5EF4-FFF2-40B4-BE49-F238E27FC236}">
              <a16:creationId xmlns:a16="http://schemas.microsoft.com/office/drawing/2014/main" id="{479995C4-CB41-869B-2548-BD1052ECC0B8}"/>
            </a:ext>
          </a:extLst>
        </xdr:cNvPr>
        <xdr:cNvSpPr txBox="1"/>
      </xdr:nvSpPr>
      <xdr:spPr>
        <a:xfrm>
          <a:off x="18173700" y="942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twoCellAnchor>
    <xdr:from>
      <xdr:col>8</xdr:col>
      <xdr:colOff>1400175</xdr:colOff>
      <xdr:row>0</xdr:row>
      <xdr:rowOff>142874</xdr:rowOff>
    </xdr:from>
    <xdr:to>
      <xdr:col>11</xdr:col>
      <xdr:colOff>333375</xdr:colOff>
      <xdr:row>1</xdr:row>
      <xdr:rowOff>247649</xdr:rowOff>
    </xdr:to>
    <xdr:sp macro="" textlink="">
      <xdr:nvSpPr>
        <xdr:cNvPr id="6" name="TextBox 5">
          <a:extLst>
            <a:ext uri="{FF2B5EF4-FFF2-40B4-BE49-F238E27FC236}">
              <a16:creationId xmlns:a16="http://schemas.microsoft.com/office/drawing/2014/main" id="{5764091A-9371-3443-6DCB-D8196CDFACC2}"/>
            </a:ext>
          </a:extLst>
        </xdr:cNvPr>
        <xdr:cNvSpPr txBox="1"/>
      </xdr:nvSpPr>
      <xdr:spPr>
        <a:xfrm>
          <a:off x="8724900" y="142874"/>
          <a:ext cx="73056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b="1"/>
            <a:t>Please use</a:t>
          </a:r>
          <a:r>
            <a:rPr lang="en-CA" sz="1200" b="1" baseline="0"/>
            <a:t> the filters below to select which sections of the project you want to see</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644535</xdr:colOff>
      <xdr:row>8</xdr:row>
      <xdr:rowOff>139102</xdr:rowOff>
    </xdr:from>
    <xdr:to>
      <xdr:col>30</xdr:col>
      <xdr:colOff>399038</xdr:colOff>
      <xdr:row>70</xdr:row>
      <xdr:rowOff>5442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0</xdr:colOff>
      <xdr:row>0</xdr:row>
      <xdr:rowOff>152815</xdr:rowOff>
    </xdr:from>
    <xdr:to>
      <xdr:col>10</xdr:col>
      <xdr:colOff>579782</xdr:colOff>
      <xdr:row>8</xdr:row>
      <xdr:rowOff>0</xdr:rowOff>
    </xdr:to>
    <mc:AlternateContent xmlns:mc="http://schemas.openxmlformats.org/markup-compatibility/2006" xmlns:sle15="http://schemas.microsoft.com/office/drawing/2012/slicer">
      <mc:Choice Requires="sle15">
        <xdr:graphicFrame macro="">
          <xdr:nvGraphicFramePr>
            <xdr:cNvPr id="5" name="Level 1">
              <a:extLst>
                <a:ext uri="{FF2B5EF4-FFF2-40B4-BE49-F238E27FC236}">
                  <a16:creationId xmlns:a16="http://schemas.microsoft.com/office/drawing/2014/main" id="{121DB51A-6E34-9726-118C-E4BB821AB5AB}"/>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7458075" y="152815"/>
              <a:ext cx="1170332" cy="159026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0</xdr:colOff>
      <xdr:row>2</xdr:row>
      <xdr:rowOff>65485</xdr:rowOff>
    </xdr:from>
    <xdr:to>
      <xdr:col>30</xdr:col>
      <xdr:colOff>0</xdr:colOff>
      <xdr:row>5</xdr:row>
      <xdr:rowOff>84369</xdr:rowOff>
    </xdr:to>
    <mc:AlternateContent xmlns:mc="http://schemas.openxmlformats.org/markup-compatibility/2006" xmlns:sle15="http://schemas.microsoft.com/office/drawing/2012/slicer">
      <mc:Choice Requires="sle15">
        <xdr:graphicFrame macro="">
          <xdr:nvGraphicFramePr>
            <xdr:cNvPr id="6" name="Level 2">
              <a:extLst>
                <a:ext uri="{FF2B5EF4-FFF2-40B4-BE49-F238E27FC236}">
                  <a16:creationId xmlns:a16="http://schemas.microsoft.com/office/drawing/2014/main" id="{51E00998-6019-4D21-7585-A513EE037159}"/>
                </a:ext>
              </a:extLst>
            </xdr:cNvPr>
            <xdr:cNvGraphicFramePr/>
          </xdr:nvGraphicFramePr>
          <xdr:xfrm>
            <a:off x="0" y="0"/>
            <a:ext cx="0" cy="0"/>
          </xdr:xfrm>
          <a:graphic>
            <a:graphicData uri="http://schemas.microsoft.com/office/drawing/2010/slicer">
              <sle:slicer xmlns:sle="http://schemas.microsoft.com/office/drawing/2010/slicer" name="Level 2"/>
            </a:graphicData>
          </a:graphic>
        </xdr:graphicFrame>
      </mc:Choice>
      <mc:Fallback xmlns="">
        <xdr:sp macro="" textlink="">
          <xdr:nvSpPr>
            <xdr:cNvPr id="0" name=""/>
            <xdr:cNvSpPr>
              <a:spLocks noTextEdit="1"/>
            </xdr:cNvSpPr>
          </xdr:nvSpPr>
          <xdr:spPr>
            <a:xfrm>
              <a:off x="8839200" y="446485"/>
              <a:ext cx="9134475" cy="638009"/>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200024</xdr:colOff>
      <xdr:row>5</xdr:row>
      <xdr:rowOff>102278</xdr:rowOff>
    </xdr:from>
    <xdr:to>
      <xdr:col>30</xdr:col>
      <xdr:colOff>0</xdr:colOff>
      <xdr:row>8</xdr:row>
      <xdr:rowOff>0</xdr:rowOff>
    </xdr:to>
    <mc:AlternateContent xmlns:mc="http://schemas.openxmlformats.org/markup-compatibility/2006" xmlns:sle15="http://schemas.microsoft.com/office/drawing/2012/slicer">
      <mc:Choice Requires="sle15">
        <xdr:graphicFrame macro="">
          <xdr:nvGraphicFramePr>
            <xdr:cNvPr id="7" name="Level 3">
              <a:extLst>
                <a:ext uri="{FF2B5EF4-FFF2-40B4-BE49-F238E27FC236}">
                  <a16:creationId xmlns:a16="http://schemas.microsoft.com/office/drawing/2014/main" id="{D6FA679A-09C2-F8C7-0CCA-238A43DCDDA6}"/>
                </a:ext>
              </a:extLst>
            </xdr:cNvPr>
            <xdr:cNvGraphicFramePr/>
          </xdr:nvGraphicFramePr>
          <xdr:xfrm>
            <a:off x="0" y="0"/>
            <a:ext cx="0" cy="0"/>
          </xdr:xfrm>
          <a:graphic>
            <a:graphicData uri="http://schemas.microsoft.com/office/drawing/2010/slicer">
              <sle:slicer xmlns:sle="http://schemas.microsoft.com/office/drawing/2010/slicer" name="Level 3"/>
            </a:graphicData>
          </a:graphic>
        </xdr:graphicFrame>
      </mc:Choice>
      <mc:Fallback xmlns="">
        <xdr:sp macro="" textlink="">
          <xdr:nvSpPr>
            <xdr:cNvPr id="0" name=""/>
            <xdr:cNvSpPr>
              <a:spLocks noTextEdit="1"/>
            </xdr:cNvSpPr>
          </xdr:nvSpPr>
          <xdr:spPr>
            <a:xfrm>
              <a:off x="8839199" y="1102403"/>
              <a:ext cx="9134476" cy="640672"/>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1" xr10:uid="{75DC49B1-5CA7-4DC1-8AF3-34E234FDCA67}" sourceName="Level 1">
  <extLst>
    <x:ext xmlns:x15="http://schemas.microsoft.com/office/spreadsheetml/2010/11/main" uri="{2F2917AC-EB37-4324-AD4E-5DD8C200BD13}">
      <x15:tableSlicerCache tableId="2"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2" xr10:uid="{566B9109-5A65-4173-BAB3-57CA9237DD9E}" sourceName="Level 2">
  <extLst>
    <x:ext xmlns:x15="http://schemas.microsoft.com/office/spreadsheetml/2010/11/main" uri="{2F2917AC-EB37-4324-AD4E-5DD8C200BD13}">
      <x15:tableSlicerCache tableId="2" column="8"/>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3" xr10:uid="{90D3418C-B724-49FA-ACE7-5C0839981503}" sourceName="Level 3">
  <extLst>
    <x:ext xmlns:x15="http://schemas.microsoft.com/office/spreadsheetml/2010/11/main" uri="{2F2917AC-EB37-4324-AD4E-5DD8C200BD13}">
      <x15:tableSlicerCache tableId="2"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4" xr10:uid="{353EF36E-93CD-4AF8-9576-A28552DCF398}" sourceName="Level 1">
  <extLst>
    <x:ext xmlns:x15="http://schemas.microsoft.com/office/spreadsheetml/2010/11/main" uri="{2F2917AC-EB37-4324-AD4E-5DD8C200BD13}">
      <x15:tableSlicerCache tableId="1" column="8"/>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3" xr10:uid="{366A9DCC-B77E-4C9E-9BB5-CEEEE2F80D50}" sourceName="Level 2">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FE844686-AE18-4EE7-A284-26F89420BD38}" sourceName="Level 3">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4" xr10:uid="{2ECCDD23-F778-4983-998F-975332DC6A08}" cache="Slicer_Column4" caption="Level 1" rowHeight="241300"/>
  <slicer name="Column3" xr10:uid="{80C268F1-A842-4464-B257-DF7AB98EAB17}" cache="Slicer_Column3" caption="Agile Process" columnCount="6" rowHeight="241300"/>
  <slicer name="Column1" xr10:uid="{4E7C5821-4FA2-4F2C-811C-3C080AA2A4C1}" cache="Slicer_Column1" caption="Package"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1" xr10:uid="{15DEEDF6-C650-46E6-99FA-F9B9E90B23BB}" cache="Slicer_Level_1" caption="Level 1" rowHeight="241300"/>
  <slicer name="Level 2" xr10:uid="{2D946EBA-84F0-4CBF-B0CF-2E2164505398}" cache="Slicer_Level_2" caption="Agile Process" columnCount="6" rowHeight="241300"/>
  <slicer name="Level 3" xr10:uid="{4DC0A251-87D8-428D-B4E4-C29833E8343D}" cache="Slicer_Level_3" caption="Work Package" columnCoun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B0687F-947D-4BAC-B076-40853E208CB8}" name="Table3" displayName="Table3" ref="B3:F10" totalsRowShown="0">
  <autoFilter ref="B3:F10" xr:uid="{DCB0687F-947D-4BAC-B076-40853E208CB8}"/>
  <tableColumns count="5">
    <tableColumn id="1" xr3:uid="{A8ABC681-C1D3-4805-A52C-10202CAF13C9}" name="Tier"/>
    <tableColumn id="3" xr3:uid="{ABED3216-1C00-4BE5-83F5-39412A1FBC0E}" name="Project"/>
    <tableColumn id="5" xr3:uid="{50A72410-BEB4-4684-98F6-1872938B1374}" name="Index"/>
    <tableColumn id="2" xr3:uid="{C75D4FC8-D915-4BD1-99F4-C2E4BF404927}" name="Type"/>
    <tableColumn id="4" xr3:uid="{F0810523-E5C7-484C-928E-F2A03B4F2D4D}" name="Descrip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56B81B-3EEA-4DE6-BD1E-5026A7A9319B}" name="wbs" displayName="wbs" ref="B10:M76" totalsRowShown="0" dataDxfId="23">
  <autoFilter ref="B10:M76" xr:uid="{26012199-064B-41AB-AC0B-AF7EBEBB1C3F}"/>
  <tableColumns count="12">
    <tableColumn id="8" xr3:uid="{FFD087B6-3E6F-4AFC-8C30-53A7E9E755D1}" name="Level 1" dataDxfId="22"/>
    <tableColumn id="7" xr3:uid="{276D5755-9D8E-4835-BFE4-0D0347C419C7}" name="Level 2" dataDxfId="21"/>
    <tableColumn id="6" xr3:uid="{80DF10C7-B84B-4C99-9019-D0986BE8E160}" name="Level 3" dataDxfId="20"/>
    <tableColumn id="15" xr3:uid="{5788FE94-D09C-4458-9666-6EC1969E8225}" name="ID" dataDxfId="19"/>
    <tableColumn id="3" xr3:uid="{ADEE4075-1ACA-4EF7-9646-887824F1902A}" name="Start Date" dataDxfId="18">
      <calculatedColumnFormula>$F10+$J10</calculatedColumnFormula>
    </tableColumn>
    <tableColumn id="5" xr3:uid="{A40FD175-D84F-4890-B45D-1A101B9D1371}" name="Completetion" dataDxfId="17">
      <calculatedColumnFormula>wbs[[#This Row],[Start Date]]+wbs[[#This Row],[estimate]]</calculatedColumnFormula>
    </tableColumn>
    <tableColumn id="16" xr3:uid="{1FC59A64-136E-4385-A77A-2F3B9A7B2B26}" name="Task" dataDxfId="16"/>
    <tableColumn id="2" xr3:uid="{8FD609CA-27AF-402D-9910-78D9609D81B4}" name="Task Description" dataDxfId="15"/>
    <tableColumn id="10" xr3:uid="{3117C481-1ED0-4381-919C-C1ACEE9A588B}" name="estimate" dataDxfId="14"/>
    <tableColumn id="9" xr3:uid="{DA2BC481-FD52-4D8A-814E-BCC080E1F723}" name="Predecessor" dataDxfId="13">
      <calculatedColumnFormula>E10</calculatedColumnFormula>
    </tableColumn>
    <tableColumn id="1" xr3:uid="{7A625E7E-BC29-4F7C-8539-AFFD9B370501}" name="Completion" dataDxfId="12">
      <calculatedColumnFormula>IFERROR(wbs[[#This Row],[Column2]]/wbs[[#This Row],[estimate]],"")</calculatedColumnFormula>
    </tableColumn>
    <tableColumn id="4" xr3:uid="{67191239-65C7-4384-B2B6-57DD91C6CC17}" name="Column2" dataDxfId="11">
      <calculatedColumnFormula>IF(current_date-wbs[[#This Row],[Start Date]] &gt;wbs[[#This Row],[estimate]], 0,
  IF(current_date-wbs[[#This Row],[Start Date]] &lt; 0, 0,
     current_date-wbs[[#This Row],[Start Date]])
)</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E0D72B-D4A8-4DA2-86BE-BAF0AF76FB6B}" name="Table2" displayName="Table2" ref="B11:I70" totalsRowShown="0" headerRowDxfId="10" headerRowBorderDxfId="9" tableBorderDxfId="8">
  <autoFilter ref="B11:I70" xr:uid="{DFE0D72B-D4A8-4DA2-86BE-BAF0AF76FB6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6" xr3:uid="{C17DBF80-7CC6-43A1-AA9D-9E949A7DAF0E}" name="Level 1" dataDxfId="7"/>
    <tableColumn id="8" xr3:uid="{5E2C604D-814F-4720-905C-1E8710CA7172}" name="Level 2" dataDxfId="6"/>
    <tableColumn id="7" xr3:uid="{8C550E92-57A6-4353-967C-79A20A8DC6D7}" name="Level 3" dataDxfId="5"/>
    <tableColumn id="1" xr3:uid="{30ED87C2-1B61-4A47-897C-7D00EDCD7AA5}" name="Task ID" dataDxfId="4"/>
    <tableColumn id="2" xr3:uid="{0044DF56-9BF2-4A7B-B32F-6FE2D3E89378}" name="START DATE" dataDxfId="3">
      <calculatedColumnFormula>_xlfn.XLOOKUP(E12,wbs[ID],wbs[Start Date],"missing",0)</calculatedColumnFormula>
    </tableColumn>
    <tableColumn id="3" xr3:uid="{CAE267E7-A904-4AFB-80A2-319313E750F2}" name="END DATE" dataDxfId="2">
      <calculatedColumnFormula>_xlfn.XLOOKUP(E12,wbs[ID],wbs[Completetion],"",0)</calculatedColumnFormula>
    </tableColumn>
    <tableColumn id="4" xr3:uid="{E6F1D66D-8729-4966-A810-733D044F1A66}" name="DESCRIPTION" dataDxfId="1">
      <calculatedColumnFormula>_xlfn.XLOOKUP(E12,wbs[ID],wbs[Task],"missing",0)</calculatedColumnFormula>
    </tableColumn>
    <tableColumn id="5" xr3:uid="{E7988038-B725-4301-B46F-B3360DF52B57}" name="DURATION_x000a_(Days)" dataDxfId="0">
      <calculatedColumnFormula>_xlfn.XLOOKUP(E12,wbs[ID],wbs[estimate],"missing",0)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4B53A1-42E2-48CD-A992-FBFB9ADDC409}" name="Table4" displayName="Table4" ref="B5:I31" totalsRowShown="0">
  <autoFilter ref="B5:I31" xr:uid="{9F4B53A1-42E2-48CD-A992-FBFB9ADDC409}"/>
  <tableColumns count="8">
    <tableColumn id="1" xr3:uid="{0D4E1ADE-4525-47E4-9B25-E156D64C8C67}" name="Project"/>
    <tableColumn id="2" xr3:uid="{4A829935-F225-4386-ADAB-21793C8DEBC3}" name="Level"/>
    <tableColumn id="3" xr3:uid="{7A838EFD-8D86-4319-B3F0-D1EB09A776EC}" name="Package No."/>
    <tableColumn id="4" xr3:uid="{02493A03-943F-45E1-9E37-C25454B1C2F7}" name="Package ID"/>
    <tableColumn id="5" xr3:uid="{C6368515-C5AB-4949-87ED-327840A7343A}" name="Package Name"/>
    <tableColumn id="6" xr3:uid="{123A79A3-E90D-45FD-A237-04027047C094}" name="Sub-Package 1"/>
    <tableColumn id="7" xr3:uid="{DC5C9021-9E92-4100-9F2F-079C81B87324}" name="Package Type"/>
    <tableColumn id="8" xr3:uid="{7E73DC5C-B0E0-42A4-8255-130A808E9ED4}" name="sub-package description"/>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9222E8-EB3E-451C-A5DA-415ED1AC852E}" name="Table5" displayName="Table5" ref="B4:F13" totalsRowShown="0">
  <autoFilter ref="B4:F13" xr:uid="{C89222E8-EB3E-451C-A5DA-415ED1AC852E}"/>
  <tableColumns count="5">
    <tableColumn id="1" xr3:uid="{5026B924-E523-49CF-9609-58C8F8EE8C83}" name="ID"/>
    <tableColumn id="2" xr3:uid="{1C247E7E-A4B1-4A4D-89FD-5B7B085E7F61}" name="Level"/>
    <tableColumn id="5" xr3:uid="{88E0275E-CDB2-496B-87AE-42EEE9C73D2C}" name="Level Type"/>
    <tableColumn id="3" xr3:uid="{732001E3-99B0-4656-B43F-9CAE5B49B9C1}" name="Name"/>
    <tableColumn id="4" xr3:uid="{6B57FBDA-C08A-4AF8-9EDD-53A215B8ADBB}" name="Descripto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D9CA-88DA-4EFD-AE67-F75ABC8A730B}">
  <dimension ref="B3:F10"/>
  <sheetViews>
    <sheetView workbookViewId="0">
      <selection activeCell="F25" sqref="F25"/>
    </sheetView>
  </sheetViews>
  <sheetFormatPr defaultRowHeight="15" x14ac:dyDescent="0.25"/>
  <cols>
    <col min="3" max="3" width="12" customWidth="1"/>
    <col min="4" max="4" width="9.5703125" customWidth="1"/>
    <col min="5" max="5" width="15.7109375" customWidth="1"/>
    <col min="6" max="6" width="36.28515625" customWidth="1"/>
  </cols>
  <sheetData>
    <row r="3" spans="2:6" x14ac:dyDescent="0.25">
      <c r="B3" t="s">
        <v>104</v>
      </c>
      <c r="C3" t="s">
        <v>50</v>
      </c>
      <c r="D3" t="s">
        <v>109</v>
      </c>
      <c r="E3" t="s">
        <v>105</v>
      </c>
      <c r="F3" t="s">
        <v>107</v>
      </c>
    </row>
    <row r="4" spans="2:6" x14ac:dyDescent="0.25">
      <c r="B4">
        <v>1</v>
      </c>
      <c r="C4" t="s">
        <v>106</v>
      </c>
      <c r="D4">
        <v>1</v>
      </c>
      <c r="E4" t="s">
        <v>108</v>
      </c>
      <c r="F4" t="s">
        <v>49</v>
      </c>
    </row>
    <row r="5" spans="2:6" x14ac:dyDescent="0.25">
      <c r="B5">
        <v>1</v>
      </c>
      <c r="C5" t="s">
        <v>106</v>
      </c>
      <c r="D5">
        <v>2</v>
      </c>
      <c r="E5" t="s">
        <v>108</v>
      </c>
      <c r="F5" t="s">
        <v>110</v>
      </c>
    </row>
    <row r="6" spans="2:6" x14ac:dyDescent="0.25">
      <c r="B6">
        <v>1</v>
      </c>
      <c r="C6" t="s">
        <v>106</v>
      </c>
      <c r="D6">
        <v>3</v>
      </c>
      <c r="E6" t="s">
        <v>108</v>
      </c>
      <c r="F6" t="s">
        <v>111</v>
      </c>
    </row>
    <row r="7" spans="2:6" x14ac:dyDescent="0.25">
      <c r="B7">
        <v>1</v>
      </c>
      <c r="C7" t="s">
        <v>106</v>
      </c>
      <c r="D7">
        <v>4</v>
      </c>
      <c r="E7" t="s">
        <v>108</v>
      </c>
      <c r="F7" t="s">
        <v>112</v>
      </c>
    </row>
    <row r="8" spans="2:6" x14ac:dyDescent="0.25">
      <c r="B8">
        <v>1</v>
      </c>
      <c r="C8" t="s">
        <v>106</v>
      </c>
      <c r="D8">
        <v>5</v>
      </c>
      <c r="E8" t="s">
        <v>108</v>
      </c>
      <c r="F8" t="s">
        <v>113</v>
      </c>
    </row>
    <row r="9" spans="2:6" x14ac:dyDescent="0.25">
      <c r="B9">
        <v>1</v>
      </c>
      <c r="C9" t="s">
        <v>106</v>
      </c>
      <c r="D9">
        <v>6</v>
      </c>
      <c r="E9" t="s">
        <v>108</v>
      </c>
      <c r="F9" t="s">
        <v>114</v>
      </c>
    </row>
    <row r="10" spans="2:6" x14ac:dyDescent="0.25">
      <c r="B10">
        <v>1</v>
      </c>
      <c r="C10" t="s">
        <v>106</v>
      </c>
      <c r="D10">
        <v>7</v>
      </c>
      <c r="E10" t="s">
        <v>108</v>
      </c>
      <c r="F10" t="s">
        <v>115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75FBC-9C2C-4AAE-ADE5-FC3D542DD3AD}">
  <dimension ref="B2:R76"/>
  <sheetViews>
    <sheetView showGridLines="0" tabSelected="1" zoomScaleNormal="100" workbookViewId="0">
      <pane ySplit="10" topLeftCell="A60" activePane="bottomLeft" state="frozen"/>
      <selection pane="bottomLeft" activeCell="I63" sqref="I63"/>
    </sheetView>
  </sheetViews>
  <sheetFormatPr defaultRowHeight="15" outlineLevelCol="1" x14ac:dyDescent="0.25"/>
  <cols>
    <col min="2" max="2" width="13" hidden="1" customWidth="1" outlineLevel="1"/>
    <col min="3" max="3" width="20.85546875" hidden="1" customWidth="1" outlineLevel="1"/>
    <col min="4" max="4" width="27.85546875" hidden="1" customWidth="1" outlineLevel="1"/>
    <col min="5" max="5" width="13.5703125" customWidth="1" collapsed="1"/>
    <col min="6" max="7" width="18.7109375" customWidth="1"/>
    <col min="8" max="8" width="59.28515625" customWidth="1"/>
    <col min="9" max="9" width="102" customWidth="1"/>
    <col min="10" max="10" width="11" customWidth="1"/>
    <col min="11" max="11" width="12.5703125" customWidth="1"/>
    <col min="12" max="12" width="13.140625" customWidth="1"/>
    <col min="13" max="13" width="0" hidden="1" customWidth="1" outlineLevel="1"/>
    <col min="14" max="14" width="9.140625" collapsed="1"/>
    <col min="16" max="16" width="11.85546875" customWidth="1"/>
    <col min="17" max="17" width="13.85546875" customWidth="1"/>
    <col min="18" max="18" width="12.85546875" customWidth="1"/>
  </cols>
  <sheetData>
    <row r="2" spans="2:18" ht="28.5" x14ac:dyDescent="0.45">
      <c r="E2" s="30" t="s">
        <v>69</v>
      </c>
      <c r="F2" s="31"/>
      <c r="G2" s="31"/>
      <c r="H2" s="31"/>
      <c r="I2" s="31"/>
    </row>
    <row r="3" spans="2:18" ht="8.25" customHeight="1" x14ac:dyDescent="0.25"/>
    <row r="4" spans="2:18" ht="30.75" customHeight="1" x14ac:dyDescent="0.35">
      <c r="E4" s="104"/>
    </row>
    <row r="5" spans="2:18" ht="10.5" customHeight="1" x14ac:dyDescent="0.25">
      <c r="E5" s="7"/>
    </row>
    <row r="6" spans="2:18" ht="23.25" customHeight="1" x14ac:dyDescent="0.25">
      <c r="E6" s="105"/>
      <c r="F6" s="140"/>
      <c r="G6" s="140"/>
      <c r="H6" s="140"/>
    </row>
    <row r="7" spans="2:18" ht="20.100000000000001" customHeight="1" x14ac:dyDescent="0.3">
      <c r="E7" s="138"/>
      <c r="F7" s="26"/>
    </row>
    <row r="8" spans="2:18" ht="22.5" customHeight="1" x14ac:dyDescent="0.25"/>
    <row r="9" spans="2:18" ht="15.75" x14ac:dyDescent="0.25">
      <c r="B9" s="27" t="s">
        <v>60</v>
      </c>
      <c r="C9" s="28">
        <v>45698</v>
      </c>
      <c r="D9" s="5"/>
      <c r="E9" s="5"/>
      <c r="F9" s="5"/>
      <c r="G9" s="5"/>
      <c r="H9" s="27" t="s">
        <v>59</v>
      </c>
      <c r="I9" s="29">
        <v>45717</v>
      </c>
    </row>
    <row r="10" spans="2:18" x14ac:dyDescent="0.25">
      <c r="B10" t="s">
        <v>86</v>
      </c>
      <c r="C10" t="s">
        <v>87</v>
      </c>
      <c r="D10" t="s">
        <v>88</v>
      </c>
      <c r="E10" t="s">
        <v>58</v>
      </c>
      <c r="F10" t="s">
        <v>57</v>
      </c>
      <c r="G10" t="s">
        <v>56</v>
      </c>
      <c r="H10" t="s">
        <v>61</v>
      </c>
      <c r="I10" t="s">
        <v>55</v>
      </c>
      <c r="J10" t="s">
        <v>54</v>
      </c>
      <c r="K10" t="s">
        <v>53</v>
      </c>
      <c r="L10" t="s">
        <v>52</v>
      </c>
      <c r="M10" t="s">
        <v>51</v>
      </c>
      <c r="R10" s="6"/>
    </row>
    <row r="11" spans="2:18" ht="30" customHeight="1" x14ac:dyDescent="0.25">
      <c r="B11" s="34" t="s">
        <v>100</v>
      </c>
      <c r="C11" s="34" t="s">
        <v>89</v>
      </c>
      <c r="D11" s="34" t="s">
        <v>89</v>
      </c>
      <c r="E11" s="34">
        <v>1</v>
      </c>
      <c r="F11" s="35">
        <f>start_date</f>
        <v>45698</v>
      </c>
      <c r="G11" s="35">
        <f>MAX(G12,G25,G38,G51,G64)</f>
        <v>45702</v>
      </c>
      <c r="H11" s="56" t="s">
        <v>4</v>
      </c>
      <c r="I11" s="57" t="s">
        <v>50</v>
      </c>
      <c r="J11" s="57">
        <f>wbs[[#This Row],[Completetion]]-wbs[[#This Row],[Start Date]]</f>
        <v>4</v>
      </c>
      <c r="K11" s="58"/>
      <c r="L11" s="59">
        <f>IFERROR(wbs[[#This Row],[Column2]]/wbs[[#This Row],[estimate]],"")</f>
        <v>0</v>
      </c>
      <c r="M11" s="60">
        <f>IF(current_date-wbs[[#This Row],[Start Date]] &gt;wbs[[#This Row],[estimate]], 0,
  IF(current_date-wbs[[#This Row],[Start Date]] &lt; 0, 0,
     current_date-wbs[[#This Row],[Start Date]])
)</f>
        <v>0</v>
      </c>
    </row>
    <row r="12" spans="2:18" ht="24.95" customHeight="1" x14ac:dyDescent="0.25">
      <c r="B12" s="106" t="s">
        <v>101</v>
      </c>
      <c r="C12" s="106" t="s">
        <v>90</v>
      </c>
      <c r="D12" s="106" t="s">
        <v>89</v>
      </c>
      <c r="E12" s="116">
        <v>1.1000000000000001</v>
      </c>
      <c r="F12" s="117">
        <f>start_date</f>
        <v>45698</v>
      </c>
      <c r="G12" s="117">
        <f>MAX(G13:G24)</f>
        <v>45698</v>
      </c>
      <c r="H12" s="50" t="s">
        <v>5</v>
      </c>
      <c r="I12" s="51" t="s">
        <v>49</v>
      </c>
      <c r="J12" s="51">
        <f>wbs[[#This Row],[Completetion]]-wbs[[#This Row],[Start Date]]</f>
        <v>0</v>
      </c>
      <c r="K12" s="118"/>
      <c r="L12" s="119" t="str">
        <f>IFERROR(wbs[[#This Row],[Column2]]/wbs[[#This Row],[estimate]],"")</f>
        <v/>
      </c>
      <c r="M12" s="62">
        <f>IF(current_date-wbs[[#This Row],[Start Date]] &gt;wbs[[#This Row],[estimate]], 0,
  IF(current_date-wbs[[#This Row],[Start Date]] &lt; 0, 0,
     current_date-wbs[[#This Row],[Start Date]])
)</f>
        <v>0</v>
      </c>
    </row>
    <row r="13" spans="2:18" ht="20.100000000000001" customHeight="1" x14ac:dyDescent="0.25">
      <c r="B13" s="42" t="s">
        <v>102</v>
      </c>
      <c r="C13" s="42" t="s">
        <v>90</v>
      </c>
      <c r="D13" s="42" t="s">
        <v>95</v>
      </c>
      <c r="E13" s="36" t="s">
        <v>7</v>
      </c>
      <c r="F13" s="37">
        <f>start_date</f>
        <v>45698</v>
      </c>
      <c r="G13" s="37">
        <f>wbs[[#This Row],[Start Date]]+wbs[[#This Row],[estimate]]</f>
        <v>45698</v>
      </c>
      <c r="H13" s="38" t="str">
        <f>_xlfn.CONCAT("Complete Requirements: Package ",wbs[[#This Row],[ID]])</f>
        <v>Complete Requirements: Package 1.1.1</v>
      </c>
      <c r="I13" s="39" t="s">
        <v>43</v>
      </c>
      <c r="J13" s="39">
        <f>SUM(J14:J16)</f>
        <v>0</v>
      </c>
      <c r="K13" s="40"/>
      <c r="L13" s="41" t="str">
        <f>IFERROR(wbs[[#This Row],[Column2]]/wbs[[#This Row],[estimate]],"")</f>
        <v/>
      </c>
      <c r="M13" s="63">
        <f>IF(current_date-wbs[[#This Row],[Start Date]] &gt;wbs[[#This Row],[estimate]], 0,
  IF(current_date-wbs[[#This Row],[Start Date]] &lt; 0, 0,
     current_date-wbs[[#This Row],[Start Date]])
)</f>
        <v>0</v>
      </c>
    </row>
    <row r="14" spans="2:18" ht="20.100000000000001" customHeight="1" x14ac:dyDescent="0.25">
      <c r="B14" s="43" t="s">
        <v>103</v>
      </c>
      <c r="C14" s="43"/>
      <c r="D14" s="43"/>
      <c r="E14" s="120"/>
      <c r="F14" s="121"/>
      <c r="G14" s="121"/>
      <c r="H14" s="52"/>
      <c r="I14" s="33"/>
      <c r="J14" s="31"/>
      <c r="K14" s="122"/>
      <c r="L14" s="123"/>
      <c r="M14" s="64">
        <f>IF(current_date-wbs[[#This Row],[Start Date]] &gt;wbs[[#This Row],[estimate]], 0,
  IF(current_date-wbs[[#This Row],[Start Date]] &lt; 0, 0,
     current_date-wbs[[#This Row],[Start Date]])
)</f>
        <v>0</v>
      </c>
    </row>
    <row r="15" spans="2:18" ht="20.100000000000001" customHeight="1" x14ac:dyDescent="0.25">
      <c r="B15" s="43" t="s">
        <v>103</v>
      </c>
      <c r="C15" s="43"/>
      <c r="D15" s="43"/>
      <c r="E15" s="120"/>
      <c r="F15" s="121"/>
      <c r="G15" s="121"/>
      <c r="H15" s="52"/>
      <c r="I15" s="33"/>
      <c r="J15" s="31"/>
      <c r="K15" s="122"/>
      <c r="L15" s="123"/>
      <c r="M15" s="65">
        <f>IF(current_date-wbs[[#This Row],[Start Date]] &gt;wbs[[#This Row],[estimate]], 0,
  IF(current_date-wbs[[#This Row],[Start Date]] &lt; 0, 0,
     current_date-wbs[[#This Row],[Start Date]])
)</f>
        <v>0</v>
      </c>
    </row>
    <row r="16" spans="2:18" ht="20.100000000000001" customHeight="1" x14ac:dyDescent="0.25">
      <c r="B16" s="43" t="s">
        <v>103</v>
      </c>
      <c r="C16" s="43"/>
      <c r="D16" s="43"/>
      <c r="E16" s="120"/>
      <c r="F16" s="121"/>
      <c r="G16" s="121"/>
      <c r="H16" s="52"/>
      <c r="I16" s="33"/>
      <c r="J16" s="31"/>
      <c r="K16" s="122"/>
      <c r="L16" s="123"/>
      <c r="M16" s="64">
        <f>IF(current_date-wbs[[#This Row],[Start Date]] &gt;wbs[[#This Row],[estimate]], 0,
  IF(current_date-wbs[[#This Row],[Start Date]] &lt; 0, 0,
     current_date-wbs[[#This Row],[Start Date]])
)</f>
        <v>0</v>
      </c>
    </row>
    <row r="17" spans="2:13" ht="20.100000000000001" customHeight="1" x14ac:dyDescent="0.25">
      <c r="B17" s="42" t="s">
        <v>102</v>
      </c>
      <c r="C17" s="42" t="s">
        <v>90</v>
      </c>
      <c r="D17" s="42" t="s">
        <v>96</v>
      </c>
      <c r="E17" s="36" t="s">
        <v>11</v>
      </c>
      <c r="F17" s="37">
        <f>F12</f>
        <v>45698</v>
      </c>
      <c r="G17" s="37">
        <f>wbs[[#This Row],[Start Date]]+wbs[[#This Row],[estimate]]</f>
        <v>45698</v>
      </c>
      <c r="H17" s="38" t="str">
        <f>_xlfn.CONCAT("Complete Requirements: Package ",wbs[[#This Row],[ID]])</f>
        <v>Complete Requirements: Package 1.1.2</v>
      </c>
      <c r="I17" s="39" t="s">
        <v>44</v>
      </c>
      <c r="J17" s="39">
        <f>SUM(J18:J20)</f>
        <v>0</v>
      </c>
      <c r="K17" s="40"/>
      <c r="L17" s="41" t="str">
        <f>IFERROR(wbs[[#This Row],[Column2]]/wbs[[#This Row],[estimate]],"")</f>
        <v/>
      </c>
      <c r="M17" s="63">
        <f>IF(current_date-wbs[[#This Row],[Start Date]] &gt;wbs[[#This Row],[estimate]], 0,
  IF(current_date-wbs[[#This Row],[Start Date]] &lt; 0, 0,
     current_date-wbs[[#This Row],[Start Date]])
)</f>
        <v>0</v>
      </c>
    </row>
    <row r="18" spans="2:13" ht="20.100000000000001" customHeight="1" x14ac:dyDescent="0.25">
      <c r="B18" s="43" t="s">
        <v>103</v>
      </c>
      <c r="C18" s="43"/>
      <c r="D18" s="43"/>
      <c r="E18" s="120"/>
      <c r="F18" s="121"/>
      <c r="G18" s="121"/>
      <c r="H18" s="52"/>
      <c r="I18" s="33"/>
      <c r="J18" s="31"/>
      <c r="K18" s="122"/>
      <c r="L18" s="123"/>
      <c r="M18" s="64">
        <f>IF(current_date-wbs[[#This Row],[Start Date]] &gt;wbs[[#This Row],[estimate]], 0,
  IF(current_date-wbs[[#This Row],[Start Date]] &lt; 0, 0,
     current_date-wbs[[#This Row],[Start Date]])
)</f>
        <v>0</v>
      </c>
    </row>
    <row r="19" spans="2:13" ht="20.100000000000001" customHeight="1" x14ac:dyDescent="0.25">
      <c r="B19" s="43" t="s">
        <v>103</v>
      </c>
      <c r="C19" s="43"/>
      <c r="D19" s="43"/>
      <c r="E19" s="120"/>
      <c r="F19" s="121"/>
      <c r="G19" s="121"/>
      <c r="H19" s="52"/>
      <c r="I19" s="33"/>
      <c r="J19" s="31"/>
      <c r="K19" s="122"/>
      <c r="L19" s="123"/>
      <c r="M19" s="64">
        <f>IF(current_date-wbs[[#This Row],[Start Date]] &gt;wbs[[#This Row],[estimate]], 0,
  IF(current_date-wbs[[#This Row],[Start Date]] &lt; 0, 0,
     current_date-wbs[[#This Row],[Start Date]])
)</f>
        <v>0</v>
      </c>
    </row>
    <row r="20" spans="2:13" ht="20.100000000000001" customHeight="1" x14ac:dyDescent="0.25">
      <c r="B20" s="43" t="s">
        <v>103</v>
      </c>
      <c r="C20" s="43"/>
      <c r="D20" s="43"/>
      <c r="E20" s="120"/>
      <c r="F20" s="121"/>
      <c r="G20" s="121"/>
      <c r="H20" s="52"/>
      <c r="I20" s="33"/>
      <c r="J20" s="31"/>
      <c r="K20" s="122"/>
      <c r="L20" s="123"/>
      <c r="M20" s="64">
        <f>IF(current_date-wbs[[#This Row],[Start Date]] &gt;wbs[[#This Row],[estimate]], 0,
  IF(current_date-wbs[[#This Row],[Start Date]] &lt; 0, 0,
     current_date-wbs[[#This Row],[Start Date]])
)</f>
        <v>0</v>
      </c>
    </row>
    <row r="21" spans="2:13" ht="20.100000000000001" customHeight="1" x14ac:dyDescent="0.25">
      <c r="B21" s="42" t="s">
        <v>102</v>
      </c>
      <c r="C21" s="42" t="s">
        <v>90</v>
      </c>
      <c r="D21" s="42" t="s">
        <v>97</v>
      </c>
      <c r="E21" s="36" t="s">
        <v>15</v>
      </c>
      <c r="F21" s="37">
        <f>F12</f>
        <v>45698</v>
      </c>
      <c r="G21" s="37">
        <f>wbs[[#This Row],[Start Date]]+wbs[[#This Row],[estimate]]</f>
        <v>45698</v>
      </c>
      <c r="H21" s="38" t="str">
        <f>_xlfn.CONCAT("Complete Requirements: Package ",wbs[[#This Row],[ID]])</f>
        <v>Complete Requirements: Package 1.1.3</v>
      </c>
      <c r="I21" s="39" t="s">
        <v>42</v>
      </c>
      <c r="J21" s="39">
        <f>SUM(J22:J24)</f>
        <v>0</v>
      </c>
      <c r="K21" s="40"/>
      <c r="L21" s="41" t="str">
        <f>IFERROR(wbs[[#This Row],[Column2]]/wbs[[#This Row],[estimate]],"")</f>
        <v/>
      </c>
      <c r="M21" s="63">
        <f>IF(current_date-wbs[[#This Row],[Start Date]] &gt;wbs[[#This Row],[estimate]], 0,
  IF(current_date-wbs[[#This Row],[Start Date]] &lt; 0, 0,
     current_date-wbs[[#This Row],[Start Date]])
)</f>
        <v>0</v>
      </c>
    </row>
    <row r="22" spans="2:13" ht="20.100000000000001" customHeight="1" x14ac:dyDescent="0.25">
      <c r="B22" s="43" t="s">
        <v>103</v>
      </c>
      <c r="C22" s="43"/>
      <c r="D22" s="43"/>
      <c r="E22" s="120"/>
      <c r="F22" s="121"/>
      <c r="G22" s="121"/>
      <c r="H22" s="52"/>
      <c r="I22" s="33"/>
      <c r="J22" s="31"/>
      <c r="K22" s="122"/>
      <c r="L22" s="123"/>
      <c r="M22" s="64">
        <f>IF(current_date-wbs[[#This Row],[Start Date]] &gt;wbs[[#This Row],[estimate]], 0,
  IF(current_date-wbs[[#This Row],[Start Date]] &lt; 0, 0,
     current_date-wbs[[#This Row],[Start Date]])
)</f>
        <v>0</v>
      </c>
    </row>
    <row r="23" spans="2:13" ht="20.100000000000001" customHeight="1" x14ac:dyDescent="0.25">
      <c r="B23" s="43" t="s">
        <v>103</v>
      </c>
      <c r="C23" s="43"/>
      <c r="D23" s="43"/>
      <c r="E23" s="120"/>
      <c r="F23" s="121"/>
      <c r="G23" s="121"/>
      <c r="H23" s="53"/>
      <c r="I23" s="33"/>
      <c r="J23" s="31"/>
      <c r="K23" s="122"/>
      <c r="L23" s="123"/>
      <c r="M23" s="64">
        <f>IF(current_date-wbs[[#This Row],[Start Date]] &gt;wbs[[#This Row],[estimate]], 0,
  IF(current_date-wbs[[#This Row],[Start Date]] &lt; 0, 0,
     current_date-wbs[[#This Row],[Start Date]])
)</f>
        <v>0</v>
      </c>
    </row>
    <row r="24" spans="2:13" ht="20.100000000000001" customHeight="1" x14ac:dyDescent="0.25">
      <c r="B24" s="43" t="s">
        <v>103</v>
      </c>
      <c r="C24" s="43"/>
      <c r="D24" s="43"/>
      <c r="E24" s="120"/>
      <c r="F24" s="121"/>
      <c r="G24" s="121"/>
      <c r="H24" s="52"/>
      <c r="I24" s="33"/>
      <c r="J24" s="31"/>
      <c r="K24" s="122"/>
      <c r="L24" s="123"/>
      <c r="M24" s="64">
        <f>IF(current_date-wbs[[#This Row],[Start Date]] &gt;wbs[[#This Row],[estimate]], 0,
  IF(current_date-wbs[[#This Row],[Start Date]] &lt; 0, 0,
     current_date-wbs[[#This Row],[Start Date]])
)</f>
        <v>0</v>
      </c>
    </row>
    <row r="25" spans="2:13" ht="30" customHeight="1" x14ac:dyDescent="0.25">
      <c r="B25" s="106" t="s">
        <v>101</v>
      </c>
      <c r="C25" s="106" t="s">
        <v>91</v>
      </c>
      <c r="D25" s="106" t="s">
        <v>89</v>
      </c>
      <c r="E25" s="116">
        <v>1.2</v>
      </c>
      <c r="F25" s="117">
        <f>G12+1</f>
        <v>45699</v>
      </c>
      <c r="G25" s="117">
        <f>MAX(G26:G37)</f>
        <v>45699</v>
      </c>
      <c r="H25" s="50" t="s">
        <v>62</v>
      </c>
      <c r="I25" s="54" t="s">
        <v>48</v>
      </c>
      <c r="J25" s="51">
        <f>wbs[[#This Row],[Completetion]]-wbs[[#This Row],[Start Date]]</f>
        <v>0</v>
      </c>
      <c r="K25" s="118">
        <v>1.1000000000000001</v>
      </c>
      <c r="L25" s="119" t="str">
        <f>IFERROR(wbs[[#This Row],[Column2]]/wbs[[#This Row],[estimate]],"")</f>
        <v/>
      </c>
      <c r="M25" s="61">
        <f>IF(current_date-wbs[[#This Row],[Start Date]] &gt;wbs[[#This Row],[estimate]], 0,
  IF(current_date-wbs[[#This Row],[Start Date]] &lt; 0, 0,
     current_date-wbs[[#This Row],[Start Date]])
)</f>
        <v>0</v>
      </c>
    </row>
    <row r="26" spans="2:13" ht="24.95" customHeight="1" x14ac:dyDescent="0.25">
      <c r="B26" s="42" t="s">
        <v>102</v>
      </c>
      <c r="C26" s="42" t="s">
        <v>91</v>
      </c>
      <c r="D26" s="42" t="s">
        <v>95</v>
      </c>
      <c r="E26" s="36" t="s">
        <v>19</v>
      </c>
      <c r="F26" s="37">
        <f>F25</f>
        <v>45699</v>
      </c>
      <c r="G26" s="37">
        <f>wbs[[#This Row],[Start Date]]+wbs[[#This Row],[estimate]]</f>
        <v>45699</v>
      </c>
      <c r="H26" s="38" t="str">
        <f>_xlfn.CONCAT("Complete Planning: Package ",wbs[[#This Row],[ID]])</f>
        <v>Complete Planning: Package 1.2.1</v>
      </c>
      <c r="I26" s="39" t="s">
        <v>43</v>
      </c>
      <c r="J26" s="39">
        <f>SUM(J27:J29)</f>
        <v>0</v>
      </c>
      <c r="K26" s="40"/>
      <c r="L26" s="41" t="str">
        <f>IFERROR(wbs[[#This Row],[Column2]]/wbs[[#This Row],[estimate]],"")</f>
        <v/>
      </c>
      <c r="M26" s="63">
        <f>IF(current_date-wbs[[#This Row],[Start Date]] &gt;wbs[[#This Row],[estimate]], 0,
  IF(current_date-wbs[[#This Row],[Start Date]] &lt; 0, 0,
     current_date-wbs[[#This Row],[Start Date]])
)</f>
        <v>0</v>
      </c>
    </row>
    <row r="27" spans="2:13" x14ac:dyDescent="0.25">
      <c r="B27" s="43" t="s">
        <v>103</v>
      </c>
      <c r="C27" s="44"/>
      <c r="D27" s="44"/>
      <c r="E27" s="48"/>
      <c r="F27" s="49"/>
      <c r="G27" s="49"/>
      <c r="H27" s="33"/>
      <c r="I27" s="32"/>
      <c r="J27" s="45"/>
      <c r="K27" s="46"/>
      <c r="L27" s="47"/>
      <c r="M27" s="65">
        <f>IF(current_date-wbs[[#This Row],[Start Date]] &gt;wbs[[#This Row],[estimate]], 0,
  IF(current_date-wbs[[#This Row],[Start Date]] &lt; 0, 0,
     current_date-wbs[[#This Row],[Start Date]])
)</f>
        <v>0</v>
      </c>
    </row>
    <row r="28" spans="2:13" x14ac:dyDescent="0.25">
      <c r="B28" s="43" t="s">
        <v>103</v>
      </c>
      <c r="C28" s="44"/>
      <c r="D28" s="44"/>
      <c r="E28" s="48"/>
      <c r="F28" s="49"/>
      <c r="G28" s="49"/>
      <c r="H28" s="33"/>
      <c r="I28" s="32"/>
      <c r="J28" s="45"/>
      <c r="K28" s="46"/>
      <c r="L28" s="47"/>
      <c r="M28" s="65">
        <f>IF(current_date-wbs[[#This Row],[Start Date]] &gt;wbs[[#This Row],[estimate]], 0,
  IF(current_date-wbs[[#This Row],[Start Date]] &lt; 0, 0,
     current_date-wbs[[#This Row],[Start Date]])
)</f>
        <v>0</v>
      </c>
    </row>
    <row r="29" spans="2:13" x14ac:dyDescent="0.25">
      <c r="B29" s="43" t="s">
        <v>103</v>
      </c>
      <c r="C29" s="44"/>
      <c r="D29" s="44"/>
      <c r="E29" s="48"/>
      <c r="F29" s="49"/>
      <c r="G29" s="49"/>
      <c r="H29" s="33"/>
      <c r="I29" s="32"/>
      <c r="J29" s="45"/>
      <c r="K29" s="46"/>
      <c r="L29" s="47"/>
      <c r="M29" s="66">
        <f>IF(current_date-wbs[[#This Row],[Start Date]] &gt;wbs[[#This Row],[estimate]], 0,
  IF(current_date-wbs[[#This Row],[Start Date]] &lt; 0, 0,
     current_date-wbs[[#This Row],[Start Date]])
)</f>
        <v>0</v>
      </c>
    </row>
    <row r="30" spans="2:13" ht="24.95" customHeight="1" x14ac:dyDescent="0.25">
      <c r="B30" s="42" t="s">
        <v>102</v>
      </c>
      <c r="C30" s="42" t="s">
        <v>91</v>
      </c>
      <c r="D30" s="42" t="s">
        <v>96</v>
      </c>
      <c r="E30" s="36" t="s">
        <v>21</v>
      </c>
      <c r="F30" s="37">
        <f>F25</f>
        <v>45699</v>
      </c>
      <c r="G30" s="37">
        <f>wbs[[#This Row],[Start Date]]+wbs[[#This Row],[estimate]]</f>
        <v>45699</v>
      </c>
      <c r="H30" s="38" t="str">
        <f>_xlfn.CONCAT("Complete Planning: Package ",wbs[[#This Row],[ID]])</f>
        <v>Complete Planning: Package 1.2.2</v>
      </c>
      <c r="I30" s="39" t="s">
        <v>44</v>
      </c>
      <c r="J30" s="39">
        <f>SUM(J31:J33)</f>
        <v>0</v>
      </c>
      <c r="K30" s="40"/>
      <c r="L30" s="41" t="str">
        <f>IFERROR(wbs[[#This Row],[Column2]]/wbs[[#This Row],[estimate]],"")</f>
        <v/>
      </c>
      <c r="M30" s="63">
        <f>IF(current_date-wbs[[#This Row],[Start Date]] &gt;wbs[[#This Row],[estimate]], 0,
  IF(current_date-wbs[[#This Row],[Start Date]] &lt; 0, 0,
     current_date-wbs[[#This Row],[Start Date]])
)</f>
        <v>0</v>
      </c>
    </row>
    <row r="31" spans="2:13" x14ac:dyDescent="0.25">
      <c r="B31" s="43" t="s">
        <v>103</v>
      </c>
      <c r="C31" s="44"/>
      <c r="D31" s="44"/>
      <c r="E31" s="48"/>
      <c r="F31" s="49"/>
      <c r="G31" s="49"/>
      <c r="H31" s="33"/>
      <c r="I31" s="32"/>
      <c r="J31" s="45"/>
      <c r="K31" s="46"/>
      <c r="L31" s="47"/>
      <c r="M31" s="65">
        <f>IF(current_date-wbs[[#This Row],[Start Date]] &gt;wbs[[#This Row],[estimate]], 0,
  IF(current_date-wbs[[#This Row],[Start Date]] &lt; 0, 0,
     current_date-wbs[[#This Row],[Start Date]])
)</f>
        <v>0</v>
      </c>
    </row>
    <row r="32" spans="2:13" x14ac:dyDescent="0.25">
      <c r="B32" s="43" t="s">
        <v>103</v>
      </c>
      <c r="C32" s="44"/>
      <c r="D32" s="44"/>
      <c r="E32" s="48"/>
      <c r="F32" s="49"/>
      <c r="G32" s="49"/>
      <c r="H32" s="33"/>
      <c r="I32" s="32"/>
      <c r="J32" s="45"/>
      <c r="K32" s="46"/>
      <c r="L32" s="47"/>
      <c r="M32" s="65">
        <f>IF(current_date-wbs[[#This Row],[Start Date]] &gt;wbs[[#This Row],[estimate]], 0,
  IF(current_date-wbs[[#This Row],[Start Date]] &lt; 0, 0,
     current_date-wbs[[#This Row],[Start Date]])
)</f>
        <v>0</v>
      </c>
    </row>
    <row r="33" spans="2:13" x14ac:dyDescent="0.25">
      <c r="B33" s="43" t="s">
        <v>103</v>
      </c>
      <c r="C33" s="44"/>
      <c r="D33" s="44"/>
      <c r="E33" s="48"/>
      <c r="F33" s="49"/>
      <c r="G33" s="49"/>
      <c r="H33" s="33"/>
      <c r="I33" s="32"/>
      <c r="J33" s="45"/>
      <c r="K33" s="46"/>
      <c r="L33" s="47"/>
      <c r="M33" s="66">
        <f>IF(current_date-wbs[[#This Row],[Start Date]] &gt;wbs[[#This Row],[estimate]], 0,
  IF(current_date-wbs[[#This Row],[Start Date]] &lt; 0, 0,
     current_date-wbs[[#This Row],[Start Date]])
)</f>
        <v>0</v>
      </c>
    </row>
    <row r="34" spans="2:13" ht="24.95" customHeight="1" x14ac:dyDescent="0.25">
      <c r="B34" s="42" t="s">
        <v>102</v>
      </c>
      <c r="C34" s="42" t="s">
        <v>91</v>
      </c>
      <c r="D34" s="42" t="s">
        <v>97</v>
      </c>
      <c r="E34" s="36" t="s">
        <v>23</v>
      </c>
      <c r="F34" s="37">
        <f>F25</f>
        <v>45699</v>
      </c>
      <c r="G34" s="37">
        <f>wbs[[#This Row],[Start Date]]+wbs[[#This Row],[estimate]]</f>
        <v>45699</v>
      </c>
      <c r="H34" s="38" t="str">
        <f>_xlfn.CONCAT("Complete Planning: Package ",wbs[[#This Row],[ID]])</f>
        <v>Complete Planning: Package 1.2.3</v>
      </c>
      <c r="I34" s="39" t="s">
        <v>42</v>
      </c>
      <c r="J34" s="39">
        <f>SUM(J35:J37)</f>
        <v>0</v>
      </c>
      <c r="K34" s="40"/>
      <c r="L34" s="41" t="str">
        <f>IFERROR(wbs[[#This Row],[Column2]]/wbs[[#This Row],[estimate]],"")</f>
        <v/>
      </c>
      <c r="M34" s="63">
        <f>IF(current_date-wbs[[#This Row],[Start Date]] &gt;wbs[[#This Row],[estimate]], 0,
  IF(current_date-wbs[[#This Row],[Start Date]] &lt; 0, 0,
     current_date-wbs[[#This Row],[Start Date]])
)</f>
        <v>0</v>
      </c>
    </row>
    <row r="35" spans="2:13" x14ac:dyDescent="0.25">
      <c r="B35" s="43" t="s">
        <v>103</v>
      </c>
      <c r="C35" s="44"/>
      <c r="D35" s="44"/>
      <c r="E35" s="48"/>
      <c r="F35" s="49"/>
      <c r="G35" s="49"/>
      <c r="H35" s="33"/>
      <c r="I35" s="32"/>
      <c r="J35" s="45"/>
      <c r="K35" s="46"/>
      <c r="L35" s="47"/>
      <c r="M35" s="65">
        <f>IF(current_date-wbs[[#This Row],[Start Date]] &gt;wbs[[#This Row],[estimate]], 0,
  IF(current_date-wbs[[#This Row],[Start Date]] &lt; 0, 0,
     current_date-wbs[[#This Row],[Start Date]])
)</f>
        <v>0</v>
      </c>
    </row>
    <row r="36" spans="2:13" x14ac:dyDescent="0.25">
      <c r="B36" s="43" t="s">
        <v>103</v>
      </c>
      <c r="C36" s="44"/>
      <c r="D36" s="44"/>
      <c r="E36" s="48"/>
      <c r="F36" s="49"/>
      <c r="G36" s="49"/>
      <c r="H36" s="33"/>
      <c r="I36" s="32"/>
      <c r="J36" s="45"/>
      <c r="K36" s="46"/>
      <c r="L36" s="47"/>
      <c r="M36" s="65">
        <f>IF(current_date-wbs[[#This Row],[Start Date]] &gt;wbs[[#This Row],[estimate]], 0,
  IF(current_date-wbs[[#This Row],[Start Date]] &lt; 0, 0,
     current_date-wbs[[#This Row],[Start Date]])
)</f>
        <v>0</v>
      </c>
    </row>
    <row r="37" spans="2:13" x14ac:dyDescent="0.25">
      <c r="B37" s="43" t="s">
        <v>103</v>
      </c>
      <c r="C37" s="44"/>
      <c r="D37" s="44"/>
      <c r="E37" s="48"/>
      <c r="F37" s="49"/>
      <c r="G37" s="49"/>
      <c r="H37" s="128"/>
      <c r="I37" s="129"/>
      <c r="J37" s="45"/>
      <c r="K37" s="46"/>
      <c r="L37" s="47"/>
      <c r="M37" s="66">
        <f>IF(current_date-wbs[[#This Row],[Start Date]] &gt;wbs[[#This Row],[estimate]], 0,
  IF(current_date-wbs[[#This Row],[Start Date]] &lt; 0, 0,
     current_date-wbs[[#This Row],[Start Date]])
)</f>
        <v>0</v>
      </c>
    </row>
    <row r="38" spans="2:13" ht="30" customHeight="1" x14ac:dyDescent="0.25">
      <c r="B38" s="106" t="s">
        <v>101</v>
      </c>
      <c r="C38" s="106" t="s">
        <v>92</v>
      </c>
      <c r="D38" s="106" t="s">
        <v>89</v>
      </c>
      <c r="E38" s="116">
        <v>1.3</v>
      </c>
      <c r="F38" s="117">
        <f>G25+1</f>
        <v>45700</v>
      </c>
      <c r="G38" s="117">
        <f>MAX(G39:G50)</f>
        <v>45700</v>
      </c>
      <c r="H38" s="50" t="s">
        <v>63</v>
      </c>
      <c r="I38" s="54" t="s">
        <v>47</v>
      </c>
      <c r="J38" s="51">
        <f>wbs[[#This Row],[Completetion]]-wbs[[#This Row],[Start Date]]</f>
        <v>0</v>
      </c>
      <c r="K38" s="118">
        <v>1.2</v>
      </c>
      <c r="L38" s="119" t="str">
        <f>IFERROR(wbs[[#This Row],[Column2]]/wbs[[#This Row],[estimate]],"")</f>
        <v/>
      </c>
      <c r="M38" s="61">
        <f>IF(current_date-wbs[[#This Row],[Start Date]] &gt;wbs[[#This Row],[estimate]], 0,
  IF(current_date-wbs[[#This Row],[Start Date]] &lt; 0, 0,
     current_date-wbs[[#This Row],[Start Date]])
)</f>
        <v>0</v>
      </c>
    </row>
    <row r="39" spans="2:13" ht="24.95" customHeight="1" x14ac:dyDescent="0.25">
      <c r="B39" s="42" t="s">
        <v>102</v>
      </c>
      <c r="C39" s="42" t="s">
        <v>92</v>
      </c>
      <c r="D39" s="42" t="s">
        <v>95</v>
      </c>
      <c r="E39" s="36" t="s">
        <v>25</v>
      </c>
      <c r="F39" s="37">
        <f>F38</f>
        <v>45700</v>
      </c>
      <c r="G39" s="37">
        <f>wbs[[#This Row],[Start Date]]+wbs[[#This Row],[estimate]]</f>
        <v>45700</v>
      </c>
      <c r="H39" s="38" t="str">
        <f>_xlfn.CONCAT("Complete Design: Package ",wbs[[#This Row],[ID]])</f>
        <v>Complete Design: Package 1.3.1</v>
      </c>
      <c r="I39" s="39" t="s">
        <v>43</v>
      </c>
      <c r="J39" s="39">
        <f>SUM(J40:J42)</f>
        <v>0</v>
      </c>
      <c r="K39" s="40"/>
      <c r="L39" s="41" t="str">
        <f>IFERROR(wbs[[#This Row],[Column2]]/wbs[[#This Row],[estimate]],"")</f>
        <v/>
      </c>
      <c r="M39" s="63">
        <f>IF(current_date-wbs[[#This Row],[Start Date]] &gt;wbs[[#This Row],[estimate]], 0,
  IF(current_date-wbs[[#This Row],[Start Date]] &lt; 0, 0,
     current_date-wbs[[#This Row],[Start Date]])
)</f>
        <v>0</v>
      </c>
    </row>
    <row r="40" spans="2:13" ht="20.100000000000001" customHeight="1" x14ac:dyDescent="0.25">
      <c r="B40" s="43" t="s">
        <v>103</v>
      </c>
      <c r="C40" s="44"/>
      <c r="D40" s="44"/>
      <c r="E40" s="48"/>
      <c r="F40" s="49"/>
      <c r="G40" s="49"/>
      <c r="H40" s="128"/>
      <c r="I40" s="128"/>
      <c r="J40" s="45"/>
      <c r="K40" s="46"/>
      <c r="L40" s="47"/>
      <c r="M40" s="67">
        <f>IF(current_date-wbs[[#This Row],[Start Date]] &gt;wbs[[#This Row],[estimate]], 0,
  IF(current_date-wbs[[#This Row],[Start Date]] &lt; 0, 0,
     current_date-wbs[[#This Row],[Start Date]])
)</f>
        <v>0</v>
      </c>
    </row>
    <row r="41" spans="2:13" ht="20.100000000000001" customHeight="1" x14ac:dyDescent="0.25">
      <c r="B41" s="43" t="s">
        <v>103</v>
      </c>
      <c r="C41" s="44"/>
      <c r="D41" s="44"/>
      <c r="E41" s="44"/>
      <c r="F41" s="126"/>
      <c r="G41" s="126"/>
      <c r="H41" s="130"/>
      <c r="I41" s="131"/>
      <c r="J41" s="66"/>
      <c r="K41" s="65"/>
      <c r="L41" s="125"/>
      <c r="M41" s="67">
        <f>IF(current_date-wbs[[#This Row],[Start Date]] &gt;wbs[[#This Row],[estimate]], 0,
  IF(current_date-wbs[[#This Row],[Start Date]] &lt; 0, 0,
     current_date-wbs[[#This Row],[Start Date]])
)</f>
        <v>0</v>
      </c>
    </row>
    <row r="42" spans="2:13" ht="24.95" customHeight="1" x14ac:dyDescent="0.25">
      <c r="B42" s="43" t="s">
        <v>103</v>
      </c>
      <c r="C42" s="44"/>
      <c r="D42" s="44"/>
      <c r="E42" s="48"/>
      <c r="F42" s="49"/>
      <c r="G42" s="49"/>
      <c r="H42" s="128"/>
      <c r="I42" s="128"/>
      <c r="J42" s="45"/>
      <c r="K42" s="46"/>
      <c r="L42" s="47"/>
      <c r="M42" s="66">
        <f>IF(current_date-wbs[[#This Row],[Start Date]] &gt;wbs[[#This Row],[estimate]], 0,
  IF(current_date-wbs[[#This Row],[Start Date]] &lt; 0, 0,
     current_date-wbs[[#This Row],[Start Date]])
)</f>
        <v>0</v>
      </c>
    </row>
    <row r="43" spans="2:13" ht="20.100000000000001" customHeight="1" x14ac:dyDescent="0.25">
      <c r="B43" s="42" t="s">
        <v>102</v>
      </c>
      <c r="C43" s="42" t="s">
        <v>92</v>
      </c>
      <c r="D43" s="42" t="s">
        <v>96</v>
      </c>
      <c r="E43" s="36" t="s">
        <v>27</v>
      </c>
      <c r="F43" s="37">
        <f>F38</f>
        <v>45700</v>
      </c>
      <c r="G43" s="37">
        <f>wbs[[#This Row],[Start Date]]+wbs[[#This Row],[estimate]]</f>
        <v>45700</v>
      </c>
      <c r="H43" s="38" t="str">
        <f>_xlfn.CONCAT("Complete Design: Package ",wbs[[#This Row],[ID]])</f>
        <v>Complete Design: Package 1.3.2</v>
      </c>
      <c r="I43" s="39" t="s">
        <v>44</v>
      </c>
      <c r="J43" s="39">
        <f>SUM(J45:J46)</f>
        <v>0</v>
      </c>
      <c r="K43" s="40"/>
      <c r="L43" s="41" t="str">
        <f>IFERROR(wbs[[#This Row],[Column2]]/wbs[[#This Row],[estimate]],"")</f>
        <v/>
      </c>
      <c r="M43" s="63">
        <f>IF(current_date-wbs[[#This Row],[Start Date]] &gt;wbs[[#This Row],[estimate]], 0,
  IF(current_date-wbs[[#This Row],[Start Date]] &lt; 0, 0,
     current_date-wbs[[#This Row],[Start Date]])
)</f>
        <v>0</v>
      </c>
    </row>
    <row r="44" spans="2:13" ht="20.100000000000001" customHeight="1" x14ac:dyDescent="0.25">
      <c r="B44" s="43" t="s">
        <v>103</v>
      </c>
      <c r="C44" s="132"/>
      <c r="D44" s="132"/>
      <c r="E44" s="132"/>
      <c r="F44" s="133"/>
      <c r="G44" s="133"/>
      <c r="H44" s="134"/>
      <c r="I44" s="135"/>
      <c r="J44" s="135"/>
      <c r="K44" s="67"/>
      <c r="L44" s="136"/>
      <c r="M44" s="67">
        <f>IF(current_date-wbs[[#This Row],[Start Date]] &gt;wbs[[#This Row],[estimate]], 0,
  IF(current_date-wbs[[#This Row],[Start Date]] &lt; 0, 0,
     current_date-wbs[[#This Row],[Start Date]])
)</f>
        <v>0</v>
      </c>
    </row>
    <row r="45" spans="2:13" ht="24.95" customHeight="1" x14ac:dyDescent="0.25">
      <c r="B45" s="43" t="s">
        <v>103</v>
      </c>
      <c r="C45" s="44"/>
      <c r="D45" s="44"/>
      <c r="E45" s="48"/>
      <c r="F45" s="49"/>
      <c r="G45" s="49"/>
      <c r="H45" s="128"/>
      <c r="I45" s="128"/>
      <c r="J45" s="45"/>
      <c r="K45" s="46"/>
      <c r="L45" s="47"/>
      <c r="M45" s="67">
        <f>IF(current_date-wbs[[#This Row],[Start Date]] &gt;wbs[[#This Row],[estimate]], 0,
  IF(current_date-wbs[[#This Row],[Start Date]] &lt; 0, 0,
     current_date-wbs[[#This Row],[Start Date]])
)</f>
        <v>0</v>
      </c>
    </row>
    <row r="46" spans="2:13" ht="20.100000000000001" customHeight="1" x14ac:dyDescent="0.25">
      <c r="B46" s="43" t="s">
        <v>103</v>
      </c>
      <c r="C46" s="44"/>
      <c r="D46" s="44"/>
      <c r="E46" s="48"/>
      <c r="F46" s="49"/>
      <c r="G46" s="49"/>
      <c r="H46" s="128"/>
      <c r="I46" s="128"/>
      <c r="J46" s="45"/>
      <c r="K46" s="46"/>
      <c r="L46" s="47"/>
      <c r="M46" s="66">
        <f>IF(current_date-wbs[[#This Row],[Start Date]] &gt;wbs[[#This Row],[estimate]], 0,
  IF(current_date-wbs[[#This Row],[Start Date]] &lt; 0, 0,
     current_date-wbs[[#This Row],[Start Date]])
)</f>
        <v>0</v>
      </c>
    </row>
    <row r="47" spans="2:13" ht="30" customHeight="1" x14ac:dyDescent="0.25">
      <c r="B47" s="42" t="s">
        <v>102</v>
      </c>
      <c r="C47" s="42" t="s">
        <v>92</v>
      </c>
      <c r="D47" s="42" t="s">
        <v>97</v>
      </c>
      <c r="E47" s="36" t="s">
        <v>29</v>
      </c>
      <c r="F47" s="37">
        <f>F38</f>
        <v>45700</v>
      </c>
      <c r="G47" s="37">
        <f>wbs[[#This Row],[Start Date]]+wbs[[#This Row],[estimate]]</f>
        <v>45700</v>
      </c>
      <c r="H47" s="38" t="str">
        <f>_xlfn.CONCAT("Complete Design: Package ",wbs[[#This Row],[ID]])</f>
        <v>Complete Design: Package 1.3.3</v>
      </c>
      <c r="I47" s="39" t="s">
        <v>42</v>
      </c>
      <c r="J47" s="39">
        <f>SUM(J50)</f>
        <v>0</v>
      </c>
      <c r="K47" s="40"/>
      <c r="L47" s="41" t="str">
        <f>IFERROR(wbs[[#This Row],[Column2]]/wbs[[#This Row],[estimate]],"")</f>
        <v/>
      </c>
      <c r="M47" s="63">
        <f>IF(current_date-wbs[[#This Row],[Start Date]] &gt;wbs[[#This Row],[estimate]], 0,
  IF(current_date-wbs[[#This Row],[Start Date]] &lt; 0, 0,
     current_date-wbs[[#This Row],[Start Date]])
)</f>
        <v>0</v>
      </c>
    </row>
    <row r="48" spans="2:13" ht="24.95" customHeight="1" x14ac:dyDescent="0.25">
      <c r="B48" s="43" t="s">
        <v>103</v>
      </c>
      <c r="C48" s="44"/>
      <c r="D48" s="44"/>
      <c r="E48" s="44"/>
      <c r="F48" s="126"/>
      <c r="G48" s="126"/>
      <c r="H48" s="127"/>
      <c r="I48" s="66"/>
      <c r="J48" s="66"/>
      <c r="K48" s="65"/>
      <c r="L48" s="125"/>
      <c r="M48" s="67">
        <f>IF(current_date-wbs[[#This Row],[Start Date]] &gt;wbs[[#This Row],[estimate]], 0,
  IF(current_date-wbs[[#This Row],[Start Date]] &lt; 0, 0,
     current_date-wbs[[#This Row],[Start Date]])
)</f>
        <v>0</v>
      </c>
    </row>
    <row r="49" spans="2:13" ht="20.100000000000001" customHeight="1" x14ac:dyDescent="0.25">
      <c r="B49" s="43" t="s">
        <v>103</v>
      </c>
      <c r="C49" s="44"/>
      <c r="D49" s="44"/>
      <c r="E49" s="44"/>
      <c r="F49" s="126"/>
      <c r="G49" s="126"/>
      <c r="H49" s="127"/>
      <c r="I49" s="66"/>
      <c r="J49" s="66"/>
      <c r="K49" s="65"/>
      <c r="L49" s="125"/>
      <c r="M49" s="67">
        <f>IF(current_date-wbs[[#This Row],[Start Date]] &gt;wbs[[#This Row],[estimate]], 0,
  IF(current_date-wbs[[#This Row],[Start Date]] &lt; 0, 0,
     current_date-wbs[[#This Row],[Start Date]])
)</f>
        <v>0</v>
      </c>
    </row>
    <row r="50" spans="2:13" ht="20.100000000000001" customHeight="1" x14ac:dyDescent="0.25">
      <c r="B50" s="43" t="s">
        <v>103</v>
      </c>
      <c r="C50" s="44"/>
      <c r="D50" s="44"/>
      <c r="E50" s="48"/>
      <c r="F50" s="49"/>
      <c r="G50" s="49"/>
      <c r="H50" s="128"/>
      <c r="I50" s="128"/>
      <c r="J50" s="45"/>
      <c r="K50" s="46"/>
      <c r="L50" s="47"/>
      <c r="M50" s="66">
        <f>IF(current_date-wbs[[#This Row],[Start Date]] &gt;wbs[[#This Row],[estimate]], 0,
  IF(current_date-wbs[[#This Row],[Start Date]] &lt; 0, 0,
     current_date-wbs[[#This Row],[Start Date]])
)</f>
        <v>0</v>
      </c>
    </row>
    <row r="51" spans="2:13" ht="24" customHeight="1" x14ac:dyDescent="0.25">
      <c r="B51" s="106" t="s">
        <v>101</v>
      </c>
      <c r="C51" s="106" t="s">
        <v>93</v>
      </c>
      <c r="D51" s="106" t="s">
        <v>89</v>
      </c>
      <c r="E51" s="116">
        <v>1.4</v>
      </c>
      <c r="F51" s="117">
        <f>G38+1</f>
        <v>45701</v>
      </c>
      <c r="G51" s="117">
        <f>MAX(G52:G63)</f>
        <v>45701</v>
      </c>
      <c r="H51" s="50" t="s">
        <v>64</v>
      </c>
      <c r="I51" s="54" t="s">
        <v>46</v>
      </c>
      <c r="J51" s="51">
        <f>wbs[[#This Row],[Completetion]]-wbs[[#This Row],[Start Date]]</f>
        <v>0</v>
      </c>
      <c r="K51" s="118">
        <v>1.3</v>
      </c>
      <c r="L51" s="119" t="str">
        <f>IFERROR(wbs[[#This Row],[Column2]]/wbs[[#This Row],[estimate]],"")</f>
        <v/>
      </c>
      <c r="M51" s="61">
        <f>IF(current_date-wbs[[#This Row],[Start Date]] &gt;wbs[[#This Row],[estimate]], 0,
  IF(current_date-wbs[[#This Row],[Start Date]] &lt; 0, 0,
     current_date-wbs[[#This Row],[Start Date]])
)</f>
        <v>0</v>
      </c>
    </row>
    <row r="52" spans="2:13" ht="24.95" customHeight="1" x14ac:dyDescent="0.25">
      <c r="B52" s="42" t="s">
        <v>102</v>
      </c>
      <c r="C52" s="42" t="s">
        <v>93</v>
      </c>
      <c r="D52" s="42" t="s">
        <v>95</v>
      </c>
      <c r="E52" s="36" t="s">
        <v>31</v>
      </c>
      <c r="F52" s="37">
        <f>F51</f>
        <v>45701</v>
      </c>
      <c r="G52" s="37">
        <f>wbs[[#This Row],[Start Date]]+wbs[[#This Row],[estimate]]</f>
        <v>45701</v>
      </c>
      <c r="H52" s="38" t="str">
        <f>_xlfn.CONCAT("Complete Implementation: Package ",wbs[[#This Row],[ID]])</f>
        <v>Complete Implementation: Package 1.4.1</v>
      </c>
      <c r="I52" s="39" t="s">
        <v>43</v>
      </c>
      <c r="J52" s="39">
        <f>SUM(J53:J55)</f>
        <v>0</v>
      </c>
      <c r="K52" s="40"/>
      <c r="L52" s="41" t="str">
        <f>IFERROR(wbs[[#This Row],[Column2]]/wbs[[#This Row],[estimate]],"")</f>
        <v/>
      </c>
      <c r="M52" s="63">
        <f>IF(current_date-wbs[[#This Row],[Start Date]] &gt;wbs[[#This Row],[estimate]], 0,
  IF(current_date-wbs[[#This Row],[Start Date]] &lt; 0, 0,
     current_date-wbs[[#This Row],[Start Date]])
)</f>
        <v>0</v>
      </c>
    </row>
    <row r="53" spans="2:13" ht="20.100000000000001" customHeight="1" x14ac:dyDescent="0.25">
      <c r="B53" s="43" t="s">
        <v>103</v>
      </c>
      <c r="C53" s="44"/>
      <c r="D53" s="44"/>
      <c r="E53" s="48"/>
      <c r="F53" s="49"/>
      <c r="G53" s="49"/>
      <c r="H53" s="128"/>
      <c r="I53" s="137"/>
      <c r="J53" s="45"/>
      <c r="K53" s="46"/>
      <c r="L53" s="47"/>
      <c r="M53" s="65">
        <f>IF(current_date-wbs[[#This Row],[Start Date]] &gt;wbs[[#This Row],[estimate]], 0,
  IF(current_date-wbs[[#This Row],[Start Date]] &lt; 0, 0,
     current_date-wbs[[#This Row],[Start Date]])
)</f>
        <v>0</v>
      </c>
    </row>
    <row r="54" spans="2:13" ht="20.100000000000001" customHeight="1" x14ac:dyDescent="0.25">
      <c r="B54" s="43" t="s">
        <v>103</v>
      </c>
      <c r="C54" s="44"/>
      <c r="D54" s="44"/>
      <c r="E54" s="48"/>
      <c r="F54" s="49"/>
      <c r="G54" s="49"/>
      <c r="H54" s="33"/>
      <c r="I54" s="55"/>
      <c r="J54" s="45"/>
      <c r="K54" s="46"/>
      <c r="L54" s="47"/>
      <c r="M54" s="65">
        <f>IF(current_date-wbs[[#This Row],[Start Date]] &gt;wbs[[#This Row],[estimate]], 0,
  IF(current_date-wbs[[#This Row],[Start Date]] &lt; 0, 0,
     current_date-wbs[[#This Row],[Start Date]])
)</f>
        <v>0</v>
      </c>
    </row>
    <row r="55" spans="2:13" ht="20.100000000000001" customHeight="1" x14ac:dyDescent="0.25">
      <c r="B55" s="43" t="s">
        <v>103</v>
      </c>
      <c r="C55" s="44"/>
      <c r="D55" s="44"/>
      <c r="E55" s="48"/>
      <c r="F55" s="49"/>
      <c r="G55" s="49"/>
      <c r="H55" s="33"/>
      <c r="I55" s="55"/>
      <c r="J55" s="45"/>
      <c r="K55" s="46"/>
      <c r="L55" s="47"/>
      <c r="M55" s="66">
        <f>IF(current_date-wbs[[#This Row],[Start Date]] &gt;wbs[[#This Row],[estimate]], 0,
  IF(current_date-wbs[[#This Row],[Start Date]] &lt; 0, 0,
     current_date-wbs[[#This Row],[Start Date]])
)</f>
        <v>0</v>
      </c>
    </row>
    <row r="56" spans="2:13" ht="24.95" customHeight="1" x14ac:dyDescent="0.25">
      <c r="B56" s="42" t="s">
        <v>102</v>
      </c>
      <c r="C56" s="42" t="s">
        <v>93</v>
      </c>
      <c r="D56" s="42" t="s">
        <v>96</v>
      </c>
      <c r="E56" s="36" t="s">
        <v>33</v>
      </c>
      <c r="F56" s="37">
        <f>F51</f>
        <v>45701</v>
      </c>
      <c r="G56" s="37">
        <f>wbs[[#This Row],[Start Date]]+wbs[[#This Row],[estimate]]</f>
        <v>45701</v>
      </c>
      <c r="H56" s="38" t="str">
        <f>_xlfn.CONCAT("Complete Implementation: Package ",wbs[[#This Row],[ID]])</f>
        <v>Complete Implementation: Package 1.4.2</v>
      </c>
      <c r="I56" s="39" t="s">
        <v>44</v>
      </c>
      <c r="J56" s="39">
        <f>SUM(J57:J59)</f>
        <v>0</v>
      </c>
      <c r="K56" s="40"/>
      <c r="L56" s="41" t="str">
        <f>IFERROR(wbs[[#This Row],[Column2]]/wbs[[#This Row],[estimate]],"")</f>
        <v/>
      </c>
      <c r="M56" s="63">
        <f>IF(current_date-wbs[[#This Row],[Start Date]] &gt;wbs[[#This Row],[estimate]], 0,
  IF(current_date-wbs[[#This Row],[Start Date]] &lt; 0, 0,
     current_date-wbs[[#This Row],[Start Date]])
)</f>
        <v>0</v>
      </c>
    </row>
    <row r="57" spans="2:13" ht="20.100000000000001" customHeight="1" x14ac:dyDescent="0.25">
      <c r="B57" s="43" t="s">
        <v>103</v>
      </c>
      <c r="C57" s="44"/>
      <c r="D57" s="44"/>
      <c r="E57" s="48"/>
      <c r="F57" s="49"/>
      <c r="G57" s="49"/>
      <c r="H57" s="33"/>
      <c r="I57" s="55"/>
      <c r="J57" s="45"/>
      <c r="K57" s="46"/>
      <c r="L57" s="47"/>
      <c r="M57" s="65">
        <f>IF(current_date-wbs[[#This Row],[Start Date]] &gt;wbs[[#This Row],[estimate]], 0,
  IF(current_date-wbs[[#This Row],[Start Date]] &lt; 0, 0,
     current_date-wbs[[#This Row],[Start Date]])
)</f>
        <v>0</v>
      </c>
    </row>
    <row r="58" spans="2:13" ht="20.100000000000001" customHeight="1" x14ac:dyDescent="0.25">
      <c r="B58" s="43" t="s">
        <v>103</v>
      </c>
      <c r="C58" s="44"/>
      <c r="D58" s="44"/>
      <c r="E58" s="48"/>
      <c r="F58" s="49"/>
      <c r="G58" s="49"/>
      <c r="H58" s="33"/>
      <c r="I58" s="55"/>
      <c r="J58" s="45"/>
      <c r="K58" s="46"/>
      <c r="L58" s="47"/>
      <c r="M58" s="65">
        <f>IF(current_date-wbs[[#This Row],[Start Date]] &gt;wbs[[#This Row],[estimate]], 0,
  IF(current_date-wbs[[#This Row],[Start Date]] &lt; 0, 0,
     current_date-wbs[[#This Row],[Start Date]])
)</f>
        <v>0</v>
      </c>
    </row>
    <row r="59" spans="2:13" ht="20.100000000000001" customHeight="1" x14ac:dyDescent="0.25">
      <c r="B59" s="43" t="s">
        <v>103</v>
      </c>
      <c r="C59" s="44"/>
      <c r="D59" s="44"/>
      <c r="E59" s="48"/>
      <c r="F59" s="49"/>
      <c r="G59" s="49"/>
      <c r="H59" s="33"/>
      <c r="I59" s="55"/>
      <c r="J59" s="45"/>
      <c r="K59" s="46"/>
      <c r="L59" s="47"/>
      <c r="M59" s="66">
        <f>IF(current_date-wbs[[#This Row],[Start Date]] &gt;wbs[[#This Row],[estimate]], 0,
  IF(current_date-wbs[[#This Row],[Start Date]] &lt; 0, 0,
     current_date-wbs[[#This Row],[Start Date]])
)</f>
        <v>0</v>
      </c>
    </row>
    <row r="60" spans="2:13" ht="30" customHeight="1" x14ac:dyDescent="0.25">
      <c r="B60" s="42" t="s">
        <v>102</v>
      </c>
      <c r="C60" s="42" t="s">
        <v>93</v>
      </c>
      <c r="D60" s="42" t="s">
        <v>97</v>
      </c>
      <c r="E60" s="36" t="s">
        <v>34</v>
      </c>
      <c r="F60" s="37">
        <f>F51</f>
        <v>45701</v>
      </c>
      <c r="G60" s="37">
        <f>wbs[[#This Row],[Start Date]]+wbs[[#This Row],[estimate]]</f>
        <v>45701</v>
      </c>
      <c r="H60" s="38" t="str">
        <f>_xlfn.CONCAT("Complete Implementation: Package ",wbs[[#This Row],[ID]])</f>
        <v>Complete Implementation: Package 1.4.3</v>
      </c>
      <c r="I60" s="39" t="s">
        <v>42</v>
      </c>
      <c r="J60" s="39">
        <f>SUM(J61:J63)</f>
        <v>0</v>
      </c>
      <c r="K60" s="40"/>
      <c r="L60" s="41" t="str">
        <f>IFERROR(wbs[[#This Row],[Column2]]/wbs[[#This Row],[estimate]],"")</f>
        <v/>
      </c>
      <c r="M60" s="63">
        <f>IF(current_date-wbs[[#This Row],[Start Date]] &gt;wbs[[#This Row],[estimate]], 0,
  IF(current_date-wbs[[#This Row],[Start Date]] &lt; 0, 0,
     current_date-wbs[[#This Row],[Start Date]])
)</f>
        <v>0</v>
      </c>
    </row>
    <row r="61" spans="2:13" ht="24.95" customHeight="1" x14ac:dyDescent="0.25">
      <c r="B61" s="43" t="s">
        <v>103</v>
      </c>
      <c r="C61" s="44"/>
      <c r="D61" s="44"/>
      <c r="E61" s="48"/>
      <c r="F61" s="49"/>
      <c r="G61" s="49"/>
      <c r="H61" s="33"/>
      <c r="I61" s="55"/>
      <c r="J61" s="45"/>
      <c r="K61" s="46"/>
      <c r="L61" s="47"/>
      <c r="M61" s="65">
        <f>IF(current_date-wbs[[#This Row],[Start Date]] &gt;wbs[[#This Row],[estimate]], 0,
  IF(current_date-wbs[[#This Row],[Start Date]] &lt; 0, 0,
     current_date-wbs[[#This Row],[Start Date]])
)</f>
        <v>0</v>
      </c>
    </row>
    <row r="62" spans="2:13" ht="20.100000000000001" customHeight="1" x14ac:dyDescent="0.25">
      <c r="B62" s="43" t="s">
        <v>103</v>
      </c>
      <c r="C62" s="44"/>
      <c r="D62" s="44"/>
      <c r="E62" s="48"/>
      <c r="F62" s="49"/>
      <c r="G62" s="49"/>
      <c r="H62" s="33"/>
      <c r="I62" s="55"/>
      <c r="J62" s="45"/>
      <c r="K62" s="46"/>
      <c r="L62" s="47"/>
      <c r="M62" s="65">
        <f>IF(current_date-wbs[[#This Row],[Start Date]] &gt;wbs[[#This Row],[estimate]], 0,
  IF(current_date-wbs[[#This Row],[Start Date]] &lt; 0, 0,
     current_date-wbs[[#This Row],[Start Date]])
)</f>
        <v>0</v>
      </c>
    </row>
    <row r="63" spans="2:13" ht="20.100000000000001" customHeight="1" x14ac:dyDescent="0.25">
      <c r="B63" s="43" t="s">
        <v>103</v>
      </c>
      <c r="C63" s="44"/>
      <c r="D63" s="44"/>
      <c r="E63" s="48"/>
      <c r="F63" s="49"/>
      <c r="G63" s="49"/>
      <c r="H63" s="33"/>
      <c r="I63" s="55"/>
      <c r="J63" s="45"/>
      <c r="K63" s="46"/>
      <c r="L63" s="47"/>
      <c r="M63" s="66">
        <f>IF(current_date-wbs[[#This Row],[Start Date]] &gt;wbs[[#This Row],[estimate]], 0,
  IF(current_date-wbs[[#This Row],[Start Date]] &lt; 0, 0,
     current_date-wbs[[#This Row],[Start Date]])
)</f>
        <v>0</v>
      </c>
    </row>
    <row r="64" spans="2:13" ht="24.95" customHeight="1" x14ac:dyDescent="0.25">
      <c r="B64" s="106" t="s">
        <v>101</v>
      </c>
      <c r="C64" s="106" t="s">
        <v>94</v>
      </c>
      <c r="D64" s="106" t="s">
        <v>89</v>
      </c>
      <c r="E64" s="116">
        <v>1.5</v>
      </c>
      <c r="F64" s="117">
        <f>G51+1</f>
        <v>45702</v>
      </c>
      <c r="G64" s="117">
        <f>MAX(G65:G76)</f>
        <v>45702</v>
      </c>
      <c r="H64" s="50" t="s">
        <v>65</v>
      </c>
      <c r="I64" s="54" t="s">
        <v>45</v>
      </c>
      <c r="J64" s="51">
        <f>wbs[[#This Row],[Completetion]]-wbs[[#This Row],[Start Date]]</f>
        <v>0</v>
      </c>
      <c r="K64" s="118">
        <v>1.4</v>
      </c>
      <c r="L64" s="119" t="str">
        <f>IFERROR(wbs[[#This Row],[Column2]]/wbs[[#This Row],[estimate]],"")</f>
        <v/>
      </c>
      <c r="M64" s="61">
        <f>IF(current_date-wbs[[#This Row],[Start Date]] &gt;wbs[[#This Row],[estimate]], 0,
  IF(current_date-wbs[[#This Row],[Start Date]] &lt; 0, 0,
     current_date-wbs[[#This Row],[Start Date]])
)</f>
        <v>0</v>
      </c>
    </row>
    <row r="65" spans="2:13" ht="20.100000000000001" customHeight="1" x14ac:dyDescent="0.25">
      <c r="B65" s="42" t="s">
        <v>102</v>
      </c>
      <c r="C65" s="42" t="s">
        <v>94</v>
      </c>
      <c r="D65" s="42" t="s">
        <v>95</v>
      </c>
      <c r="E65" s="36" t="s">
        <v>36</v>
      </c>
      <c r="F65" s="37">
        <f>F64</f>
        <v>45702</v>
      </c>
      <c r="G65" s="37">
        <f>wbs[[#This Row],[Start Date]]+wbs[[#This Row],[estimate]]</f>
        <v>45702</v>
      </c>
      <c r="H65" s="38" t="str">
        <f>_xlfn.CONCAT("Complete Deployment: Package ",wbs[[#This Row],[ID]])</f>
        <v>Complete Deployment: Package 1.5.1</v>
      </c>
      <c r="I65" s="39" t="s">
        <v>43</v>
      </c>
      <c r="J65" s="39">
        <f>SUM(J66:J68)</f>
        <v>0</v>
      </c>
      <c r="K65" s="40"/>
      <c r="L65" s="41" t="str">
        <f>IFERROR(wbs[[#This Row],[Column2]]/wbs[[#This Row],[estimate]],"")</f>
        <v/>
      </c>
      <c r="M65" s="63">
        <f>IF(current_date-wbs[[#This Row],[Start Date]] &gt;wbs[[#This Row],[estimate]], 0,
  IF(current_date-wbs[[#This Row],[Start Date]] &lt; 0, 0,
     current_date-wbs[[#This Row],[Start Date]])
)</f>
        <v>0</v>
      </c>
    </row>
    <row r="66" spans="2:13" ht="35.25" customHeight="1" x14ac:dyDescent="0.25">
      <c r="B66" s="43" t="s">
        <v>103</v>
      </c>
      <c r="C66" s="44"/>
      <c r="D66" s="44"/>
      <c r="E66" s="48" t="s">
        <v>129</v>
      </c>
      <c r="F66" s="49"/>
      <c r="G66" s="49" t="s">
        <v>130</v>
      </c>
      <c r="H66" s="128" t="s">
        <v>139</v>
      </c>
      <c r="I66" s="33" t="s">
        <v>128</v>
      </c>
      <c r="J66" s="45"/>
      <c r="K66" s="46"/>
      <c r="L66" s="47"/>
      <c r="M66" s="65">
        <f>IF(current_date-wbs[[#This Row],[Start Date]] &gt;wbs[[#This Row],[estimate]], 0,
  IF(current_date-wbs[[#This Row],[Start Date]] &lt; 0, 0,
     current_date-wbs[[#This Row],[Start Date]])
)</f>
        <v>0</v>
      </c>
    </row>
    <row r="67" spans="2:13" ht="24.95" customHeight="1" x14ac:dyDescent="0.25">
      <c r="B67" s="43" t="s">
        <v>103</v>
      </c>
      <c r="C67" s="44"/>
      <c r="D67" s="44"/>
      <c r="E67" s="44"/>
      <c r="F67" s="126"/>
      <c r="G67" s="126"/>
      <c r="H67" s="130"/>
      <c r="I67" s="124"/>
      <c r="J67" s="66"/>
      <c r="K67" s="65"/>
      <c r="L67" s="125"/>
      <c r="M67" s="65">
        <f>IF(current_date-wbs[[#This Row],[Start Date]] &gt;wbs[[#This Row],[estimate]], 0,
  IF(current_date-wbs[[#This Row],[Start Date]] &lt; 0, 0,
     current_date-wbs[[#This Row],[Start Date]])
)</f>
        <v>0</v>
      </c>
    </row>
    <row r="68" spans="2:13" ht="20.100000000000001" customHeight="1" x14ac:dyDescent="0.25">
      <c r="B68" s="43" t="s">
        <v>103</v>
      </c>
      <c r="C68" s="43"/>
      <c r="D68" s="43"/>
      <c r="E68" s="120"/>
      <c r="F68" s="49"/>
      <c r="G68" s="49"/>
      <c r="H68" s="128"/>
      <c r="I68" s="33"/>
      <c r="J68" s="45"/>
      <c r="K68" s="46"/>
      <c r="L68" s="47"/>
      <c r="M68" s="66">
        <f>IF(current_date-wbs[[#This Row],[Start Date]] &gt;wbs[[#This Row],[estimate]], 0,
  IF(current_date-wbs[[#This Row],[Start Date]] &lt; 0, 0,
     current_date-wbs[[#This Row],[Start Date]])
)</f>
        <v>0</v>
      </c>
    </row>
    <row r="69" spans="2:13" ht="20.100000000000001" customHeight="1" x14ac:dyDescent="0.25">
      <c r="B69" s="42" t="s">
        <v>102</v>
      </c>
      <c r="C69" s="42" t="s">
        <v>94</v>
      </c>
      <c r="D69" s="42" t="s">
        <v>96</v>
      </c>
      <c r="E69" s="36" t="s">
        <v>37</v>
      </c>
      <c r="F69" s="37">
        <f>F64</f>
        <v>45702</v>
      </c>
      <c r="G69" s="37">
        <f>wbs[[#This Row],[Start Date]]+wbs[[#This Row],[estimate]]</f>
        <v>45702</v>
      </c>
      <c r="H69" s="38" t="str">
        <f>_xlfn.CONCAT("Complete Deployment: Package ",wbs[[#This Row],[ID]])</f>
        <v>Complete Deployment: Package 1.5.2</v>
      </c>
      <c r="I69" s="39" t="s">
        <v>44</v>
      </c>
      <c r="J69" s="39">
        <f>SUM(J70:J72)</f>
        <v>0</v>
      </c>
      <c r="K69" s="40"/>
      <c r="L69" s="41" t="str">
        <f>IFERROR(wbs[[#This Row],[Column2]]/wbs[[#This Row],[estimate]],"")</f>
        <v/>
      </c>
      <c r="M69" s="63">
        <f>IF(current_date-wbs[[#This Row],[Start Date]] &gt;wbs[[#This Row],[estimate]], 0,
  IF(current_date-wbs[[#This Row],[Start Date]] &lt; 0, 0,
     current_date-wbs[[#This Row],[Start Date]])
)</f>
        <v>0</v>
      </c>
    </row>
    <row r="70" spans="2:13" x14ac:dyDescent="0.25">
      <c r="B70" s="43" t="s">
        <v>103</v>
      </c>
      <c r="C70" s="44"/>
      <c r="D70" s="44"/>
      <c r="E70" s="48"/>
      <c r="F70" s="49"/>
      <c r="G70" s="49"/>
      <c r="H70" s="128"/>
      <c r="I70" s="33"/>
      <c r="J70" s="45"/>
      <c r="K70" s="46"/>
      <c r="L70" s="47"/>
      <c r="M70" s="65">
        <f>IF(current_date-wbs[[#This Row],[Start Date]] &gt;wbs[[#This Row],[estimate]], 0,
  IF(current_date-wbs[[#This Row],[Start Date]] &lt; 0, 0,
     current_date-wbs[[#This Row],[Start Date]])
)</f>
        <v>0</v>
      </c>
    </row>
    <row r="71" spans="2:13" x14ac:dyDescent="0.25">
      <c r="B71" s="43" t="s">
        <v>103</v>
      </c>
      <c r="C71" s="44"/>
      <c r="D71" s="44"/>
      <c r="E71" s="44"/>
      <c r="F71" s="126"/>
      <c r="G71" s="126"/>
      <c r="H71" s="130"/>
      <c r="I71" s="124"/>
      <c r="J71" s="66"/>
      <c r="K71" s="65"/>
      <c r="L71" s="125"/>
      <c r="M71" s="65">
        <f>IF(current_date-wbs[[#This Row],[Start Date]] &gt;wbs[[#This Row],[estimate]], 0,
  IF(current_date-wbs[[#This Row],[Start Date]] &lt; 0, 0,
     current_date-wbs[[#This Row],[Start Date]])
)</f>
        <v>0</v>
      </c>
    </row>
    <row r="72" spans="2:13" x14ac:dyDescent="0.25">
      <c r="B72" s="43" t="s">
        <v>103</v>
      </c>
      <c r="C72" s="43"/>
      <c r="D72" s="43"/>
      <c r="E72" s="120"/>
      <c r="F72" s="49"/>
      <c r="G72" s="49"/>
      <c r="H72" s="128"/>
      <c r="I72" s="33"/>
      <c r="J72" s="45"/>
      <c r="K72" s="46"/>
      <c r="L72" s="47"/>
      <c r="M72" s="66">
        <f>IF(current_date-wbs[[#This Row],[Start Date]] &gt;wbs[[#This Row],[estimate]], 0,
  IF(current_date-wbs[[#This Row],[Start Date]] &lt; 0, 0,
     current_date-wbs[[#This Row],[Start Date]])
)</f>
        <v>0</v>
      </c>
    </row>
    <row r="73" spans="2:13" x14ac:dyDescent="0.25">
      <c r="B73" s="42" t="s">
        <v>102</v>
      </c>
      <c r="C73" s="42" t="s">
        <v>94</v>
      </c>
      <c r="D73" s="42" t="s">
        <v>97</v>
      </c>
      <c r="E73" s="36" t="s">
        <v>39</v>
      </c>
      <c r="F73" s="37">
        <f>F64</f>
        <v>45702</v>
      </c>
      <c r="G73" s="37">
        <f>wbs[[#This Row],[Start Date]]+wbs[[#This Row],[estimate]]</f>
        <v>45702</v>
      </c>
      <c r="H73" s="38" t="str">
        <f>_xlfn.CONCAT("Complete Deployment: Package ",wbs[[#This Row],[ID]])</f>
        <v>Complete Deployment: Package 1.5.3</v>
      </c>
      <c r="I73" s="39" t="s">
        <v>42</v>
      </c>
      <c r="J73" s="39">
        <f>SUM(J74:J76)</f>
        <v>0</v>
      </c>
      <c r="K73" s="40"/>
      <c r="L73" s="41" t="str">
        <f>IFERROR(wbs[[#This Row],[Column2]]/wbs[[#This Row],[estimate]],"")</f>
        <v/>
      </c>
      <c r="M73" s="63">
        <f>IF(current_date-wbs[[#This Row],[Start Date]] &gt;wbs[[#This Row],[estimate]], 0,
  IF(current_date-wbs[[#This Row],[Start Date]] &lt; 0, 0,
     current_date-wbs[[#This Row],[Start Date]])
)</f>
        <v>0</v>
      </c>
    </row>
    <row r="74" spans="2:13" x14ac:dyDescent="0.25">
      <c r="B74" s="43" t="s">
        <v>103</v>
      </c>
      <c r="C74" s="44"/>
      <c r="D74" s="44"/>
      <c r="E74" s="48"/>
      <c r="F74" s="49"/>
      <c r="G74" s="49"/>
      <c r="H74" s="128"/>
      <c r="I74" s="33"/>
      <c r="J74" s="45"/>
      <c r="K74" s="46"/>
      <c r="L74" s="47"/>
      <c r="M74" s="65">
        <f>IF(current_date-wbs[[#This Row],[Start Date]] &gt;wbs[[#This Row],[estimate]], 0,
  IF(current_date-wbs[[#This Row],[Start Date]] &lt; 0, 0,
     current_date-wbs[[#This Row],[Start Date]])
)</f>
        <v>0</v>
      </c>
    </row>
    <row r="75" spans="2:13" x14ac:dyDescent="0.25">
      <c r="B75" s="43" t="s">
        <v>103</v>
      </c>
      <c r="C75" s="44"/>
      <c r="D75" s="44"/>
      <c r="E75" s="44"/>
      <c r="F75" s="126"/>
      <c r="G75" s="126"/>
      <c r="H75" s="130"/>
      <c r="I75" s="124"/>
      <c r="J75" s="66"/>
      <c r="K75" s="65"/>
      <c r="L75" s="125"/>
      <c r="M75" s="65">
        <f>IF(current_date-wbs[[#This Row],[Start Date]] &gt;wbs[[#This Row],[estimate]], 0,
  IF(current_date-wbs[[#This Row],[Start Date]] &lt; 0, 0,
     current_date-wbs[[#This Row],[Start Date]])
)</f>
        <v>0</v>
      </c>
    </row>
    <row r="76" spans="2:13" x14ac:dyDescent="0.25">
      <c r="B76" s="43" t="s">
        <v>103</v>
      </c>
      <c r="C76" s="43"/>
      <c r="D76" s="43"/>
      <c r="E76" s="120"/>
      <c r="F76" s="49"/>
      <c r="G76" s="49"/>
      <c r="H76" s="33"/>
      <c r="I76" s="33"/>
      <c r="J76" s="45"/>
      <c r="K76" s="46"/>
      <c r="L76" s="47"/>
      <c r="M76" s="66">
        <f>IF(current_date-wbs[[#This Row],[Start Date]] &gt;wbs[[#This Row],[estimate]], 0,
  IF(current_date-wbs[[#This Row],[Start Date]] &lt; 0, 0,
     current_date-wbs[[#This Row],[Start Date]])
)</f>
        <v>0</v>
      </c>
    </row>
  </sheetData>
  <mergeCells count="1">
    <mergeCell ref="F6:H6"/>
  </mergeCells>
  <phoneticPr fontId="9" type="noConversion"/>
  <pageMargins left="0.7" right="0.7" top="0.75" bottom="0.75" header="0.3" footer="0.3"/>
  <pageSetup orientation="portrait" horizontalDpi="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71"/>
  <sheetViews>
    <sheetView showGridLines="0" zoomScaleNormal="100" workbookViewId="0">
      <selection activeCell="F4" sqref="F4:H8"/>
    </sheetView>
  </sheetViews>
  <sheetFormatPr defaultColWidth="8.85546875" defaultRowHeight="15" outlineLevelCol="1" x14ac:dyDescent="0.25"/>
  <cols>
    <col min="1" max="1" width="2.28515625" style="1" customWidth="1"/>
    <col min="2" max="2" width="14.5703125" style="69" hidden="1" customWidth="1" outlineLevel="1"/>
    <col min="3" max="3" width="14.85546875" style="1" hidden="1" customWidth="1" outlineLevel="1"/>
    <col min="4" max="4" width="12.7109375" style="1" hidden="1" customWidth="1" outlineLevel="1"/>
    <col min="5" max="5" width="11.7109375" style="1" customWidth="1" collapsed="1"/>
    <col min="6" max="7" width="15.7109375" style="1" customWidth="1"/>
    <col min="8" max="8" width="56.7109375" style="1" customWidth="1"/>
    <col min="9" max="9" width="9.7109375" style="1" customWidth="1"/>
    <col min="10" max="11" width="8.85546875" style="1"/>
    <col min="12" max="12" width="3" style="1" customWidth="1"/>
    <col min="13" max="13" width="2.7109375" style="1" customWidth="1"/>
    <col min="14" max="15" width="8.85546875" style="1"/>
    <col min="16" max="16" width="6.7109375" style="1" customWidth="1"/>
    <col min="17" max="18" width="2.28515625" style="1" customWidth="1"/>
    <col min="19" max="24" width="2.7109375" style="1" customWidth="1"/>
    <col min="25" max="26" width="8.85546875" style="1"/>
    <col min="27" max="27" width="27.7109375" style="1" customWidth="1"/>
    <col min="28" max="28" width="13.28515625" style="1" customWidth="1"/>
    <col min="29" max="29" width="14.7109375" style="1" customWidth="1"/>
    <col min="30" max="30" width="15.5703125" style="1" customWidth="1"/>
    <col min="31" max="31" width="2.5703125" style="1" customWidth="1"/>
    <col min="32" max="16384" width="8.85546875" style="1"/>
  </cols>
  <sheetData>
    <row r="1" spans="1:31" x14ac:dyDescent="0.25">
      <c r="A1" s="2"/>
      <c r="B1" s="68"/>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15" customHeight="1" x14ac:dyDescent="0.3">
      <c r="A2" s="2"/>
      <c r="B2" s="68"/>
      <c r="C2" s="2"/>
      <c r="D2" s="2"/>
      <c r="E2" s="144" t="s">
        <v>41</v>
      </c>
      <c r="F2" s="144"/>
      <c r="G2" s="144"/>
      <c r="H2" s="144"/>
      <c r="I2" s="2"/>
      <c r="J2" s="92"/>
      <c r="K2" s="92"/>
      <c r="L2" s="92"/>
      <c r="M2" s="99" t="s">
        <v>98</v>
      </c>
      <c r="N2" s="2"/>
      <c r="O2" s="92"/>
      <c r="P2" s="92"/>
      <c r="Q2" s="92"/>
      <c r="R2" s="92"/>
      <c r="S2" s="92"/>
      <c r="T2" s="92"/>
      <c r="U2" s="92"/>
      <c r="V2" s="92"/>
      <c r="W2" s="92"/>
      <c r="X2" s="92"/>
      <c r="Y2" s="92"/>
      <c r="Z2" s="2"/>
      <c r="AA2" s="2"/>
      <c r="AB2" s="2"/>
      <c r="AC2" s="102" t="s">
        <v>85</v>
      </c>
      <c r="AD2" s="103">
        <f>MAX(G12:G70) + 5</f>
        <v>45707</v>
      </c>
      <c r="AE2" s="2"/>
    </row>
    <row r="3" spans="1:31" ht="9.75" customHeight="1" x14ac:dyDescent="0.25">
      <c r="A3" s="2"/>
      <c r="B3" s="68"/>
      <c r="C3" s="2"/>
      <c r="D3" s="2"/>
      <c r="E3" s="144"/>
      <c r="F3" s="144"/>
      <c r="G3" s="144"/>
      <c r="H3" s="144"/>
      <c r="I3" s="98"/>
      <c r="J3" s="92"/>
      <c r="K3" s="92"/>
      <c r="L3" s="92"/>
      <c r="M3" s="92"/>
      <c r="N3" s="92"/>
      <c r="O3" s="92"/>
      <c r="P3" s="92"/>
      <c r="Q3" s="92"/>
      <c r="R3" s="92"/>
      <c r="S3" s="92"/>
      <c r="T3" s="92"/>
      <c r="U3" s="92"/>
      <c r="V3" s="92"/>
      <c r="W3" s="92"/>
      <c r="X3" s="92"/>
      <c r="Y3" s="92"/>
      <c r="Z3" s="2"/>
      <c r="AA3" s="2"/>
      <c r="AB3" s="2"/>
      <c r="AC3" s="2"/>
      <c r="AD3" s="2"/>
      <c r="AE3" s="2"/>
    </row>
    <row r="4" spans="1:31" ht="21" customHeight="1" x14ac:dyDescent="0.25">
      <c r="A4" s="2"/>
      <c r="B4" s="68"/>
      <c r="C4" s="2"/>
      <c r="D4" s="2"/>
      <c r="E4" s="98"/>
      <c r="F4" s="98"/>
      <c r="G4" s="98"/>
      <c r="H4" s="98"/>
      <c r="I4" s="98"/>
      <c r="J4" s="92"/>
      <c r="K4" s="92"/>
      <c r="L4" s="92"/>
      <c r="M4" s="92"/>
      <c r="N4" s="92"/>
      <c r="O4" s="92"/>
      <c r="P4" s="92"/>
      <c r="Q4" s="92"/>
      <c r="R4" s="92"/>
      <c r="S4" s="92"/>
      <c r="T4" s="92"/>
      <c r="U4" s="92"/>
      <c r="V4" s="92"/>
      <c r="W4" s="92"/>
      <c r="X4" s="92"/>
      <c r="Y4" s="92"/>
      <c r="Z4" s="2"/>
      <c r="AA4" s="2"/>
      <c r="AB4" s="2"/>
      <c r="AC4" s="2"/>
      <c r="AD4" s="2"/>
      <c r="AE4" s="2"/>
    </row>
    <row r="5" spans="1:31" ht="18" customHeight="1" x14ac:dyDescent="0.25">
      <c r="A5" s="2"/>
      <c r="B5" s="93"/>
      <c r="C5" s="2"/>
      <c r="D5" s="2"/>
      <c r="E5" s="2"/>
      <c r="F5" s="94"/>
      <c r="G5" s="94"/>
      <c r="H5" s="92"/>
      <c r="I5" s="94"/>
      <c r="J5" s="92"/>
      <c r="K5" s="92"/>
      <c r="L5" s="92"/>
      <c r="M5" s="92"/>
      <c r="N5" s="92"/>
      <c r="O5" s="92"/>
      <c r="P5" s="92"/>
      <c r="Q5" s="92"/>
      <c r="R5" s="92"/>
      <c r="S5" s="92"/>
      <c r="T5" s="92"/>
      <c r="U5" s="92"/>
      <c r="V5" s="92"/>
      <c r="W5" s="92"/>
      <c r="X5" s="92"/>
      <c r="Y5" s="92"/>
      <c r="Z5" s="2"/>
      <c r="AA5" s="2"/>
      <c r="AB5" s="2"/>
      <c r="AC5" s="2"/>
      <c r="AD5" s="2"/>
      <c r="AE5" s="2"/>
    </row>
    <row r="6" spans="1:31" ht="16.5" customHeight="1" x14ac:dyDescent="0.25">
      <c r="A6" s="2"/>
      <c r="B6" s="93"/>
      <c r="C6" s="2"/>
      <c r="D6" s="2"/>
      <c r="E6" s="2"/>
      <c r="F6" s="92"/>
      <c r="G6" s="92"/>
      <c r="H6" s="92"/>
      <c r="I6" s="92"/>
      <c r="J6" s="92"/>
      <c r="K6" s="92"/>
      <c r="L6" s="92"/>
      <c r="M6" s="92"/>
      <c r="N6" s="92"/>
      <c r="O6" s="92"/>
      <c r="P6" s="92"/>
      <c r="Q6" s="92"/>
      <c r="R6" s="92"/>
      <c r="S6" s="92"/>
      <c r="T6" s="92"/>
      <c r="U6" s="92"/>
      <c r="V6" s="92"/>
      <c r="W6" s="92"/>
      <c r="X6" s="92"/>
      <c r="Y6" s="92"/>
      <c r="Z6" s="2"/>
      <c r="AA6" s="2"/>
      <c r="AB6" s="2"/>
      <c r="AC6" s="2"/>
      <c r="AD6" s="2"/>
      <c r="AE6" s="2"/>
    </row>
    <row r="7" spans="1:31" ht="21" customHeight="1" thickBot="1" x14ac:dyDescent="0.3">
      <c r="A7" s="2"/>
      <c r="B7" s="100" t="s">
        <v>99</v>
      </c>
      <c r="C7" s="2"/>
      <c r="D7" s="2"/>
      <c r="E7" s="2"/>
      <c r="F7" s="95"/>
      <c r="G7" s="95"/>
      <c r="H7" s="95"/>
      <c r="I7" s="95"/>
      <c r="J7" s="92"/>
      <c r="K7" s="92"/>
      <c r="L7" s="92"/>
      <c r="M7" s="92"/>
      <c r="N7" s="92"/>
      <c r="O7" s="92"/>
      <c r="P7" s="92"/>
      <c r="Q7" s="92"/>
      <c r="R7" s="92"/>
      <c r="S7" s="92"/>
      <c r="T7" s="92"/>
      <c r="U7" s="92"/>
      <c r="V7" s="92"/>
      <c r="W7" s="92"/>
      <c r="X7" s="92"/>
      <c r="Y7" s="92"/>
      <c r="Z7" s="2"/>
      <c r="AA7" s="2"/>
      <c r="AB7" s="2"/>
      <c r="AC7" s="2"/>
      <c r="AD7" s="2"/>
      <c r="AE7" s="2"/>
    </row>
    <row r="8" spans="1:31" ht="21" customHeight="1" thickBot="1" x14ac:dyDescent="0.3">
      <c r="A8" s="2"/>
      <c r="B8" s="101">
        <f>AD2</f>
        <v>45707</v>
      </c>
      <c r="C8" s="2"/>
      <c r="D8" s="2"/>
      <c r="E8" s="2"/>
      <c r="F8" s="96"/>
      <c r="G8" s="97"/>
      <c r="H8" s="97"/>
      <c r="I8" s="97"/>
      <c r="J8" s="97"/>
      <c r="K8" s="97"/>
      <c r="L8" s="97"/>
      <c r="M8" s="97"/>
      <c r="N8" s="97"/>
      <c r="O8" s="97"/>
      <c r="P8" s="97"/>
      <c r="Q8" s="97"/>
      <c r="R8" s="92"/>
      <c r="S8" s="92"/>
      <c r="T8" s="92"/>
      <c r="U8" s="92"/>
      <c r="V8" s="92"/>
      <c r="W8" s="92"/>
      <c r="X8" s="92"/>
      <c r="Y8" s="92"/>
      <c r="Z8" s="2"/>
      <c r="AA8" s="2"/>
      <c r="AB8" s="2"/>
      <c r="AC8" s="2"/>
      <c r="AD8" s="2"/>
      <c r="AE8" s="2"/>
    </row>
    <row r="9" spans="1:31" ht="12" customHeight="1" thickBot="1" x14ac:dyDescent="0.3">
      <c r="A9" s="2"/>
      <c r="B9" s="68"/>
      <c r="C9" s="2"/>
      <c r="D9" s="2"/>
      <c r="E9" s="2"/>
      <c r="F9" s="2"/>
      <c r="G9" s="2"/>
      <c r="H9" s="2"/>
      <c r="I9" s="2"/>
      <c r="J9" s="2"/>
      <c r="K9" s="2"/>
      <c r="L9" s="2"/>
      <c r="M9" s="2"/>
      <c r="N9" s="2"/>
      <c r="O9" s="2"/>
      <c r="P9" s="2"/>
      <c r="Q9" s="2"/>
      <c r="R9" s="2"/>
      <c r="S9" s="2"/>
      <c r="T9" s="2"/>
      <c r="U9" s="2"/>
      <c r="V9" s="2"/>
      <c r="W9" s="2"/>
      <c r="X9" s="2"/>
      <c r="Y9" s="2"/>
      <c r="Z9" s="2"/>
      <c r="AA9" s="2"/>
      <c r="AB9" s="2"/>
      <c r="AC9" s="2"/>
      <c r="AD9" s="2"/>
      <c r="AE9" s="2"/>
    </row>
    <row r="10" spans="1:31" ht="25.5" customHeight="1" thickTop="1" thickBot="1" x14ac:dyDescent="0.3">
      <c r="A10" s="2"/>
      <c r="B10" s="141" t="s">
        <v>68</v>
      </c>
      <c r="C10" s="142"/>
      <c r="D10" s="142"/>
      <c r="E10" s="142"/>
      <c r="F10" s="142"/>
      <c r="G10" s="142"/>
      <c r="H10" s="142"/>
      <c r="I10" s="143"/>
      <c r="J10" s="89"/>
      <c r="K10" s="4"/>
      <c r="L10" s="4"/>
      <c r="M10" s="4"/>
      <c r="N10" s="4"/>
      <c r="O10" s="4"/>
      <c r="P10" s="4"/>
      <c r="Q10" s="4"/>
      <c r="R10" s="4"/>
      <c r="S10" s="4"/>
      <c r="T10" s="4"/>
      <c r="U10" s="4"/>
      <c r="V10" s="4"/>
      <c r="W10" s="4"/>
      <c r="X10" s="4"/>
      <c r="Y10" s="4"/>
      <c r="Z10" s="4"/>
      <c r="AA10" s="4"/>
      <c r="AB10" s="4"/>
      <c r="AC10" s="4"/>
      <c r="AD10" s="90"/>
      <c r="AE10" s="2"/>
    </row>
    <row r="11" spans="1:31" ht="30.75" customHeight="1" thickTop="1" x14ac:dyDescent="0.25">
      <c r="A11" s="2"/>
      <c r="B11" s="86" t="s">
        <v>86</v>
      </c>
      <c r="C11" s="91" t="s">
        <v>87</v>
      </c>
      <c r="D11" s="91" t="s">
        <v>88</v>
      </c>
      <c r="E11" s="85" t="s">
        <v>6</v>
      </c>
      <c r="F11" s="86" t="s">
        <v>0</v>
      </c>
      <c r="G11" s="86" t="s">
        <v>1</v>
      </c>
      <c r="H11" s="86" t="s">
        <v>2</v>
      </c>
      <c r="I11" s="87" t="s">
        <v>3</v>
      </c>
      <c r="J11" s="83"/>
      <c r="L11" s="79"/>
      <c r="M11" s="79"/>
      <c r="N11" s="79"/>
      <c r="O11" s="79"/>
      <c r="P11" s="79"/>
      <c r="Q11" s="79"/>
      <c r="R11" s="79"/>
      <c r="S11" s="79"/>
      <c r="T11" s="79"/>
      <c r="U11" s="70"/>
      <c r="V11" s="70"/>
      <c r="W11" s="70"/>
      <c r="X11" s="70"/>
      <c r="Y11" s="70"/>
      <c r="Z11" s="70"/>
      <c r="AA11" s="70"/>
      <c r="AB11" s="70"/>
      <c r="AC11" s="70"/>
      <c r="AD11" s="80"/>
      <c r="AE11" s="2"/>
    </row>
    <row r="12" spans="1:31" ht="21.95" customHeight="1" x14ac:dyDescent="0.25">
      <c r="A12" s="2"/>
      <c r="B12" s="88" t="s">
        <v>100</v>
      </c>
      <c r="C12" s="88" t="s">
        <v>89</v>
      </c>
      <c r="D12" s="88" t="s">
        <v>89</v>
      </c>
      <c r="E12" s="12">
        <v>1</v>
      </c>
      <c r="F12" s="13">
        <f>_xlfn.XLOOKUP(E12,wbs[ID],wbs[Start Date],"missing",0)</f>
        <v>45698</v>
      </c>
      <c r="G12" s="13">
        <f>_xlfn.XLOOKUP(E12,wbs[ID],wbs[Completetion],"",0)</f>
        <v>45702</v>
      </c>
      <c r="H12" s="14" t="str">
        <f>_xlfn.XLOOKUP(E12,wbs[ID],wbs[Task],"missing",0)</f>
        <v>Complete Project</v>
      </c>
      <c r="I12" s="15">
        <f>_xlfn.XLOOKUP(E12,wbs[ID],wbs[estimate],"missing",0)</f>
        <v>4</v>
      </c>
      <c r="J12" s="84"/>
      <c r="K12" s="70"/>
      <c r="L12" s="70"/>
      <c r="M12" s="70"/>
      <c r="N12" s="70"/>
      <c r="O12" s="70"/>
      <c r="P12" s="70"/>
      <c r="Q12" s="70"/>
      <c r="R12" s="70"/>
      <c r="S12" s="70"/>
      <c r="T12" s="70"/>
      <c r="U12" s="70"/>
      <c r="V12" s="70"/>
      <c r="W12" s="70"/>
      <c r="X12" s="70"/>
      <c r="Y12" s="70"/>
      <c r="Z12" s="70"/>
      <c r="AA12" s="70"/>
      <c r="AB12" s="70"/>
      <c r="AC12" s="70"/>
      <c r="AD12" s="80"/>
      <c r="AE12" s="2"/>
    </row>
    <row r="13" spans="1:31" ht="21.95" customHeight="1" x14ac:dyDescent="0.25">
      <c r="A13" s="2"/>
      <c r="B13" s="88" t="s">
        <v>101</v>
      </c>
      <c r="C13" s="88" t="s">
        <v>90</v>
      </c>
      <c r="D13" s="88" t="s">
        <v>89</v>
      </c>
      <c r="E13" s="16">
        <v>1.1000000000000001</v>
      </c>
      <c r="F13" s="17">
        <f>_xlfn.XLOOKUP(E13,wbs[ID],wbs[Start Date],"missing",0)</f>
        <v>45698</v>
      </c>
      <c r="G13" s="17">
        <f>_xlfn.XLOOKUP(E13,wbs[ID],wbs[Completetion],"",0)</f>
        <v>45698</v>
      </c>
      <c r="H13" s="18" t="str">
        <f>_xlfn.XLOOKUP(E13,wbs[ID],wbs[Task],"missing",0)</f>
        <v>Complete Requirements</v>
      </c>
      <c r="I13" s="19">
        <f>_xlfn.XLOOKUP(E13,wbs[ID],wbs[estimate],"missing",0)</f>
        <v>0</v>
      </c>
      <c r="J13" s="84"/>
      <c r="K13" s="70"/>
      <c r="L13" s="70"/>
      <c r="M13" s="70"/>
      <c r="N13" s="70"/>
      <c r="O13" s="70"/>
      <c r="P13" s="70"/>
      <c r="Q13" s="70"/>
      <c r="R13" s="70"/>
      <c r="S13" s="70"/>
      <c r="T13" s="70"/>
      <c r="U13" s="70"/>
      <c r="V13" s="70"/>
      <c r="W13" s="70"/>
      <c r="X13" s="70"/>
      <c r="Y13" s="70"/>
      <c r="Z13" s="70"/>
      <c r="AA13" s="70"/>
      <c r="AB13" s="70"/>
      <c r="AC13" s="70"/>
      <c r="AD13" s="80"/>
      <c r="AE13" s="2"/>
    </row>
    <row r="14" spans="1:31" ht="21.95" customHeight="1" x14ac:dyDescent="0.25">
      <c r="A14" s="2"/>
      <c r="B14" s="88" t="s">
        <v>102</v>
      </c>
      <c r="C14" s="88" t="s">
        <v>90</v>
      </c>
      <c r="D14" s="88" t="s">
        <v>95</v>
      </c>
      <c r="E14" s="21" t="s">
        <v>7</v>
      </c>
      <c r="F14" s="22">
        <f>_xlfn.XLOOKUP(E14,wbs[ID],wbs[Start Date],"missing",0)</f>
        <v>45698</v>
      </c>
      <c r="G14" s="22">
        <f>_xlfn.XLOOKUP(E14,wbs[ID],wbs[Completetion],"",0)</f>
        <v>45698</v>
      </c>
      <c r="H14" s="23" t="str">
        <f>_xlfn.XLOOKUP(E14,wbs[ID],wbs[Task],"missing",0)</f>
        <v>Complete Requirements: Package 1.1.1</v>
      </c>
      <c r="I14" s="24">
        <f>_xlfn.XLOOKUP(E14,wbs[ID],wbs[estimate],"missing",0)</f>
        <v>0</v>
      </c>
      <c r="J14" s="84"/>
      <c r="K14" s="70"/>
      <c r="L14" s="70"/>
      <c r="M14" s="70"/>
      <c r="N14" s="70"/>
      <c r="O14" s="70"/>
      <c r="P14" s="70"/>
      <c r="Q14" s="70"/>
      <c r="R14" s="70"/>
      <c r="S14" s="70"/>
      <c r="T14" s="70"/>
      <c r="U14" s="70"/>
      <c r="V14" s="70"/>
      <c r="W14" s="70"/>
      <c r="X14" s="70"/>
      <c r="Y14" s="70"/>
      <c r="Z14" s="70"/>
      <c r="AA14" s="70"/>
      <c r="AB14" s="70"/>
      <c r="AC14" s="70"/>
      <c r="AD14" s="80"/>
      <c r="AE14" s="2"/>
    </row>
    <row r="15" spans="1:31" ht="21.95" customHeight="1" x14ac:dyDescent="0.25">
      <c r="A15" s="2"/>
      <c r="B15" s="88" t="s">
        <v>103</v>
      </c>
      <c r="C15" s="88" t="s">
        <v>90</v>
      </c>
      <c r="D15" s="88" t="s">
        <v>95</v>
      </c>
      <c r="E15" s="3" t="s">
        <v>8</v>
      </c>
      <c r="F15" s="9" t="str">
        <f>_xlfn.XLOOKUP(E15,wbs[ID],wbs[Start Date],"missing",0)</f>
        <v>missing</v>
      </c>
      <c r="G15" s="8" t="str">
        <f>_xlfn.XLOOKUP(E15,wbs[ID],wbs[Completetion],"",0)</f>
        <v/>
      </c>
      <c r="H15" s="10" t="str">
        <f>_xlfn.XLOOKUP(E15,wbs[ID],wbs[Task],"missing",0)</f>
        <v>missing</v>
      </c>
      <c r="I15" s="11" t="str">
        <f>_xlfn.XLOOKUP(E15,wbs[ID],wbs[estimate],"missing",0)</f>
        <v>missing</v>
      </c>
      <c r="J15" s="84"/>
      <c r="K15" s="70"/>
      <c r="L15" s="70"/>
      <c r="M15" s="70"/>
      <c r="N15" s="70"/>
      <c r="O15" s="70"/>
      <c r="P15" s="70"/>
      <c r="Q15" s="70"/>
      <c r="R15" s="70"/>
      <c r="S15" s="70"/>
      <c r="T15" s="70"/>
      <c r="U15" s="70"/>
      <c r="V15" s="70"/>
      <c r="W15" s="70"/>
      <c r="X15" s="70"/>
      <c r="Y15" s="70"/>
      <c r="Z15" s="70"/>
      <c r="AA15" s="70"/>
      <c r="AB15" s="70"/>
      <c r="AC15" s="70"/>
      <c r="AD15" s="80"/>
      <c r="AE15" s="2"/>
    </row>
    <row r="16" spans="1:31" ht="21.95" customHeight="1" x14ac:dyDescent="0.25">
      <c r="A16" s="2"/>
      <c r="B16" s="88" t="s">
        <v>103</v>
      </c>
      <c r="C16" s="88" t="s">
        <v>90</v>
      </c>
      <c r="D16" s="88" t="s">
        <v>95</v>
      </c>
      <c r="E16" s="3" t="s">
        <v>9</v>
      </c>
      <c r="F16" s="9" t="str">
        <f>_xlfn.XLOOKUP(E16,wbs[ID],wbs[Start Date],"missing",0)</f>
        <v>missing</v>
      </c>
      <c r="G16" s="8" t="str">
        <f>_xlfn.XLOOKUP(E16,wbs[ID],wbs[Completetion],"",0)</f>
        <v/>
      </c>
      <c r="H16" s="10" t="str">
        <f>_xlfn.XLOOKUP(E16,wbs[ID],wbs[Task],"missing",0)</f>
        <v>missing</v>
      </c>
      <c r="I16" s="11" t="str">
        <f>_xlfn.XLOOKUP(E16,wbs[ID],wbs[estimate],"missing",0)</f>
        <v>missing</v>
      </c>
      <c r="J16" s="84"/>
      <c r="K16" s="70"/>
      <c r="L16" s="70"/>
      <c r="M16" s="70"/>
      <c r="N16" s="70"/>
      <c r="O16" s="70"/>
      <c r="P16" s="70"/>
      <c r="Q16" s="70"/>
      <c r="R16" s="70"/>
      <c r="S16" s="70"/>
      <c r="T16" s="70"/>
      <c r="U16" s="70"/>
      <c r="V16" s="70"/>
      <c r="W16" s="70"/>
      <c r="X16" s="70"/>
      <c r="Y16" s="70"/>
      <c r="Z16" s="70"/>
      <c r="AA16" s="70"/>
      <c r="AB16" s="70"/>
      <c r="AC16" s="70"/>
      <c r="AD16" s="80"/>
      <c r="AE16" s="2"/>
    </row>
    <row r="17" spans="1:31" ht="21.95" customHeight="1" x14ac:dyDescent="0.25">
      <c r="A17" s="2"/>
      <c r="B17" s="88" t="s">
        <v>103</v>
      </c>
      <c r="C17" s="88" t="s">
        <v>90</v>
      </c>
      <c r="D17" s="88" t="s">
        <v>95</v>
      </c>
      <c r="E17" s="3" t="s">
        <v>10</v>
      </c>
      <c r="F17" s="9" t="str">
        <f>_xlfn.XLOOKUP(E17,wbs[ID],wbs[Start Date],"missing",0)</f>
        <v>missing</v>
      </c>
      <c r="G17" s="8" t="str">
        <f>_xlfn.XLOOKUP(E17,wbs[ID],wbs[Completetion],"",0)</f>
        <v/>
      </c>
      <c r="H17" s="10" t="str">
        <f>_xlfn.XLOOKUP(E17,wbs[ID],wbs[Task],"missing",0)</f>
        <v>missing</v>
      </c>
      <c r="I17" s="11" t="str">
        <f>_xlfn.XLOOKUP(E17,wbs[ID],wbs[estimate],"missing",0)</f>
        <v>missing</v>
      </c>
      <c r="J17" s="84"/>
      <c r="K17" s="70"/>
      <c r="L17" s="70"/>
      <c r="M17" s="70"/>
      <c r="N17" s="70"/>
      <c r="O17" s="70"/>
      <c r="P17" s="70"/>
      <c r="Q17" s="70"/>
      <c r="R17" s="70"/>
      <c r="S17" s="70"/>
      <c r="T17" s="70"/>
      <c r="U17" s="70"/>
      <c r="V17" s="70"/>
      <c r="W17" s="70"/>
      <c r="X17" s="70"/>
      <c r="Y17" s="70"/>
      <c r="Z17" s="70"/>
      <c r="AA17" s="70"/>
      <c r="AB17" s="70"/>
      <c r="AC17" s="70"/>
      <c r="AD17" s="80"/>
      <c r="AE17" s="2"/>
    </row>
    <row r="18" spans="1:31" ht="21.95" customHeight="1" x14ac:dyDescent="0.25">
      <c r="A18" s="2"/>
      <c r="B18" s="88" t="s">
        <v>102</v>
      </c>
      <c r="C18" s="88" t="s">
        <v>90</v>
      </c>
      <c r="D18" s="88" t="s">
        <v>96</v>
      </c>
      <c r="E18" s="71" t="s">
        <v>11</v>
      </c>
      <c r="F18" s="25">
        <f>_xlfn.XLOOKUP(E18,wbs[ID],wbs[Start Date],"missing",0)</f>
        <v>45698</v>
      </c>
      <c r="G18" s="22">
        <f>_xlfn.XLOOKUP(E18,wbs[ID],wbs[Completetion],"",0)</f>
        <v>45698</v>
      </c>
      <c r="H18" s="23" t="str">
        <f>_xlfn.XLOOKUP(E18,wbs[ID],wbs[Task],"missing",0)</f>
        <v>Complete Requirements: Package 1.1.2</v>
      </c>
      <c r="I18" s="24">
        <f>_xlfn.XLOOKUP(E18,wbs[ID],wbs[estimate],"missing",0)</f>
        <v>0</v>
      </c>
      <c r="J18" s="84"/>
      <c r="K18" s="70"/>
      <c r="L18" s="70"/>
      <c r="M18" s="70"/>
      <c r="N18" s="70"/>
      <c r="O18" s="70"/>
      <c r="P18" s="70"/>
      <c r="Q18" s="70"/>
      <c r="R18" s="70"/>
      <c r="S18" s="70"/>
      <c r="T18" s="70"/>
      <c r="U18" s="70"/>
      <c r="V18" s="70"/>
      <c r="W18" s="70"/>
      <c r="X18" s="70"/>
      <c r="Y18" s="70"/>
      <c r="Z18" s="70"/>
      <c r="AA18" s="70"/>
      <c r="AB18" s="70"/>
      <c r="AC18" s="70"/>
      <c r="AD18" s="80"/>
      <c r="AE18" s="2"/>
    </row>
    <row r="19" spans="1:31" ht="21.95" customHeight="1" x14ac:dyDescent="0.25">
      <c r="A19" s="2"/>
      <c r="B19" s="88" t="s">
        <v>103</v>
      </c>
      <c r="C19" s="88" t="s">
        <v>90</v>
      </c>
      <c r="D19" s="88" t="s">
        <v>96</v>
      </c>
      <c r="E19" s="3" t="s">
        <v>12</v>
      </c>
      <c r="F19" s="9" t="str">
        <f>_xlfn.XLOOKUP(E19,wbs[ID],wbs[Start Date],"missing",0)</f>
        <v>missing</v>
      </c>
      <c r="G19" s="8" t="str">
        <f>_xlfn.XLOOKUP(E19,wbs[ID],wbs[Completetion],"",0)</f>
        <v/>
      </c>
      <c r="H19" s="10" t="str">
        <f>_xlfn.XLOOKUP(E19,wbs[ID],wbs[Task],"missing",0)</f>
        <v>missing</v>
      </c>
      <c r="I19" s="11" t="str">
        <f>_xlfn.XLOOKUP(E19,wbs[ID],wbs[estimate],"missing",0)</f>
        <v>missing</v>
      </c>
      <c r="J19" s="84"/>
      <c r="K19" s="70"/>
      <c r="L19" s="70"/>
      <c r="M19" s="70"/>
      <c r="N19" s="70"/>
      <c r="O19" s="70"/>
      <c r="P19" s="70"/>
      <c r="Q19" s="70"/>
      <c r="R19" s="70"/>
      <c r="S19" s="70"/>
      <c r="T19" s="70"/>
      <c r="U19" s="70"/>
      <c r="V19" s="70"/>
      <c r="W19" s="70"/>
      <c r="X19" s="70"/>
      <c r="Y19" s="70"/>
      <c r="Z19" s="70"/>
      <c r="AA19" s="70"/>
      <c r="AB19" s="70"/>
      <c r="AC19" s="70"/>
      <c r="AD19" s="80"/>
      <c r="AE19" s="2"/>
    </row>
    <row r="20" spans="1:31" ht="21.95" customHeight="1" x14ac:dyDescent="0.25">
      <c r="A20" s="2"/>
      <c r="B20" s="88" t="s">
        <v>103</v>
      </c>
      <c r="C20" s="88" t="s">
        <v>90</v>
      </c>
      <c r="D20" s="88" t="s">
        <v>96</v>
      </c>
      <c r="E20" s="3" t="s">
        <v>13</v>
      </c>
      <c r="F20" s="9" t="str">
        <f>_xlfn.XLOOKUP(E20,wbs[ID],wbs[Start Date],"missing",0)</f>
        <v>missing</v>
      </c>
      <c r="G20" s="8" t="str">
        <f>_xlfn.XLOOKUP(E20,wbs[ID],wbs[Completetion],"",0)</f>
        <v/>
      </c>
      <c r="H20" s="10" t="str">
        <f>_xlfn.XLOOKUP(E20,wbs[ID],wbs[Task],"missing",0)</f>
        <v>missing</v>
      </c>
      <c r="I20" s="11" t="str">
        <f>_xlfn.XLOOKUP(E20,wbs[ID],wbs[estimate],"missing",0)</f>
        <v>missing</v>
      </c>
      <c r="J20" s="84"/>
      <c r="K20" s="70"/>
      <c r="L20" s="70"/>
      <c r="M20" s="70"/>
      <c r="N20" s="70"/>
      <c r="O20" s="70"/>
      <c r="P20" s="70"/>
      <c r="Q20" s="70"/>
      <c r="R20" s="70"/>
      <c r="S20" s="70"/>
      <c r="T20" s="70"/>
      <c r="U20" s="70"/>
      <c r="V20" s="70"/>
      <c r="W20" s="70"/>
      <c r="X20" s="70"/>
      <c r="Y20" s="70"/>
      <c r="Z20" s="70"/>
      <c r="AA20" s="70"/>
      <c r="AB20" s="70"/>
      <c r="AC20" s="70"/>
      <c r="AD20" s="80"/>
      <c r="AE20" s="2"/>
    </row>
    <row r="21" spans="1:31" ht="21.95" customHeight="1" x14ac:dyDescent="0.25">
      <c r="A21" s="2"/>
      <c r="B21" s="88" t="s">
        <v>103</v>
      </c>
      <c r="C21" s="88" t="s">
        <v>90</v>
      </c>
      <c r="D21" s="88" t="s">
        <v>96</v>
      </c>
      <c r="E21" s="3" t="s">
        <v>14</v>
      </c>
      <c r="F21" s="9" t="str">
        <f>_xlfn.XLOOKUP(E21,wbs[ID],wbs[Start Date],"missing",0)</f>
        <v>missing</v>
      </c>
      <c r="G21" s="8" t="str">
        <f>_xlfn.XLOOKUP(E21,wbs[ID],wbs[Completetion],"",0)</f>
        <v/>
      </c>
      <c r="H21" s="10" t="str">
        <f>_xlfn.XLOOKUP(E21,wbs[ID],wbs[Task],"missing",0)</f>
        <v>missing</v>
      </c>
      <c r="I21" s="11" t="str">
        <f>_xlfn.XLOOKUP(E21,wbs[ID],wbs[estimate],"missing",0)</f>
        <v>missing</v>
      </c>
      <c r="J21" s="84"/>
      <c r="K21" s="70"/>
      <c r="L21" s="70"/>
      <c r="M21" s="70"/>
      <c r="N21" s="70"/>
      <c r="O21" s="70"/>
      <c r="P21" s="70"/>
      <c r="Q21" s="70"/>
      <c r="R21" s="70"/>
      <c r="S21" s="70"/>
      <c r="T21" s="70"/>
      <c r="U21" s="70"/>
      <c r="V21" s="70"/>
      <c r="W21" s="70"/>
      <c r="X21" s="70"/>
      <c r="Y21" s="70"/>
      <c r="Z21" s="70"/>
      <c r="AA21" s="70"/>
      <c r="AB21" s="70"/>
      <c r="AC21" s="70"/>
      <c r="AD21" s="80"/>
      <c r="AE21" s="2"/>
    </row>
    <row r="22" spans="1:31" ht="21.95" customHeight="1" x14ac:dyDescent="0.25">
      <c r="A22" s="2"/>
      <c r="B22" s="88" t="s">
        <v>102</v>
      </c>
      <c r="C22" s="88" t="s">
        <v>90</v>
      </c>
      <c r="D22" s="88" t="s">
        <v>97</v>
      </c>
      <c r="E22" s="71" t="s">
        <v>15</v>
      </c>
      <c r="F22" s="25">
        <f>_xlfn.XLOOKUP(E22,wbs[ID],wbs[Start Date],"missing",0)</f>
        <v>45698</v>
      </c>
      <c r="G22" s="22">
        <f>_xlfn.XLOOKUP(E22,wbs[ID],wbs[Completetion],"",0)</f>
        <v>45698</v>
      </c>
      <c r="H22" s="23" t="str">
        <f>_xlfn.XLOOKUP(E22,wbs[ID],wbs[Task],"missing",0)</f>
        <v>Complete Requirements: Package 1.1.3</v>
      </c>
      <c r="I22" s="24">
        <f>_xlfn.XLOOKUP(E22,wbs[ID],wbs[estimate],"missing",0)</f>
        <v>0</v>
      </c>
      <c r="J22" s="84"/>
      <c r="K22" s="70"/>
      <c r="L22" s="70"/>
      <c r="M22" s="70"/>
      <c r="N22" s="70"/>
      <c r="O22" s="70"/>
      <c r="P22" s="70"/>
      <c r="Q22" s="70"/>
      <c r="R22" s="70"/>
      <c r="S22" s="70"/>
      <c r="T22" s="70"/>
      <c r="U22" s="70"/>
      <c r="V22" s="70"/>
      <c r="W22" s="70"/>
      <c r="X22" s="70"/>
      <c r="Y22" s="70"/>
      <c r="Z22" s="70"/>
      <c r="AA22" s="70"/>
      <c r="AB22" s="70"/>
      <c r="AC22" s="70"/>
      <c r="AD22" s="80"/>
      <c r="AE22" s="2"/>
    </row>
    <row r="23" spans="1:31" ht="21.95" customHeight="1" x14ac:dyDescent="0.25">
      <c r="A23" s="2"/>
      <c r="B23" s="88" t="s">
        <v>103</v>
      </c>
      <c r="C23" s="88" t="s">
        <v>90</v>
      </c>
      <c r="D23" s="88" t="s">
        <v>97</v>
      </c>
      <c r="E23" s="3" t="s">
        <v>16</v>
      </c>
      <c r="F23" s="9" t="str">
        <f>_xlfn.XLOOKUP(E23,wbs[ID],wbs[Start Date],"missing",0)</f>
        <v>missing</v>
      </c>
      <c r="G23" s="8" t="str">
        <f>_xlfn.XLOOKUP(E23,wbs[ID],wbs[Completetion],"",0)</f>
        <v/>
      </c>
      <c r="H23" s="10" t="str">
        <f>_xlfn.XLOOKUP(E23,wbs[ID],wbs[Task],"missing",0)</f>
        <v>missing</v>
      </c>
      <c r="I23" s="11" t="str">
        <f>_xlfn.XLOOKUP(E23,wbs[ID],wbs[estimate],"missing",0)</f>
        <v>missing</v>
      </c>
      <c r="J23" s="84"/>
      <c r="K23" s="70"/>
      <c r="L23" s="70"/>
      <c r="M23" s="70"/>
      <c r="N23" s="70"/>
      <c r="O23" s="70"/>
      <c r="P23" s="70"/>
      <c r="Q23" s="70"/>
      <c r="R23" s="70"/>
      <c r="S23" s="70"/>
      <c r="T23" s="70"/>
      <c r="U23" s="70"/>
      <c r="V23" s="70"/>
      <c r="W23" s="70"/>
      <c r="X23" s="70"/>
      <c r="Y23" s="70"/>
      <c r="Z23" s="70"/>
      <c r="AA23" s="70"/>
      <c r="AB23" s="70"/>
      <c r="AC23" s="70"/>
      <c r="AD23" s="80"/>
      <c r="AE23" s="2"/>
    </row>
    <row r="24" spans="1:31" ht="21.95" customHeight="1" x14ac:dyDescent="0.25">
      <c r="A24" s="2"/>
      <c r="B24" s="88" t="s">
        <v>103</v>
      </c>
      <c r="C24" s="88" t="s">
        <v>90</v>
      </c>
      <c r="D24" s="88" t="s">
        <v>97</v>
      </c>
      <c r="E24" s="3" t="s">
        <v>17</v>
      </c>
      <c r="F24" s="9" t="str">
        <f>_xlfn.XLOOKUP(E24,wbs[ID],wbs[Start Date],"missing",0)</f>
        <v>missing</v>
      </c>
      <c r="G24" s="8" t="str">
        <f>_xlfn.XLOOKUP(E24,wbs[ID],wbs[Completetion],"",0)</f>
        <v/>
      </c>
      <c r="H24" s="10" t="str">
        <f>_xlfn.XLOOKUP(E24,wbs[ID],wbs[Task],"missing",0)</f>
        <v>missing</v>
      </c>
      <c r="I24" s="11" t="str">
        <f>_xlfn.XLOOKUP(E24,wbs[ID],wbs[estimate],"missing",0)</f>
        <v>missing</v>
      </c>
      <c r="J24" s="84"/>
      <c r="K24" s="70"/>
      <c r="L24" s="70"/>
      <c r="M24" s="70"/>
      <c r="N24" s="70"/>
      <c r="O24" s="70"/>
      <c r="P24" s="70"/>
      <c r="Q24" s="70"/>
      <c r="R24" s="70"/>
      <c r="S24" s="70"/>
      <c r="T24" s="70"/>
      <c r="U24" s="70"/>
      <c r="V24" s="70"/>
      <c r="W24" s="70"/>
      <c r="X24" s="70"/>
      <c r="Y24" s="70"/>
      <c r="Z24" s="70"/>
      <c r="AA24" s="70"/>
      <c r="AB24" s="70"/>
      <c r="AC24" s="70"/>
      <c r="AD24" s="80"/>
      <c r="AE24" s="2"/>
    </row>
    <row r="25" spans="1:31" ht="21.95" customHeight="1" x14ac:dyDescent="0.25">
      <c r="A25" s="2"/>
      <c r="B25" s="88" t="s">
        <v>103</v>
      </c>
      <c r="C25" s="88" t="s">
        <v>90</v>
      </c>
      <c r="D25" s="88" t="s">
        <v>97</v>
      </c>
      <c r="E25" s="3" t="s">
        <v>18</v>
      </c>
      <c r="F25" s="9" t="str">
        <f>_xlfn.XLOOKUP(E25,wbs[ID],wbs[Start Date],"missing",0)</f>
        <v>missing</v>
      </c>
      <c r="G25" s="8" t="str">
        <f>_xlfn.XLOOKUP(E25,wbs[ID],wbs[Completetion],"",0)</f>
        <v/>
      </c>
      <c r="H25" s="10" t="str">
        <f>_xlfn.XLOOKUP(E25,wbs[ID],wbs[Task],"missing",0)</f>
        <v>missing</v>
      </c>
      <c r="I25" s="11" t="str">
        <f>_xlfn.XLOOKUP(E25,wbs[ID],wbs[estimate],"missing",0)</f>
        <v>missing</v>
      </c>
      <c r="J25" s="84"/>
      <c r="K25" s="70"/>
      <c r="L25" s="70"/>
      <c r="M25" s="70"/>
      <c r="N25" s="70"/>
      <c r="O25" s="70"/>
      <c r="P25" s="70"/>
      <c r="Q25" s="70"/>
      <c r="R25" s="70"/>
      <c r="S25" s="70"/>
      <c r="T25" s="70"/>
      <c r="U25" s="70"/>
      <c r="V25" s="70"/>
      <c r="W25" s="70"/>
      <c r="X25" s="70"/>
      <c r="Y25" s="70"/>
      <c r="Z25" s="70"/>
      <c r="AA25" s="70"/>
      <c r="AB25" s="70"/>
      <c r="AC25" s="70"/>
      <c r="AD25" s="80"/>
      <c r="AE25" s="2"/>
    </row>
    <row r="26" spans="1:31" ht="21.95" customHeight="1" x14ac:dyDescent="0.25">
      <c r="A26" s="2"/>
      <c r="B26" s="88" t="s">
        <v>101</v>
      </c>
      <c r="C26" s="88" t="s">
        <v>91</v>
      </c>
      <c r="D26" s="88" t="s">
        <v>89</v>
      </c>
      <c r="E26" s="73">
        <v>1.2</v>
      </c>
      <c r="F26" s="20">
        <f>_xlfn.XLOOKUP(E26,wbs[ID],wbs[Start Date],"missing",0)</f>
        <v>45699</v>
      </c>
      <c r="G26" s="17">
        <f>_xlfn.XLOOKUP(E26,wbs[ID],wbs[Completetion],"",0)</f>
        <v>45699</v>
      </c>
      <c r="H26" s="18" t="str">
        <f>_xlfn.XLOOKUP(E26,wbs[ID],wbs[Task],"missing",0)</f>
        <v>Complete Planning Phase</v>
      </c>
      <c r="I26" s="19">
        <f>_xlfn.XLOOKUP(E26,wbs[ID],wbs[estimate],"missing",0)</f>
        <v>0</v>
      </c>
      <c r="J26" s="84"/>
      <c r="K26" s="70"/>
      <c r="L26" s="70"/>
      <c r="M26" s="70"/>
      <c r="N26" s="70"/>
      <c r="O26" s="70"/>
      <c r="P26" s="70"/>
      <c r="Q26" s="70"/>
      <c r="R26" s="70"/>
      <c r="S26" s="70"/>
      <c r="T26" s="70"/>
      <c r="U26" s="70"/>
      <c r="V26" s="70"/>
      <c r="W26" s="70"/>
      <c r="X26" s="70"/>
      <c r="Y26" s="70"/>
      <c r="Z26" s="70"/>
      <c r="AA26" s="70"/>
      <c r="AB26" s="70"/>
      <c r="AC26" s="70"/>
      <c r="AD26" s="80"/>
      <c r="AE26" s="2"/>
    </row>
    <row r="27" spans="1:31" ht="21.95" customHeight="1" x14ac:dyDescent="0.25">
      <c r="A27" s="2"/>
      <c r="B27" s="88" t="s">
        <v>102</v>
      </c>
      <c r="C27" s="88" t="s">
        <v>91</v>
      </c>
      <c r="D27" s="88" t="s">
        <v>95</v>
      </c>
      <c r="E27" s="71" t="s">
        <v>19</v>
      </c>
      <c r="F27" s="25">
        <f>_xlfn.XLOOKUP(E27,wbs[ID],wbs[Start Date],"missing",0)</f>
        <v>45699</v>
      </c>
      <c r="G27" s="22">
        <f>_xlfn.XLOOKUP(E27,wbs[ID],wbs[Completetion],"",0)</f>
        <v>45699</v>
      </c>
      <c r="H27" s="23" t="str">
        <f>_xlfn.XLOOKUP(E27,wbs[ID],wbs[Task],"missing",0)</f>
        <v>Complete Planning: Package 1.2.1</v>
      </c>
      <c r="I27" s="24">
        <f>_xlfn.XLOOKUP(E27,wbs[ID],wbs[estimate],"missing",0)</f>
        <v>0</v>
      </c>
      <c r="J27" s="84"/>
      <c r="K27" s="70"/>
      <c r="L27" s="70"/>
      <c r="M27" s="70"/>
      <c r="N27" s="70"/>
      <c r="O27" s="70"/>
      <c r="P27" s="70"/>
      <c r="Q27" s="70"/>
      <c r="R27" s="70"/>
      <c r="S27" s="70"/>
      <c r="T27" s="70"/>
      <c r="U27" s="70"/>
      <c r="V27" s="70"/>
      <c r="W27" s="70"/>
      <c r="X27" s="70"/>
      <c r="Y27" s="70"/>
      <c r="Z27" s="70"/>
      <c r="AA27" s="70"/>
      <c r="AB27" s="70"/>
      <c r="AC27" s="70"/>
      <c r="AD27" s="80"/>
      <c r="AE27" s="2"/>
    </row>
    <row r="28" spans="1:31" ht="21.95" customHeight="1" x14ac:dyDescent="0.25">
      <c r="A28" s="2"/>
      <c r="B28" s="88" t="s">
        <v>103</v>
      </c>
      <c r="C28" s="88" t="s">
        <v>91</v>
      </c>
      <c r="D28" s="88" t="s">
        <v>95</v>
      </c>
      <c r="E28" s="3" t="s">
        <v>20</v>
      </c>
      <c r="F28" s="9" t="str">
        <f>_xlfn.XLOOKUP(E28,wbs[ID],wbs[Start Date],"missing",0)</f>
        <v>missing</v>
      </c>
      <c r="G28" s="8" t="str">
        <f>_xlfn.XLOOKUP(E28,wbs[ID],wbs[Completetion],"",0)</f>
        <v/>
      </c>
      <c r="H28" s="10" t="str">
        <f>_xlfn.XLOOKUP(E28,wbs[ID],wbs[Task],"missing",0)</f>
        <v>missing</v>
      </c>
      <c r="I28" s="11" t="str">
        <f>_xlfn.XLOOKUP(E28,wbs[ID],wbs[estimate],"missing",0)</f>
        <v>missing</v>
      </c>
      <c r="J28" s="70"/>
      <c r="K28" s="70"/>
      <c r="L28" s="70"/>
      <c r="M28" s="70"/>
      <c r="N28" s="70"/>
      <c r="O28" s="70"/>
      <c r="P28" s="70"/>
      <c r="Q28" s="70"/>
      <c r="R28" s="70"/>
      <c r="S28" s="70"/>
      <c r="T28" s="70"/>
      <c r="U28" s="70"/>
      <c r="V28" s="70"/>
      <c r="W28" s="70"/>
      <c r="X28" s="70"/>
      <c r="Y28" s="70"/>
      <c r="Z28" s="70"/>
      <c r="AA28" s="70"/>
      <c r="AB28" s="70"/>
      <c r="AC28" s="70"/>
      <c r="AD28" s="80"/>
      <c r="AE28" s="2"/>
    </row>
    <row r="29" spans="1:31" ht="21.95" customHeight="1" x14ac:dyDescent="0.25">
      <c r="A29" s="2"/>
      <c r="B29" s="88" t="s">
        <v>103</v>
      </c>
      <c r="C29" s="88" t="s">
        <v>91</v>
      </c>
      <c r="D29" s="88" t="s">
        <v>95</v>
      </c>
      <c r="E29" s="3" t="s">
        <v>72</v>
      </c>
      <c r="F29" s="9" t="str">
        <f>_xlfn.XLOOKUP(E29,wbs[ID],wbs[Start Date],"missing",0)</f>
        <v>missing</v>
      </c>
      <c r="G29" s="8" t="str">
        <f>_xlfn.XLOOKUP(E29,wbs[ID],wbs[Completetion],"",0)</f>
        <v/>
      </c>
      <c r="H29" s="10" t="str">
        <f>_xlfn.XLOOKUP(E29,wbs[ID],wbs[Task],"missing",0)</f>
        <v>missing</v>
      </c>
      <c r="I29" s="11" t="str">
        <f>_xlfn.XLOOKUP(E29,wbs[ID],wbs[estimate],"missing",0)</f>
        <v>missing</v>
      </c>
      <c r="J29" s="70"/>
      <c r="K29" s="70"/>
      <c r="L29" s="70"/>
      <c r="M29" s="70"/>
      <c r="N29" s="70"/>
      <c r="O29" s="70"/>
      <c r="P29" s="70"/>
      <c r="Q29" s="70"/>
      <c r="R29" s="70"/>
      <c r="S29" s="70"/>
      <c r="T29" s="70"/>
      <c r="U29" s="70"/>
      <c r="V29" s="70"/>
      <c r="W29" s="70"/>
      <c r="X29" s="70"/>
      <c r="Y29" s="70"/>
      <c r="Z29" s="70"/>
      <c r="AA29" s="70"/>
      <c r="AB29" s="70"/>
      <c r="AC29" s="70"/>
      <c r="AD29" s="80"/>
      <c r="AE29" s="2"/>
    </row>
    <row r="30" spans="1:31" ht="21.95" customHeight="1" x14ac:dyDescent="0.25">
      <c r="A30" s="2"/>
      <c r="B30" s="88" t="s">
        <v>103</v>
      </c>
      <c r="C30" s="88" t="s">
        <v>91</v>
      </c>
      <c r="D30" s="88" t="s">
        <v>95</v>
      </c>
      <c r="E30" s="3" t="s">
        <v>73</v>
      </c>
      <c r="F30" s="9" t="str">
        <f>_xlfn.XLOOKUP(E30,wbs[ID],wbs[Start Date],"missing",0)</f>
        <v>missing</v>
      </c>
      <c r="G30" s="8" t="str">
        <f>_xlfn.XLOOKUP(E30,wbs[ID],wbs[Completetion],"",0)</f>
        <v/>
      </c>
      <c r="H30" s="10" t="str">
        <f>_xlfn.XLOOKUP(E30,wbs[ID],wbs[Task],"missing",0)</f>
        <v>missing</v>
      </c>
      <c r="I30" s="11" t="str">
        <f>_xlfn.XLOOKUP(E30,wbs[ID],wbs[estimate],"missing",0)</f>
        <v>missing</v>
      </c>
      <c r="J30" s="70"/>
      <c r="K30" s="70"/>
      <c r="L30" s="70"/>
      <c r="M30" s="70"/>
      <c r="N30" s="70"/>
      <c r="O30" s="70"/>
      <c r="P30" s="70"/>
      <c r="Q30" s="70"/>
      <c r="R30" s="70"/>
      <c r="S30" s="70"/>
      <c r="T30" s="70"/>
      <c r="U30" s="70"/>
      <c r="V30" s="70"/>
      <c r="W30" s="70"/>
      <c r="X30" s="70"/>
      <c r="Y30" s="70"/>
      <c r="Z30" s="70"/>
      <c r="AA30" s="70"/>
      <c r="AB30" s="70"/>
      <c r="AC30" s="70"/>
      <c r="AD30" s="80"/>
      <c r="AE30" s="2"/>
    </row>
    <row r="31" spans="1:31" ht="21.95" customHeight="1" x14ac:dyDescent="0.25">
      <c r="A31" s="2"/>
      <c r="B31" s="88" t="s">
        <v>102</v>
      </c>
      <c r="C31" s="88" t="s">
        <v>91</v>
      </c>
      <c r="D31" s="88" t="s">
        <v>96</v>
      </c>
      <c r="E31" s="71" t="s">
        <v>21</v>
      </c>
      <c r="F31" s="25">
        <f>_xlfn.XLOOKUP(E31,wbs[ID],wbs[Start Date],"missing",0)</f>
        <v>45699</v>
      </c>
      <c r="G31" s="22">
        <f>_xlfn.XLOOKUP(E31,wbs[ID],wbs[Completetion],"",0)</f>
        <v>45699</v>
      </c>
      <c r="H31" s="23" t="str">
        <f>_xlfn.XLOOKUP(E31,wbs[ID],wbs[Task],"missing",0)</f>
        <v>Complete Planning: Package 1.2.2</v>
      </c>
      <c r="I31" s="24">
        <f>_xlfn.XLOOKUP(E31,wbs[ID],wbs[estimate],"missing",0)</f>
        <v>0</v>
      </c>
      <c r="J31" s="70"/>
      <c r="K31" s="70"/>
      <c r="L31" s="70"/>
      <c r="M31" s="70"/>
      <c r="N31" s="70"/>
      <c r="O31" s="70"/>
      <c r="P31" s="70"/>
      <c r="Q31" s="70"/>
      <c r="R31" s="70"/>
      <c r="S31" s="70"/>
      <c r="T31" s="70"/>
      <c r="U31" s="70"/>
      <c r="V31" s="70"/>
      <c r="W31" s="70"/>
      <c r="X31" s="70"/>
      <c r="Y31" s="70"/>
      <c r="Z31" s="70"/>
      <c r="AA31" s="70"/>
      <c r="AB31" s="70"/>
      <c r="AC31" s="70"/>
      <c r="AD31" s="80"/>
      <c r="AE31" s="2"/>
    </row>
    <row r="32" spans="1:31" ht="21.95" customHeight="1" x14ac:dyDescent="0.25">
      <c r="A32" s="2"/>
      <c r="B32" s="88" t="s">
        <v>103</v>
      </c>
      <c r="C32" s="88" t="s">
        <v>91</v>
      </c>
      <c r="D32" s="88" t="s">
        <v>96</v>
      </c>
      <c r="E32" s="3" t="s">
        <v>22</v>
      </c>
      <c r="F32" s="9" t="str">
        <f>_xlfn.XLOOKUP(E32,wbs[ID],wbs[Start Date],"missing",0)</f>
        <v>missing</v>
      </c>
      <c r="G32" s="8" t="str">
        <f>_xlfn.XLOOKUP(E32,wbs[ID],wbs[Completetion],"",0)</f>
        <v/>
      </c>
      <c r="H32" s="10" t="str">
        <f>_xlfn.XLOOKUP(E32,wbs[ID],wbs[Task],"missing",0)</f>
        <v>missing</v>
      </c>
      <c r="I32" s="11" t="str">
        <f>_xlfn.XLOOKUP(E32,wbs[ID],wbs[estimate],"missing",0)</f>
        <v>missing</v>
      </c>
      <c r="J32" s="70"/>
      <c r="K32" s="70"/>
      <c r="L32" s="70"/>
      <c r="M32" s="70"/>
      <c r="N32" s="70"/>
      <c r="O32" s="70"/>
      <c r="P32" s="70"/>
      <c r="Q32" s="70"/>
      <c r="R32" s="70"/>
      <c r="S32" s="70"/>
      <c r="T32" s="70"/>
      <c r="U32" s="70"/>
      <c r="V32" s="70"/>
      <c r="W32" s="70"/>
      <c r="X32" s="70"/>
      <c r="Y32" s="70"/>
      <c r="Z32" s="70"/>
      <c r="AA32" s="70"/>
      <c r="AB32" s="70"/>
      <c r="AC32" s="70"/>
      <c r="AD32" s="80"/>
      <c r="AE32" s="2"/>
    </row>
    <row r="33" spans="1:31" ht="21.95" customHeight="1" x14ac:dyDescent="0.25">
      <c r="A33" s="2"/>
      <c r="B33" s="88" t="s">
        <v>103</v>
      </c>
      <c r="C33" s="88" t="s">
        <v>91</v>
      </c>
      <c r="D33" s="88" t="s">
        <v>96</v>
      </c>
      <c r="E33" s="74" t="s">
        <v>74</v>
      </c>
      <c r="F33" s="75" t="str">
        <f>_xlfn.XLOOKUP(E33,wbs[ID],wbs[Start Date],"missing",0)</f>
        <v>missing</v>
      </c>
      <c r="G33" s="76" t="str">
        <f>_xlfn.XLOOKUP(E33,wbs[ID],wbs[Completetion],"",0)</f>
        <v/>
      </c>
      <c r="H33" s="77" t="str">
        <f>_xlfn.XLOOKUP(E33,wbs[ID],wbs[Task],"missing",0)</f>
        <v>missing</v>
      </c>
      <c r="I33" s="78" t="str">
        <f>_xlfn.XLOOKUP(E33,wbs[ID],wbs[estimate],"missing",0)</f>
        <v>missing</v>
      </c>
      <c r="J33" s="70"/>
      <c r="K33" s="70"/>
      <c r="L33" s="70"/>
      <c r="M33" s="70"/>
      <c r="N33" s="70"/>
      <c r="O33" s="70"/>
      <c r="P33" s="70"/>
      <c r="Q33" s="70"/>
      <c r="R33" s="70"/>
      <c r="S33" s="70"/>
      <c r="T33" s="70"/>
      <c r="U33" s="70"/>
      <c r="V33" s="70"/>
      <c r="W33" s="70"/>
      <c r="X33" s="70"/>
      <c r="Y33" s="70"/>
      <c r="Z33" s="70"/>
      <c r="AA33" s="70"/>
      <c r="AB33" s="70"/>
      <c r="AC33" s="70"/>
      <c r="AD33" s="80"/>
      <c r="AE33" s="2"/>
    </row>
    <row r="34" spans="1:31" ht="21.95" customHeight="1" x14ac:dyDescent="0.25">
      <c r="A34" s="2"/>
      <c r="B34" s="88" t="s">
        <v>103</v>
      </c>
      <c r="C34" s="88" t="s">
        <v>91</v>
      </c>
      <c r="D34" s="88" t="s">
        <v>96</v>
      </c>
      <c r="E34" s="3" t="s">
        <v>75</v>
      </c>
      <c r="F34" s="9" t="str">
        <f>_xlfn.XLOOKUP(E34,wbs[ID],wbs[Start Date],"missing",0)</f>
        <v>missing</v>
      </c>
      <c r="G34" s="8" t="str">
        <f>_xlfn.XLOOKUP(E34,wbs[ID],wbs[Completetion],"",0)</f>
        <v/>
      </c>
      <c r="H34" s="10" t="str">
        <f>_xlfn.XLOOKUP(E34,wbs[ID],wbs[Task],"missing",0)</f>
        <v>missing</v>
      </c>
      <c r="I34" s="11" t="str">
        <f>_xlfn.XLOOKUP(E34,wbs[ID],wbs[estimate],"missing",0)</f>
        <v>missing</v>
      </c>
      <c r="J34" s="70"/>
      <c r="K34" s="70"/>
      <c r="L34" s="70"/>
      <c r="M34" s="70"/>
      <c r="N34" s="70"/>
      <c r="O34" s="70"/>
      <c r="P34" s="70"/>
      <c r="Q34" s="70"/>
      <c r="R34" s="70"/>
      <c r="S34" s="70"/>
      <c r="T34" s="70"/>
      <c r="U34" s="70"/>
      <c r="V34" s="70"/>
      <c r="W34" s="70"/>
      <c r="X34" s="70"/>
      <c r="Y34" s="70"/>
      <c r="Z34" s="70"/>
      <c r="AA34" s="70"/>
      <c r="AB34" s="70"/>
      <c r="AC34" s="70"/>
      <c r="AD34" s="80"/>
      <c r="AE34" s="2"/>
    </row>
    <row r="35" spans="1:31" ht="21.95" customHeight="1" x14ac:dyDescent="0.25">
      <c r="A35" s="2"/>
      <c r="B35" s="88" t="s">
        <v>102</v>
      </c>
      <c r="C35" s="88" t="s">
        <v>91</v>
      </c>
      <c r="D35" s="88" t="s">
        <v>97</v>
      </c>
      <c r="E35" s="21" t="s">
        <v>23</v>
      </c>
      <c r="F35" s="25">
        <f>_xlfn.XLOOKUP(E35,wbs[ID],wbs[Start Date],"missing",0)</f>
        <v>45699</v>
      </c>
      <c r="G35" s="22">
        <f>_xlfn.XLOOKUP(E35,wbs[ID],wbs[Completetion],"",0)</f>
        <v>45699</v>
      </c>
      <c r="H35" s="23" t="str">
        <f>_xlfn.XLOOKUP(E35,wbs[ID],wbs[Task],"missing",0)</f>
        <v>Complete Planning: Package 1.2.3</v>
      </c>
      <c r="I35" s="24">
        <f>_xlfn.XLOOKUP(E35,wbs[ID],wbs[estimate],"missing",0)</f>
        <v>0</v>
      </c>
      <c r="J35" s="70"/>
      <c r="K35" s="70"/>
      <c r="L35" s="70"/>
      <c r="M35" s="70"/>
      <c r="N35" s="70"/>
      <c r="O35" s="70"/>
      <c r="P35" s="70"/>
      <c r="Q35" s="70"/>
      <c r="R35" s="70"/>
      <c r="S35" s="70"/>
      <c r="T35" s="70"/>
      <c r="U35" s="70"/>
      <c r="V35" s="70"/>
      <c r="W35" s="70"/>
      <c r="X35" s="70"/>
      <c r="Y35" s="70"/>
      <c r="Z35" s="70"/>
      <c r="AA35" s="70"/>
      <c r="AB35" s="70"/>
      <c r="AC35" s="70"/>
      <c r="AD35" s="80"/>
      <c r="AE35" s="2"/>
    </row>
    <row r="36" spans="1:31" ht="21.95" customHeight="1" x14ac:dyDescent="0.25">
      <c r="A36" s="2"/>
      <c r="B36" s="88" t="s">
        <v>103</v>
      </c>
      <c r="C36" s="88" t="s">
        <v>91</v>
      </c>
      <c r="D36" s="88" t="s">
        <v>97</v>
      </c>
      <c r="E36" s="3" t="s">
        <v>24</v>
      </c>
      <c r="F36" s="9" t="str">
        <f>_xlfn.XLOOKUP(E36,wbs[ID],wbs[Start Date],"missing",0)</f>
        <v>missing</v>
      </c>
      <c r="G36" s="8" t="str">
        <f>_xlfn.XLOOKUP(E36,wbs[ID],wbs[Completetion],"",0)</f>
        <v/>
      </c>
      <c r="H36" s="10" t="str">
        <f>_xlfn.XLOOKUP(E36,wbs[ID],wbs[Task],"missing",0)</f>
        <v>missing</v>
      </c>
      <c r="I36" s="11" t="str">
        <f>_xlfn.XLOOKUP(E36,wbs[ID],wbs[estimate],"missing",0)</f>
        <v>missing</v>
      </c>
      <c r="J36" s="70"/>
      <c r="K36" s="70"/>
      <c r="L36" s="70"/>
      <c r="M36" s="70"/>
      <c r="N36" s="70"/>
      <c r="O36" s="70"/>
      <c r="P36" s="70"/>
      <c r="Q36" s="70"/>
      <c r="R36" s="70"/>
      <c r="S36" s="70"/>
      <c r="T36" s="70"/>
      <c r="U36" s="70"/>
      <c r="V36" s="70"/>
      <c r="W36" s="70"/>
      <c r="X36" s="70"/>
      <c r="Y36" s="70"/>
      <c r="Z36" s="70"/>
      <c r="AA36" s="70"/>
      <c r="AB36" s="70"/>
      <c r="AC36" s="70"/>
      <c r="AD36" s="80"/>
      <c r="AE36" s="2"/>
    </row>
    <row r="37" spans="1:31" ht="21.95" customHeight="1" x14ac:dyDescent="0.25">
      <c r="A37" s="2"/>
      <c r="B37" s="88" t="s">
        <v>103</v>
      </c>
      <c r="C37" s="88" t="s">
        <v>91</v>
      </c>
      <c r="D37" s="88" t="s">
        <v>97</v>
      </c>
      <c r="E37" s="3" t="s">
        <v>76</v>
      </c>
      <c r="F37" s="9" t="str">
        <f>_xlfn.XLOOKUP(E37,wbs[ID],wbs[Start Date],"missing",0)</f>
        <v>missing</v>
      </c>
      <c r="G37" s="8" t="str">
        <f>_xlfn.XLOOKUP(E37,wbs[ID],wbs[Completetion],"",0)</f>
        <v/>
      </c>
      <c r="H37" s="10" t="str">
        <f>_xlfn.XLOOKUP(E37,wbs[ID],wbs[Task],"missing",0)</f>
        <v>missing</v>
      </c>
      <c r="I37" s="11" t="str">
        <f>_xlfn.XLOOKUP(E37,wbs[ID],wbs[estimate],"missing",0)</f>
        <v>missing</v>
      </c>
      <c r="J37" s="70"/>
      <c r="K37" s="70"/>
      <c r="L37" s="70"/>
      <c r="M37" s="70"/>
      <c r="N37" s="70"/>
      <c r="O37" s="70"/>
      <c r="P37" s="70"/>
      <c r="Q37" s="70"/>
      <c r="R37" s="70"/>
      <c r="S37" s="70"/>
      <c r="T37" s="70"/>
      <c r="U37" s="70"/>
      <c r="V37" s="70"/>
      <c r="W37" s="70"/>
      <c r="X37" s="70"/>
      <c r="Y37" s="70"/>
      <c r="Z37" s="70"/>
      <c r="AA37" s="70"/>
      <c r="AB37" s="70"/>
      <c r="AC37" s="70"/>
      <c r="AD37" s="80"/>
      <c r="AE37" s="2"/>
    </row>
    <row r="38" spans="1:31" ht="21.95" customHeight="1" x14ac:dyDescent="0.25">
      <c r="A38" s="2"/>
      <c r="B38" s="88" t="s">
        <v>103</v>
      </c>
      <c r="C38" s="88" t="s">
        <v>91</v>
      </c>
      <c r="D38" s="88" t="s">
        <v>97</v>
      </c>
      <c r="E38" s="3" t="s">
        <v>77</v>
      </c>
      <c r="F38" s="9" t="str">
        <f>_xlfn.XLOOKUP(E38,wbs[ID],wbs[Start Date],"missing",0)</f>
        <v>missing</v>
      </c>
      <c r="G38" s="8" t="str">
        <f>_xlfn.XLOOKUP(E38,wbs[ID],wbs[Completetion],"",0)</f>
        <v/>
      </c>
      <c r="H38" s="10" t="str">
        <f>_xlfn.XLOOKUP(E38,wbs[ID],wbs[Task],"missing",0)</f>
        <v>missing</v>
      </c>
      <c r="I38" s="11" t="str">
        <f>_xlfn.XLOOKUP(E38,wbs[ID],wbs[estimate],"missing",0)</f>
        <v>missing</v>
      </c>
      <c r="J38" s="70"/>
      <c r="K38" s="70"/>
      <c r="L38" s="70"/>
      <c r="M38" s="70"/>
      <c r="N38" s="70"/>
      <c r="O38" s="70"/>
      <c r="P38" s="70"/>
      <c r="Q38" s="70"/>
      <c r="R38" s="70"/>
      <c r="S38" s="70"/>
      <c r="T38" s="70"/>
      <c r="U38" s="70"/>
      <c r="V38" s="70"/>
      <c r="W38" s="70"/>
      <c r="X38" s="70"/>
      <c r="Y38" s="70"/>
      <c r="Z38" s="70"/>
      <c r="AA38" s="70"/>
      <c r="AB38" s="70"/>
      <c r="AC38" s="70"/>
      <c r="AD38" s="80"/>
      <c r="AE38" s="2"/>
    </row>
    <row r="39" spans="1:31" ht="21.95" customHeight="1" x14ac:dyDescent="0.25">
      <c r="A39" s="2"/>
      <c r="B39" s="88" t="s">
        <v>101</v>
      </c>
      <c r="C39" s="88" t="s">
        <v>92</v>
      </c>
      <c r="D39" s="88" t="s">
        <v>89</v>
      </c>
      <c r="E39" s="16">
        <v>1.3</v>
      </c>
      <c r="F39" s="20">
        <f>_xlfn.XLOOKUP(E39,wbs[ID],wbs[Start Date],"missing",0)</f>
        <v>45700</v>
      </c>
      <c r="G39" s="17">
        <f>_xlfn.XLOOKUP(E39,wbs[ID],wbs[Completetion],"",0)</f>
        <v>45700</v>
      </c>
      <c r="H39" s="18" t="str">
        <f>_xlfn.XLOOKUP(E39,wbs[ID],wbs[Task],"missing",0)</f>
        <v>Complete Design Phase</v>
      </c>
      <c r="I39" s="19">
        <f>_xlfn.XLOOKUP(E39,wbs[ID],wbs[estimate],"missing",0)</f>
        <v>0</v>
      </c>
      <c r="J39" s="70"/>
      <c r="K39" s="70"/>
      <c r="L39" s="70"/>
      <c r="M39" s="70"/>
      <c r="N39" s="70"/>
      <c r="O39" s="70"/>
      <c r="P39" s="70"/>
      <c r="Q39" s="70"/>
      <c r="R39" s="70"/>
      <c r="S39" s="70"/>
      <c r="T39" s="70"/>
      <c r="U39" s="70"/>
      <c r="V39" s="70"/>
      <c r="W39" s="70"/>
      <c r="X39" s="70"/>
      <c r="Y39" s="70"/>
      <c r="Z39" s="70"/>
      <c r="AA39" s="70"/>
      <c r="AB39" s="70"/>
      <c r="AC39" s="70"/>
      <c r="AD39" s="80"/>
      <c r="AE39" s="2"/>
    </row>
    <row r="40" spans="1:31" ht="21.95" customHeight="1" x14ac:dyDescent="0.25">
      <c r="A40" s="2"/>
      <c r="B40" s="88" t="s">
        <v>102</v>
      </c>
      <c r="C40" s="88" t="s">
        <v>92</v>
      </c>
      <c r="D40" s="88" t="s">
        <v>95</v>
      </c>
      <c r="E40" s="21" t="s">
        <v>25</v>
      </c>
      <c r="F40" s="25">
        <f>_xlfn.XLOOKUP(E40,wbs[ID],wbs[Start Date],"missing",0)</f>
        <v>45700</v>
      </c>
      <c r="G40" s="22">
        <f>_xlfn.XLOOKUP(E40,wbs[ID],wbs[Completetion],"",0)</f>
        <v>45700</v>
      </c>
      <c r="H40" s="23" t="str">
        <f>_xlfn.XLOOKUP(E40,wbs[ID],wbs[Task],"missing",0)</f>
        <v>Complete Design: Package 1.3.1</v>
      </c>
      <c r="I40" s="24">
        <f>_xlfn.XLOOKUP(E40,wbs[ID],wbs[estimate],"missing",0)</f>
        <v>0</v>
      </c>
      <c r="J40" s="70"/>
      <c r="K40" s="70"/>
      <c r="L40" s="70"/>
      <c r="M40" s="70"/>
      <c r="N40" s="70"/>
      <c r="O40" s="70"/>
      <c r="P40" s="70"/>
      <c r="Q40" s="70"/>
      <c r="R40" s="70"/>
      <c r="S40" s="70"/>
      <c r="T40" s="70"/>
      <c r="U40" s="70"/>
      <c r="V40" s="70"/>
      <c r="W40" s="70"/>
      <c r="X40" s="70"/>
      <c r="Y40" s="70"/>
      <c r="Z40" s="70"/>
      <c r="AA40" s="70"/>
      <c r="AB40" s="70"/>
      <c r="AC40" s="70"/>
      <c r="AD40" s="80"/>
      <c r="AE40" s="2"/>
    </row>
    <row r="41" spans="1:31" ht="21.95" customHeight="1" x14ac:dyDescent="0.25">
      <c r="A41" s="2"/>
      <c r="B41" s="88" t="s">
        <v>103</v>
      </c>
      <c r="C41" s="88" t="s">
        <v>92</v>
      </c>
      <c r="D41" s="88" t="s">
        <v>95</v>
      </c>
      <c r="E41" s="3" t="s">
        <v>26</v>
      </c>
      <c r="F41" s="9" t="str">
        <f>_xlfn.XLOOKUP(E41,wbs[ID],wbs[Start Date],"missing",0)</f>
        <v>missing</v>
      </c>
      <c r="G41" s="8" t="str">
        <f>_xlfn.XLOOKUP(E41,wbs[ID],wbs[Completetion],"",0)</f>
        <v/>
      </c>
      <c r="H41" s="10" t="str">
        <f>_xlfn.XLOOKUP(E41,wbs[ID],wbs[Task],"missing",0)</f>
        <v>missing</v>
      </c>
      <c r="I41" s="11" t="str">
        <f>_xlfn.XLOOKUP(E41,wbs[ID],wbs[estimate],"missing",0)</f>
        <v>missing</v>
      </c>
      <c r="J41" s="70"/>
      <c r="K41" s="70"/>
      <c r="L41" s="70"/>
      <c r="M41" s="70"/>
      <c r="N41" s="70"/>
      <c r="O41" s="70"/>
      <c r="P41" s="70"/>
      <c r="Q41" s="70"/>
      <c r="R41" s="70"/>
      <c r="S41" s="70"/>
      <c r="T41" s="70"/>
      <c r="U41" s="70"/>
      <c r="V41" s="70"/>
      <c r="W41" s="70"/>
      <c r="X41" s="70"/>
      <c r="Y41" s="70"/>
      <c r="Z41" s="70"/>
      <c r="AA41" s="70"/>
      <c r="AB41" s="70"/>
      <c r="AC41" s="70"/>
      <c r="AD41" s="80"/>
      <c r="AE41" s="2"/>
    </row>
    <row r="42" spans="1:31" ht="21.95" customHeight="1" x14ac:dyDescent="0.25">
      <c r="A42" s="2"/>
      <c r="B42" s="88" t="s">
        <v>103</v>
      </c>
      <c r="C42" s="88" t="s">
        <v>92</v>
      </c>
      <c r="D42" s="88" t="s">
        <v>95</v>
      </c>
      <c r="E42" s="74" t="s">
        <v>66</v>
      </c>
      <c r="F42" s="9" t="str">
        <f>_xlfn.XLOOKUP(E42,wbs[ID],wbs[Start Date],"missing",0)</f>
        <v>missing</v>
      </c>
      <c r="G42" s="8" t="str">
        <f>_xlfn.XLOOKUP(E42,wbs[ID],wbs[Completetion],"",0)</f>
        <v/>
      </c>
      <c r="H42" s="10" t="str">
        <f>_xlfn.XLOOKUP(E42,wbs[ID],wbs[Task],"missing",0)</f>
        <v>missing</v>
      </c>
      <c r="I42" s="11" t="str">
        <f>_xlfn.XLOOKUP(E42,wbs[ID],wbs[estimate],"missing",0)</f>
        <v>missing</v>
      </c>
      <c r="J42" s="70"/>
      <c r="K42" s="70"/>
      <c r="L42" s="70"/>
      <c r="M42" s="70"/>
      <c r="N42" s="70"/>
      <c r="O42" s="70"/>
      <c r="P42" s="70"/>
      <c r="Q42" s="70"/>
      <c r="R42" s="70"/>
      <c r="S42" s="70"/>
      <c r="T42" s="70"/>
      <c r="U42" s="70"/>
      <c r="V42" s="70"/>
      <c r="W42" s="70"/>
      <c r="X42" s="70"/>
      <c r="Y42" s="70"/>
      <c r="Z42" s="70"/>
      <c r="AA42" s="70"/>
      <c r="AB42" s="70"/>
      <c r="AC42" s="70"/>
      <c r="AD42" s="80"/>
      <c r="AE42" s="2"/>
    </row>
    <row r="43" spans="1:31" ht="21.95" customHeight="1" x14ac:dyDescent="0.25">
      <c r="A43" s="2"/>
      <c r="B43" s="88" t="s">
        <v>102</v>
      </c>
      <c r="C43" s="88" t="s">
        <v>92</v>
      </c>
      <c r="D43" s="88" t="s">
        <v>96</v>
      </c>
      <c r="E43" s="21" t="s">
        <v>27</v>
      </c>
      <c r="F43" s="25">
        <f>_xlfn.XLOOKUP(E43,wbs[ID],wbs[Start Date],"missing",0)</f>
        <v>45700</v>
      </c>
      <c r="G43" s="22">
        <f>_xlfn.XLOOKUP(E43,wbs[ID],wbs[Completetion],"",0)</f>
        <v>45700</v>
      </c>
      <c r="H43" s="23" t="str">
        <f>_xlfn.XLOOKUP(E43,wbs[ID],wbs[Task],"missing",0)</f>
        <v>Complete Design: Package 1.3.2</v>
      </c>
      <c r="I43" s="24">
        <f>_xlfn.XLOOKUP(E43,wbs[ID],wbs[estimate],"missing",0)</f>
        <v>0</v>
      </c>
      <c r="J43" s="70"/>
      <c r="K43" s="70"/>
      <c r="L43" s="70"/>
      <c r="M43" s="70"/>
      <c r="N43" s="70"/>
      <c r="O43" s="70"/>
      <c r="P43" s="70"/>
      <c r="Q43" s="70"/>
      <c r="R43" s="70"/>
      <c r="S43" s="70"/>
      <c r="T43" s="70"/>
      <c r="U43" s="70"/>
      <c r="V43" s="70"/>
      <c r="W43" s="70"/>
      <c r="X43" s="70"/>
      <c r="Y43" s="70"/>
      <c r="Z43" s="70"/>
      <c r="AA43" s="70"/>
      <c r="AB43" s="70"/>
      <c r="AC43" s="70"/>
      <c r="AD43" s="80"/>
      <c r="AE43" s="2"/>
    </row>
    <row r="44" spans="1:31" ht="21.95" customHeight="1" x14ac:dyDescent="0.25">
      <c r="A44" s="2"/>
      <c r="B44" s="88" t="s">
        <v>103</v>
      </c>
      <c r="C44" s="88" t="s">
        <v>92</v>
      </c>
      <c r="D44" s="88" t="s">
        <v>96</v>
      </c>
      <c r="E44" s="3" t="s">
        <v>28</v>
      </c>
      <c r="F44" s="9" t="str">
        <f>_xlfn.XLOOKUP(E44,wbs[ID],wbs[Start Date],"missing",0)</f>
        <v>missing</v>
      </c>
      <c r="G44" s="8" t="str">
        <f>_xlfn.XLOOKUP(E44,wbs[ID],wbs[Completetion],"",0)</f>
        <v/>
      </c>
      <c r="H44" s="10" t="str">
        <f>_xlfn.XLOOKUP(E44,wbs[ID],wbs[Task],"missing",0)</f>
        <v>missing</v>
      </c>
      <c r="I44" s="11" t="str">
        <f>_xlfn.XLOOKUP(E44,wbs[ID],wbs[estimate],"missing",0)</f>
        <v>missing</v>
      </c>
      <c r="J44" s="70"/>
      <c r="K44" s="70"/>
      <c r="L44" s="70"/>
      <c r="M44" s="70"/>
      <c r="N44" s="70"/>
      <c r="O44" s="70"/>
      <c r="P44" s="70"/>
      <c r="Q44" s="70"/>
      <c r="R44" s="70"/>
      <c r="S44" s="70"/>
      <c r="T44" s="70"/>
      <c r="U44" s="70"/>
      <c r="V44" s="70"/>
      <c r="W44" s="70"/>
      <c r="X44" s="70"/>
      <c r="Y44" s="70"/>
      <c r="Z44" s="70"/>
      <c r="AA44" s="70"/>
      <c r="AB44" s="70"/>
      <c r="AC44" s="70"/>
      <c r="AD44" s="80"/>
      <c r="AE44" s="2"/>
    </row>
    <row r="45" spans="1:31" ht="21.95" customHeight="1" x14ac:dyDescent="0.25">
      <c r="A45" s="2"/>
      <c r="B45" s="88" t="s">
        <v>103</v>
      </c>
      <c r="C45" s="88" t="s">
        <v>92</v>
      </c>
      <c r="D45" s="88" t="s">
        <v>96</v>
      </c>
      <c r="E45" s="3" t="s">
        <v>67</v>
      </c>
      <c r="F45" s="9" t="str">
        <f>_xlfn.XLOOKUP(E45,wbs[ID],wbs[Start Date],"missing",0)</f>
        <v>missing</v>
      </c>
      <c r="G45" s="8" t="str">
        <f>_xlfn.XLOOKUP(E45,wbs[ID],wbs[Completetion],"",0)</f>
        <v/>
      </c>
      <c r="H45" s="10" t="str">
        <f>_xlfn.XLOOKUP(E45,wbs[ID],wbs[Task],"missing",0)</f>
        <v>missing</v>
      </c>
      <c r="I45" s="11" t="str">
        <f>_xlfn.XLOOKUP(E45,wbs[ID],wbs[estimate],"missing",0)</f>
        <v>missing</v>
      </c>
      <c r="J45" s="70"/>
      <c r="K45" s="70"/>
      <c r="L45" s="70"/>
      <c r="M45" s="70"/>
      <c r="N45" s="70"/>
      <c r="O45" s="70"/>
      <c r="P45" s="70"/>
      <c r="Q45" s="70"/>
      <c r="R45" s="70"/>
      <c r="S45" s="70"/>
      <c r="T45" s="70"/>
      <c r="U45" s="70"/>
      <c r="V45" s="70"/>
      <c r="W45" s="70"/>
      <c r="X45" s="70"/>
      <c r="Y45" s="70"/>
      <c r="Z45" s="70"/>
      <c r="AA45" s="70"/>
      <c r="AB45" s="70"/>
      <c r="AC45" s="70"/>
      <c r="AD45" s="80"/>
      <c r="AE45" s="2"/>
    </row>
    <row r="46" spans="1:31" ht="21.95" customHeight="1" x14ac:dyDescent="0.25">
      <c r="A46" s="2"/>
      <c r="B46" s="88" t="s">
        <v>102</v>
      </c>
      <c r="C46" s="88" t="s">
        <v>92</v>
      </c>
      <c r="D46" s="88" t="s">
        <v>97</v>
      </c>
      <c r="E46" s="21" t="s">
        <v>29</v>
      </c>
      <c r="F46" s="25">
        <f>_xlfn.XLOOKUP(E46,wbs[ID],wbs[Start Date],"missing",0)</f>
        <v>45700</v>
      </c>
      <c r="G46" s="22">
        <f>_xlfn.XLOOKUP(E46,wbs[ID],wbs[Completetion],"",0)</f>
        <v>45700</v>
      </c>
      <c r="H46" s="23" t="str">
        <f>_xlfn.XLOOKUP(E46,wbs[ID],wbs[Task],"missing",0)</f>
        <v>Complete Design: Package 1.3.3</v>
      </c>
      <c r="I46" s="24">
        <f>_xlfn.XLOOKUP(E46,wbs[ID],wbs[estimate],"missing",0)</f>
        <v>0</v>
      </c>
      <c r="J46" s="70"/>
      <c r="K46" s="70"/>
      <c r="L46" s="70"/>
      <c r="M46" s="70"/>
      <c r="N46" s="70"/>
      <c r="O46" s="70"/>
      <c r="P46" s="70"/>
      <c r="Q46" s="70"/>
      <c r="R46" s="70"/>
      <c r="S46" s="70"/>
      <c r="T46" s="70"/>
      <c r="U46" s="70"/>
      <c r="V46" s="70"/>
      <c r="W46" s="70"/>
      <c r="X46" s="70"/>
      <c r="Y46" s="70"/>
      <c r="Z46" s="70"/>
      <c r="AA46" s="70"/>
      <c r="AB46" s="70"/>
      <c r="AC46" s="70"/>
      <c r="AD46" s="80"/>
      <c r="AE46" s="2"/>
    </row>
    <row r="47" spans="1:31" ht="21.95" customHeight="1" x14ac:dyDescent="0.25">
      <c r="A47" s="2"/>
      <c r="B47" s="88" t="s">
        <v>103</v>
      </c>
      <c r="C47" s="88" t="s">
        <v>92</v>
      </c>
      <c r="D47" s="88" t="s">
        <v>97</v>
      </c>
      <c r="E47" s="3" t="s">
        <v>30</v>
      </c>
      <c r="F47" s="9" t="str">
        <f>_xlfn.XLOOKUP(E47,wbs[ID],wbs[Start Date],"missing",0)</f>
        <v>missing</v>
      </c>
      <c r="G47" s="8" t="str">
        <f>_xlfn.XLOOKUP(E47,wbs[ID],wbs[Completetion],"",0)</f>
        <v/>
      </c>
      <c r="H47" s="10" t="str">
        <f>_xlfn.XLOOKUP(E47,wbs[ID],wbs[Task],"missing",0)</f>
        <v>missing</v>
      </c>
      <c r="I47" s="11" t="str">
        <f>_xlfn.XLOOKUP(E47,wbs[ID],wbs[estimate],"missing",0)</f>
        <v>missing</v>
      </c>
      <c r="J47" s="70"/>
      <c r="K47" s="70"/>
      <c r="L47" s="70"/>
      <c r="M47" s="70"/>
      <c r="N47" s="70"/>
      <c r="O47" s="70"/>
      <c r="P47" s="70"/>
      <c r="Q47" s="70"/>
      <c r="R47" s="70"/>
      <c r="S47" s="70"/>
      <c r="T47" s="70"/>
      <c r="U47" s="70"/>
      <c r="V47" s="70"/>
      <c r="W47" s="70"/>
      <c r="X47" s="70"/>
      <c r="Y47" s="70"/>
      <c r="Z47" s="70"/>
      <c r="AA47" s="70"/>
      <c r="AB47" s="70"/>
      <c r="AC47" s="70"/>
      <c r="AD47" s="80"/>
      <c r="AE47" s="2"/>
    </row>
    <row r="48" spans="1:31" ht="21.95" customHeight="1" x14ac:dyDescent="0.25">
      <c r="A48" s="2"/>
      <c r="B48" s="88" t="s">
        <v>101</v>
      </c>
      <c r="C48" s="88" t="s">
        <v>93</v>
      </c>
      <c r="D48" s="88" t="s">
        <v>89</v>
      </c>
      <c r="E48" s="16">
        <v>1.4</v>
      </c>
      <c r="F48" s="20">
        <f>_xlfn.XLOOKUP(E48,wbs[ID],wbs[Start Date],"missing",0)</f>
        <v>45701</v>
      </c>
      <c r="G48" s="17">
        <f>_xlfn.XLOOKUP(E48,wbs[ID],wbs[Completetion],"",0)</f>
        <v>45701</v>
      </c>
      <c r="H48" s="18" t="str">
        <f>_xlfn.XLOOKUP(E48,wbs[ID],wbs[Task],"missing",0)</f>
        <v>Complete Implmentation Phase</v>
      </c>
      <c r="I48" s="19">
        <f>_xlfn.XLOOKUP(E48,wbs[ID],wbs[estimate],"missing",0)</f>
        <v>0</v>
      </c>
      <c r="J48" s="70"/>
      <c r="K48" s="70"/>
      <c r="L48" s="70"/>
      <c r="M48" s="70"/>
      <c r="N48" s="70"/>
      <c r="O48" s="70"/>
      <c r="P48" s="70"/>
      <c r="Q48" s="70"/>
      <c r="R48" s="70"/>
      <c r="S48" s="70"/>
      <c r="T48" s="70"/>
      <c r="U48" s="70"/>
      <c r="V48" s="70"/>
      <c r="W48" s="70"/>
      <c r="X48" s="70"/>
      <c r="Y48" s="70"/>
      <c r="Z48" s="70"/>
      <c r="AA48" s="70"/>
      <c r="AB48" s="70"/>
      <c r="AC48" s="70"/>
      <c r="AD48" s="80"/>
      <c r="AE48" s="2"/>
    </row>
    <row r="49" spans="1:31" ht="21.95" customHeight="1" x14ac:dyDescent="0.25">
      <c r="A49" s="2"/>
      <c r="B49" s="88" t="s">
        <v>102</v>
      </c>
      <c r="C49" s="88" t="s">
        <v>93</v>
      </c>
      <c r="D49" s="88" t="s">
        <v>95</v>
      </c>
      <c r="E49" s="72" t="s">
        <v>31</v>
      </c>
      <c r="F49" s="25">
        <f>_xlfn.XLOOKUP(E49,wbs[ID],wbs[Start Date],"missing",0)</f>
        <v>45701</v>
      </c>
      <c r="G49" s="22">
        <f>_xlfn.XLOOKUP(E49,wbs[ID],wbs[Completetion],"",0)</f>
        <v>45701</v>
      </c>
      <c r="H49" s="23" t="str">
        <f>_xlfn.XLOOKUP(E49,wbs[ID],wbs[Task],"missing",0)</f>
        <v>Complete Implementation: Package 1.4.1</v>
      </c>
      <c r="I49" s="24">
        <f>_xlfn.XLOOKUP(E49,wbs[ID],wbs[estimate],"missing",0)</f>
        <v>0</v>
      </c>
      <c r="J49" s="70"/>
      <c r="K49" s="70"/>
      <c r="L49" s="70"/>
      <c r="M49" s="70"/>
      <c r="N49" s="70"/>
      <c r="O49" s="70"/>
      <c r="P49" s="70"/>
      <c r="Q49" s="70"/>
      <c r="R49" s="70"/>
      <c r="S49" s="70"/>
      <c r="T49" s="70"/>
      <c r="U49" s="70"/>
      <c r="V49" s="70"/>
      <c r="W49" s="70"/>
      <c r="X49" s="70"/>
      <c r="Y49" s="70"/>
      <c r="Z49" s="70"/>
      <c r="AA49" s="70"/>
      <c r="AB49" s="70"/>
      <c r="AC49" s="70"/>
      <c r="AD49" s="80"/>
      <c r="AE49" s="2"/>
    </row>
    <row r="50" spans="1:31" ht="21.95" customHeight="1" x14ac:dyDescent="0.25">
      <c r="A50" s="2"/>
      <c r="B50" s="88" t="s">
        <v>103</v>
      </c>
      <c r="C50" s="88" t="s">
        <v>93</v>
      </c>
      <c r="D50" s="88" t="s">
        <v>95</v>
      </c>
      <c r="E50" s="3" t="s">
        <v>32</v>
      </c>
      <c r="F50" s="9" t="str">
        <f>_xlfn.XLOOKUP(E50,wbs[ID],wbs[Start Date],"missing",0)</f>
        <v>missing</v>
      </c>
      <c r="G50" s="8" t="str">
        <f>_xlfn.XLOOKUP(E50,wbs[ID],wbs[Completetion],"",0)</f>
        <v/>
      </c>
      <c r="H50" s="10" t="str">
        <f>_xlfn.XLOOKUP(E50,wbs[ID],wbs[Task],"missing",0)</f>
        <v>missing</v>
      </c>
      <c r="I50" s="11" t="str">
        <f>_xlfn.XLOOKUP(E50,wbs[ID],wbs[estimate],"missing",0)</f>
        <v>missing</v>
      </c>
      <c r="J50" s="70"/>
      <c r="K50" s="70"/>
      <c r="L50" s="70"/>
      <c r="M50" s="70"/>
      <c r="N50" s="70"/>
      <c r="O50" s="70"/>
      <c r="P50" s="70"/>
      <c r="Q50" s="70"/>
      <c r="R50" s="70"/>
      <c r="S50" s="70"/>
      <c r="T50" s="70"/>
      <c r="U50" s="70"/>
      <c r="V50" s="70"/>
      <c r="W50" s="70"/>
      <c r="X50" s="70"/>
      <c r="Y50" s="70"/>
      <c r="Z50" s="70"/>
      <c r="AA50" s="70"/>
      <c r="AB50" s="70"/>
      <c r="AC50" s="70"/>
      <c r="AD50" s="80"/>
      <c r="AE50" s="2"/>
    </row>
    <row r="51" spans="1:31" ht="21.95" customHeight="1" x14ac:dyDescent="0.25">
      <c r="A51" s="2"/>
      <c r="B51" s="88" t="s">
        <v>103</v>
      </c>
      <c r="C51" s="88" t="s">
        <v>93</v>
      </c>
      <c r="D51" s="88" t="s">
        <v>95</v>
      </c>
      <c r="E51" s="3" t="s">
        <v>78</v>
      </c>
      <c r="F51" s="9" t="str">
        <f>_xlfn.XLOOKUP(E51,wbs[ID],wbs[Start Date],"missing",0)</f>
        <v>missing</v>
      </c>
      <c r="G51" s="8" t="str">
        <f>_xlfn.XLOOKUP(E51,wbs[ID],wbs[Completetion],"",0)</f>
        <v/>
      </c>
      <c r="H51" s="10" t="str">
        <f>_xlfn.XLOOKUP(E51,wbs[ID],wbs[Task],"missing",0)</f>
        <v>missing</v>
      </c>
      <c r="I51" s="11" t="str">
        <f>_xlfn.XLOOKUP(E51,wbs[ID],wbs[estimate],"missing",0)</f>
        <v>missing</v>
      </c>
      <c r="J51" s="70"/>
      <c r="K51" s="70"/>
      <c r="L51" s="70"/>
      <c r="M51" s="70"/>
      <c r="N51" s="70"/>
      <c r="O51" s="70"/>
      <c r="P51" s="70"/>
      <c r="Q51" s="70"/>
      <c r="R51" s="70"/>
      <c r="S51" s="70"/>
      <c r="T51" s="70"/>
      <c r="U51" s="70"/>
      <c r="V51" s="70"/>
      <c r="W51" s="70"/>
      <c r="X51" s="70"/>
      <c r="Y51" s="70"/>
      <c r="Z51" s="70"/>
      <c r="AA51" s="70"/>
      <c r="AB51" s="70"/>
      <c r="AC51" s="70"/>
      <c r="AD51" s="80"/>
      <c r="AE51" s="2"/>
    </row>
    <row r="52" spans="1:31" ht="21.95" customHeight="1" x14ac:dyDescent="0.25">
      <c r="A52" s="2"/>
      <c r="B52" s="88" t="s">
        <v>103</v>
      </c>
      <c r="C52" s="88" t="s">
        <v>93</v>
      </c>
      <c r="D52" s="88" t="s">
        <v>95</v>
      </c>
      <c r="E52" s="3" t="s">
        <v>79</v>
      </c>
      <c r="F52" s="9" t="str">
        <f>_xlfn.XLOOKUP(E52,wbs[ID],wbs[Start Date],"missing",0)</f>
        <v>missing</v>
      </c>
      <c r="G52" s="8" t="str">
        <f>_xlfn.XLOOKUP(E52,wbs[ID],wbs[Completetion],"",0)</f>
        <v/>
      </c>
      <c r="H52" s="10" t="str">
        <f>_xlfn.XLOOKUP(E52,wbs[ID],wbs[Task],"missing",0)</f>
        <v>missing</v>
      </c>
      <c r="I52" s="11" t="str">
        <f>_xlfn.XLOOKUP(E52,wbs[ID],wbs[estimate],"missing",0)</f>
        <v>missing</v>
      </c>
      <c r="J52" s="70"/>
      <c r="K52" s="70"/>
      <c r="L52" s="70"/>
      <c r="M52" s="70"/>
      <c r="N52" s="70"/>
      <c r="O52" s="70"/>
      <c r="P52" s="70"/>
      <c r="Q52" s="70"/>
      <c r="R52" s="70"/>
      <c r="S52" s="70"/>
      <c r="T52" s="70"/>
      <c r="U52" s="70"/>
      <c r="V52" s="70"/>
      <c r="W52" s="70"/>
      <c r="X52" s="70"/>
      <c r="Y52" s="70"/>
      <c r="Z52" s="70"/>
      <c r="AA52" s="70"/>
      <c r="AB52" s="70"/>
      <c r="AC52" s="70"/>
      <c r="AD52" s="80"/>
      <c r="AE52" s="2"/>
    </row>
    <row r="53" spans="1:31" ht="21.95" customHeight="1" x14ac:dyDescent="0.25">
      <c r="A53" s="2"/>
      <c r="B53" s="88" t="s">
        <v>102</v>
      </c>
      <c r="C53" s="88" t="s">
        <v>93</v>
      </c>
      <c r="D53" s="88" t="s">
        <v>96</v>
      </c>
      <c r="E53" s="21" t="s">
        <v>33</v>
      </c>
      <c r="F53" s="25">
        <f>_xlfn.XLOOKUP(E53,wbs[ID],wbs[Start Date],"missing",0)</f>
        <v>45701</v>
      </c>
      <c r="G53" s="22">
        <f>_xlfn.XLOOKUP(E53,wbs[ID],wbs[Completetion],"",0)</f>
        <v>45701</v>
      </c>
      <c r="H53" s="23" t="str">
        <f>_xlfn.XLOOKUP(E53,wbs[ID],wbs[Task],"missing",0)</f>
        <v>Complete Implementation: Package 1.4.2</v>
      </c>
      <c r="I53" s="24">
        <f>_xlfn.XLOOKUP(E53,wbs[ID],wbs[estimate],"missing",0)</f>
        <v>0</v>
      </c>
      <c r="J53" s="70"/>
      <c r="K53" s="70"/>
      <c r="L53" s="70"/>
      <c r="M53" s="70"/>
      <c r="N53" s="70"/>
      <c r="O53" s="70"/>
      <c r="P53" s="70"/>
      <c r="Q53" s="70"/>
      <c r="R53" s="70"/>
      <c r="S53" s="70"/>
      <c r="T53" s="70"/>
      <c r="U53" s="70"/>
      <c r="V53" s="70"/>
      <c r="W53" s="70"/>
      <c r="X53" s="70"/>
      <c r="Y53" s="70"/>
      <c r="Z53" s="70"/>
      <c r="AA53" s="70"/>
      <c r="AB53" s="70"/>
      <c r="AC53" s="70"/>
      <c r="AD53" s="80"/>
      <c r="AE53" s="2"/>
    </row>
    <row r="54" spans="1:31" ht="21.95" customHeight="1" x14ac:dyDescent="0.25">
      <c r="A54" s="2"/>
      <c r="B54" s="88" t="s">
        <v>103</v>
      </c>
      <c r="C54" s="88" t="s">
        <v>93</v>
      </c>
      <c r="D54" s="88" t="s">
        <v>96</v>
      </c>
      <c r="E54" s="3" t="s">
        <v>82</v>
      </c>
      <c r="F54" s="9" t="str">
        <f>_xlfn.XLOOKUP(E54,wbs[ID],wbs[Start Date],"missing",0)</f>
        <v>missing</v>
      </c>
      <c r="G54" s="8" t="str">
        <f>_xlfn.XLOOKUP(E54,wbs[ID],wbs[Completetion],"",0)</f>
        <v/>
      </c>
      <c r="H54" s="10" t="str">
        <f>_xlfn.XLOOKUP(E54,wbs[ID],wbs[Task],"missing",0)</f>
        <v>missing</v>
      </c>
      <c r="I54" s="11" t="str">
        <f>_xlfn.XLOOKUP(E54,wbs[ID],wbs[estimate],"missing",0)</f>
        <v>missing</v>
      </c>
      <c r="J54" s="70"/>
      <c r="K54" s="70"/>
      <c r="L54" s="70"/>
      <c r="M54" s="70"/>
      <c r="N54" s="70"/>
      <c r="O54" s="70"/>
      <c r="P54" s="70"/>
      <c r="Q54" s="70"/>
      <c r="R54" s="70"/>
      <c r="S54" s="70"/>
      <c r="T54" s="70"/>
      <c r="U54" s="70"/>
      <c r="V54" s="70"/>
      <c r="W54" s="70"/>
      <c r="X54" s="70"/>
      <c r="Y54" s="70"/>
      <c r="Z54" s="70"/>
      <c r="AA54" s="70"/>
      <c r="AB54" s="70"/>
      <c r="AC54" s="70"/>
      <c r="AD54" s="80"/>
      <c r="AE54" s="2"/>
    </row>
    <row r="55" spans="1:31" ht="21.95" customHeight="1" x14ac:dyDescent="0.25">
      <c r="A55" s="2"/>
      <c r="B55" s="88" t="s">
        <v>103</v>
      </c>
      <c r="C55" s="88" t="s">
        <v>93</v>
      </c>
      <c r="D55" s="88" t="s">
        <v>96</v>
      </c>
      <c r="E55" s="3" t="s">
        <v>83</v>
      </c>
      <c r="F55" s="9" t="str">
        <f>_xlfn.XLOOKUP(E55,wbs[ID],wbs[Start Date],"missing",0)</f>
        <v>missing</v>
      </c>
      <c r="G55" s="8" t="str">
        <f>_xlfn.XLOOKUP(E55,wbs[ID],wbs[Completetion],"",0)</f>
        <v/>
      </c>
      <c r="H55" s="10" t="str">
        <f>_xlfn.XLOOKUP(E55,wbs[ID],wbs[Task],"missing",0)</f>
        <v>missing</v>
      </c>
      <c r="I55" s="11" t="str">
        <f>_xlfn.XLOOKUP(E55,wbs[ID],wbs[estimate],"missing",0)</f>
        <v>missing</v>
      </c>
      <c r="J55" s="70"/>
      <c r="K55" s="70"/>
      <c r="L55" s="70"/>
      <c r="M55" s="70"/>
      <c r="N55" s="70"/>
      <c r="O55" s="70"/>
      <c r="P55" s="70"/>
      <c r="Q55" s="70"/>
      <c r="R55" s="70"/>
      <c r="S55" s="70"/>
      <c r="T55" s="70"/>
      <c r="U55" s="70"/>
      <c r="V55" s="70"/>
      <c r="W55" s="70"/>
      <c r="X55" s="70"/>
      <c r="Y55" s="70"/>
      <c r="Z55" s="70"/>
      <c r="AA55" s="70"/>
      <c r="AB55" s="70"/>
      <c r="AC55" s="70"/>
      <c r="AD55" s="80"/>
      <c r="AE55" s="2"/>
    </row>
    <row r="56" spans="1:31" ht="21.95" customHeight="1" x14ac:dyDescent="0.25">
      <c r="A56" s="2"/>
      <c r="B56" s="88" t="s">
        <v>103</v>
      </c>
      <c r="C56" s="88" t="s">
        <v>93</v>
      </c>
      <c r="D56" s="88" t="s">
        <v>96</v>
      </c>
      <c r="E56" s="3" t="s">
        <v>84</v>
      </c>
      <c r="F56" s="9" t="str">
        <f>_xlfn.XLOOKUP(E56,wbs[ID],wbs[Start Date],"missing",0)</f>
        <v>missing</v>
      </c>
      <c r="G56" s="8" t="str">
        <f>_xlfn.XLOOKUP(E56,wbs[ID],wbs[Completetion],"",0)</f>
        <v/>
      </c>
      <c r="H56" s="10" t="str">
        <f>_xlfn.XLOOKUP(E56,wbs[ID],wbs[Task],"missing",0)</f>
        <v>missing</v>
      </c>
      <c r="I56" s="11" t="str">
        <f>_xlfn.XLOOKUP(E56,wbs[ID],wbs[estimate],"missing",0)</f>
        <v>missing</v>
      </c>
      <c r="J56" s="70"/>
      <c r="K56" s="70"/>
      <c r="L56" s="70"/>
      <c r="M56" s="70"/>
      <c r="N56" s="70"/>
      <c r="O56" s="70"/>
      <c r="P56" s="70"/>
      <c r="Q56" s="70"/>
      <c r="R56" s="70"/>
      <c r="S56" s="70"/>
      <c r="T56" s="70"/>
      <c r="U56" s="70"/>
      <c r="V56" s="70"/>
      <c r="W56" s="70"/>
      <c r="X56" s="70"/>
      <c r="Y56" s="70"/>
      <c r="Z56" s="70"/>
      <c r="AA56" s="70"/>
      <c r="AB56" s="70"/>
      <c r="AC56" s="70"/>
      <c r="AD56" s="80"/>
      <c r="AE56" s="2"/>
    </row>
    <row r="57" spans="1:31" ht="21.95" customHeight="1" x14ac:dyDescent="0.25">
      <c r="A57" s="2"/>
      <c r="B57" s="88" t="s">
        <v>102</v>
      </c>
      <c r="C57" s="88" t="s">
        <v>93</v>
      </c>
      <c r="D57" s="88" t="s">
        <v>97</v>
      </c>
      <c r="E57" s="21" t="s">
        <v>34</v>
      </c>
      <c r="F57" s="25">
        <f>_xlfn.XLOOKUP(E57,wbs[ID],wbs[Start Date],"missing",0)</f>
        <v>45701</v>
      </c>
      <c r="G57" s="22">
        <f>_xlfn.XLOOKUP(E57,wbs[ID],wbs[Completetion],"",0)</f>
        <v>45701</v>
      </c>
      <c r="H57" s="23" t="str">
        <f>_xlfn.XLOOKUP(E57,wbs[ID],wbs[Task],"missing",0)</f>
        <v>Complete Implementation: Package 1.4.3</v>
      </c>
      <c r="I57" s="24">
        <f>_xlfn.XLOOKUP(E57,wbs[ID],wbs[estimate],"missing",0)</f>
        <v>0</v>
      </c>
      <c r="J57" s="70"/>
      <c r="K57" s="70"/>
      <c r="L57" s="70"/>
      <c r="M57" s="70"/>
      <c r="N57" s="70"/>
      <c r="O57" s="70"/>
      <c r="P57" s="70"/>
      <c r="Q57" s="70"/>
      <c r="R57" s="70"/>
      <c r="S57" s="70"/>
      <c r="T57" s="70"/>
      <c r="U57" s="70"/>
      <c r="V57" s="70"/>
      <c r="W57" s="70"/>
      <c r="X57" s="70"/>
      <c r="Y57" s="70"/>
      <c r="Z57" s="70"/>
      <c r="AA57" s="70"/>
      <c r="AB57" s="70"/>
      <c r="AC57" s="70"/>
      <c r="AD57" s="80"/>
      <c r="AE57" s="2"/>
    </row>
    <row r="58" spans="1:31" ht="21.95" customHeight="1" x14ac:dyDescent="0.25">
      <c r="A58" s="2"/>
      <c r="B58" s="88" t="s">
        <v>103</v>
      </c>
      <c r="C58" s="88" t="s">
        <v>93</v>
      </c>
      <c r="D58" s="88" t="s">
        <v>97</v>
      </c>
      <c r="E58" s="107" t="s">
        <v>35</v>
      </c>
      <c r="F58" s="9" t="str">
        <f>_xlfn.XLOOKUP(E58,wbs[ID],wbs[Start Date],"missing",0)</f>
        <v>missing</v>
      </c>
      <c r="G58" s="8" t="str">
        <f>_xlfn.XLOOKUP(E58,wbs[ID],wbs[Completetion],"",0)</f>
        <v/>
      </c>
      <c r="H58" s="10" t="str">
        <f>_xlfn.XLOOKUP(E58,wbs[ID],wbs[Task],"missing",0)</f>
        <v>missing</v>
      </c>
      <c r="I58" s="11" t="str">
        <f>_xlfn.XLOOKUP(E58,wbs[ID],wbs[estimate],"missing",0)</f>
        <v>missing</v>
      </c>
      <c r="J58" s="70"/>
      <c r="K58" s="70"/>
      <c r="L58" s="70"/>
      <c r="M58" s="70"/>
      <c r="N58" s="70"/>
      <c r="O58" s="70"/>
      <c r="P58" s="70"/>
      <c r="Q58" s="70"/>
      <c r="R58" s="70"/>
      <c r="S58" s="70"/>
      <c r="T58" s="70"/>
      <c r="U58" s="70"/>
      <c r="V58" s="70"/>
      <c r="W58" s="70"/>
      <c r="X58" s="70"/>
      <c r="Y58" s="70"/>
      <c r="Z58" s="70"/>
      <c r="AA58" s="70"/>
      <c r="AB58" s="70"/>
      <c r="AC58" s="70"/>
      <c r="AD58" s="80"/>
      <c r="AE58" s="2"/>
    </row>
    <row r="59" spans="1:31" ht="21.95" customHeight="1" x14ac:dyDescent="0.25">
      <c r="A59" s="2"/>
      <c r="B59" s="88" t="s">
        <v>103</v>
      </c>
      <c r="C59" s="88" t="s">
        <v>93</v>
      </c>
      <c r="D59" s="88" t="s">
        <v>97</v>
      </c>
      <c r="E59" s="108" t="s">
        <v>80</v>
      </c>
      <c r="F59" s="9" t="str">
        <f>_xlfn.XLOOKUP(E59,wbs[ID],wbs[Start Date],"missing",0)</f>
        <v>missing</v>
      </c>
      <c r="G59" s="8" t="str">
        <f>_xlfn.XLOOKUP(E59,wbs[ID],wbs[Completetion],"",0)</f>
        <v/>
      </c>
      <c r="H59" s="10" t="str">
        <f>_xlfn.XLOOKUP(E59,wbs[ID],wbs[Task],"missing",0)</f>
        <v>missing</v>
      </c>
      <c r="I59" s="11" t="str">
        <f>_xlfn.XLOOKUP(E59,wbs[ID],wbs[estimate],"missing",0)</f>
        <v>missing</v>
      </c>
      <c r="J59" s="70"/>
      <c r="K59" s="70"/>
      <c r="L59" s="70"/>
      <c r="M59" s="70"/>
      <c r="N59" s="70"/>
      <c r="O59" s="70"/>
      <c r="P59" s="70"/>
      <c r="Q59" s="70"/>
      <c r="R59" s="70"/>
      <c r="S59" s="70"/>
      <c r="T59" s="70"/>
      <c r="U59" s="70"/>
      <c r="V59" s="70"/>
      <c r="W59" s="70"/>
      <c r="X59" s="70"/>
      <c r="Y59" s="70"/>
      <c r="Z59" s="70"/>
      <c r="AA59" s="70"/>
      <c r="AB59" s="70"/>
      <c r="AC59" s="70"/>
      <c r="AD59" s="80"/>
      <c r="AE59" s="2"/>
    </row>
    <row r="60" spans="1:31" ht="21.95" customHeight="1" x14ac:dyDescent="0.25">
      <c r="A60" s="2"/>
      <c r="B60" s="88" t="s">
        <v>103</v>
      </c>
      <c r="C60" s="88" t="s">
        <v>93</v>
      </c>
      <c r="D60" s="88" t="s">
        <v>97</v>
      </c>
      <c r="E60" s="108" t="s">
        <v>81</v>
      </c>
      <c r="F60" s="9" t="str">
        <f>_xlfn.XLOOKUP(E60,wbs[ID],wbs[Start Date],"missing",0)</f>
        <v>missing</v>
      </c>
      <c r="G60" s="8" t="str">
        <f>_xlfn.XLOOKUP(E60,wbs[ID],wbs[Completetion],"",0)</f>
        <v/>
      </c>
      <c r="H60" s="10" t="str">
        <f>_xlfn.XLOOKUP(E60,wbs[ID],wbs[Task],"missing",0)</f>
        <v>missing</v>
      </c>
      <c r="I60" s="11" t="str">
        <f>_xlfn.XLOOKUP(E60,wbs[ID],wbs[estimate],"missing",0)</f>
        <v>missing</v>
      </c>
      <c r="J60" s="70"/>
      <c r="K60" s="70"/>
      <c r="L60" s="70"/>
      <c r="M60" s="70"/>
      <c r="N60" s="70"/>
      <c r="O60" s="70"/>
      <c r="P60" s="70"/>
      <c r="Q60" s="70"/>
      <c r="R60" s="70"/>
      <c r="S60" s="70"/>
      <c r="T60" s="70"/>
      <c r="U60" s="70"/>
      <c r="V60" s="70"/>
      <c r="W60" s="70"/>
      <c r="X60" s="70"/>
      <c r="Y60" s="70"/>
      <c r="Z60" s="70"/>
      <c r="AA60" s="70"/>
      <c r="AB60" s="70"/>
      <c r="AC60" s="70"/>
      <c r="AD60" s="80"/>
      <c r="AE60" s="2"/>
    </row>
    <row r="61" spans="1:31" ht="21.95" customHeight="1" x14ac:dyDescent="0.25">
      <c r="A61" s="2"/>
      <c r="B61" s="88" t="s">
        <v>101</v>
      </c>
      <c r="C61" s="88" t="s">
        <v>94</v>
      </c>
      <c r="D61" s="88" t="s">
        <v>89</v>
      </c>
      <c r="E61" s="109">
        <v>1.5</v>
      </c>
      <c r="F61" s="20">
        <f>_xlfn.XLOOKUP(E61,wbs[ID],wbs[Start Date],"missing",0)</f>
        <v>45702</v>
      </c>
      <c r="G61" s="17">
        <f>_xlfn.XLOOKUP(E61,wbs[ID],wbs[Completetion],"",0)</f>
        <v>45702</v>
      </c>
      <c r="H61" s="18" t="str">
        <f>_xlfn.XLOOKUP(E61,wbs[ID],wbs[Task],"missing",0)</f>
        <v>Completion Deployment Phase</v>
      </c>
      <c r="I61" s="19">
        <f>_xlfn.XLOOKUP(E61,wbs[ID],wbs[estimate],"missing",0)</f>
        <v>0</v>
      </c>
      <c r="J61" s="70"/>
      <c r="K61" s="70"/>
      <c r="L61" s="70"/>
      <c r="M61" s="70"/>
      <c r="N61" s="70"/>
      <c r="O61" s="70"/>
      <c r="P61" s="70"/>
      <c r="Q61" s="70"/>
      <c r="R61" s="70"/>
      <c r="S61" s="70"/>
      <c r="T61" s="70"/>
      <c r="U61" s="70"/>
      <c r="V61" s="70"/>
      <c r="W61" s="70"/>
      <c r="X61" s="70"/>
      <c r="Y61" s="70"/>
      <c r="Z61" s="70"/>
      <c r="AA61" s="70"/>
      <c r="AB61" s="70"/>
      <c r="AC61" s="70"/>
      <c r="AD61" s="80"/>
      <c r="AE61" s="2"/>
    </row>
    <row r="62" spans="1:31" ht="21.95" customHeight="1" x14ac:dyDescent="0.25">
      <c r="A62" s="2"/>
      <c r="B62" s="88" t="s">
        <v>102</v>
      </c>
      <c r="C62" s="88" t="s">
        <v>94</v>
      </c>
      <c r="D62" s="88" t="s">
        <v>95</v>
      </c>
      <c r="E62" s="110" t="s">
        <v>36</v>
      </c>
      <c r="F62" s="25">
        <f>_xlfn.XLOOKUP(E62,wbs[ID],wbs[Start Date],"missing",0)</f>
        <v>45702</v>
      </c>
      <c r="G62" s="22">
        <f>_xlfn.XLOOKUP(E62,wbs[ID],wbs[Completetion],"",0)</f>
        <v>45702</v>
      </c>
      <c r="H62" s="23" t="str">
        <f>_xlfn.XLOOKUP(E62,wbs[ID],wbs[Task],"missing",0)</f>
        <v>Complete Deployment: Package 1.5.1</v>
      </c>
      <c r="I62" s="24">
        <f>_xlfn.XLOOKUP(E62,wbs[ID],wbs[estimate],"missing",0)</f>
        <v>0</v>
      </c>
      <c r="J62" s="70"/>
      <c r="K62" s="70"/>
      <c r="L62" s="70"/>
      <c r="M62" s="70"/>
      <c r="N62" s="70"/>
      <c r="O62" s="70"/>
      <c r="P62" s="70"/>
      <c r="Q62" s="70"/>
      <c r="R62" s="70"/>
      <c r="S62" s="70"/>
      <c r="T62" s="70"/>
      <c r="U62" s="70"/>
      <c r="V62" s="70"/>
      <c r="W62" s="70"/>
      <c r="X62" s="70"/>
      <c r="Y62" s="70"/>
      <c r="Z62" s="70"/>
      <c r="AA62" s="70"/>
      <c r="AB62" s="70"/>
      <c r="AC62" s="70"/>
      <c r="AD62" s="80"/>
      <c r="AE62" s="2"/>
    </row>
    <row r="63" spans="1:31" ht="21.95" customHeight="1" x14ac:dyDescent="0.25">
      <c r="A63" s="2"/>
      <c r="B63" s="88" t="s">
        <v>103</v>
      </c>
      <c r="C63" s="88" t="s">
        <v>94</v>
      </c>
      <c r="D63" s="88" t="s">
        <v>95</v>
      </c>
      <c r="E63" s="108" t="s">
        <v>38</v>
      </c>
      <c r="F63" s="9" t="str">
        <f>_xlfn.XLOOKUP(E63,wbs[ID],wbs[Start Date],"missing",0)</f>
        <v>missing</v>
      </c>
      <c r="G63" s="8" t="str">
        <f>_xlfn.XLOOKUP(E63,wbs[ID],wbs[Completetion],"",0)</f>
        <v/>
      </c>
      <c r="H63" s="10" t="str">
        <f>_xlfn.XLOOKUP(E63,wbs[ID],wbs[Task],"missing",0)</f>
        <v>missing</v>
      </c>
      <c r="I63" s="11" t="str">
        <f>_xlfn.XLOOKUP(E63,wbs[ID],wbs[estimate],"missing",0)</f>
        <v>missing</v>
      </c>
      <c r="J63" s="70"/>
      <c r="K63" s="70"/>
      <c r="L63" s="70"/>
      <c r="M63" s="70"/>
      <c r="N63" s="70"/>
      <c r="O63" s="70"/>
      <c r="P63" s="70"/>
      <c r="Q63" s="70"/>
      <c r="R63" s="70"/>
      <c r="S63" s="70"/>
      <c r="T63" s="70"/>
      <c r="U63" s="70"/>
      <c r="V63" s="70"/>
      <c r="W63" s="70"/>
      <c r="X63" s="70"/>
      <c r="Y63" s="70"/>
      <c r="Z63" s="70"/>
      <c r="AA63" s="70"/>
      <c r="AB63" s="70"/>
      <c r="AC63" s="70"/>
      <c r="AD63" s="80"/>
      <c r="AE63" s="2"/>
    </row>
    <row r="64" spans="1:31" ht="21.95" customHeight="1" x14ac:dyDescent="0.25">
      <c r="A64" s="2"/>
      <c r="B64" s="88" t="s">
        <v>103</v>
      </c>
      <c r="C64" s="88" t="s">
        <v>94</v>
      </c>
      <c r="D64" s="88" t="s">
        <v>95</v>
      </c>
      <c r="E64" s="108" t="s">
        <v>70</v>
      </c>
      <c r="F64" s="9" t="str">
        <f>_xlfn.XLOOKUP(E64,wbs[ID],wbs[Start Date],"missing",0)</f>
        <v>missing</v>
      </c>
      <c r="G64" s="8" t="str">
        <f>_xlfn.XLOOKUP(E64,wbs[ID],wbs[Completetion],"",0)</f>
        <v/>
      </c>
      <c r="H64" s="10" t="str">
        <f>_xlfn.XLOOKUP(E64,wbs[ID],wbs[Task],"missing",0)</f>
        <v>missing</v>
      </c>
      <c r="I64" s="11" t="str">
        <f>_xlfn.XLOOKUP(E64,wbs[ID],wbs[estimate],"missing",0)</f>
        <v>missing</v>
      </c>
      <c r="J64" s="70"/>
      <c r="K64" s="70"/>
      <c r="L64" s="70"/>
      <c r="M64" s="70"/>
      <c r="N64" s="70"/>
      <c r="O64" s="70"/>
      <c r="P64" s="70"/>
      <c r="Q64" s="70"/>
      <c r="R64" s="70"/>
      <c r="S64" s="70"/>
      <c r="T64" s="70"/>
      <c r="U64" s="70"/>
      <c r="V64" s="70"/>
      <c r="W64" s="70"/>
      <c r="X64" s="70"/>
      <c r="Y64" s="70"/>
      <c r="Z64" s="70"/>
      <c r="AA64" s="70"/>
      <c r="AB64" s="70"/>
      <c r="AC64" s="70"/>
      <c r="AD64" s="80"/>
      <c r="AE64" s="2"/>
    </row>
    <row r="65" spans="1:31" ht="21.95" customHeight="1" x14ac:dyDescent="0.25">
      <c r="A65" s="2"/>
      <c r="B65" s="88" t="s">
        <v>102</v>
      </c>
      <c r="C65" s="88" t="s">
        <v>94</v>
      </c>
      <c r="D65" s="88" t="s">
        <v>96</v>
      </c>
      <c r="E65" s="110" t="s">
        <v>37</v>
      </c>
      <c r="F65" s="25">
        <f>_xlfn.XLOOKUP(E65,wbs[ID],wbs[Start Date],"missing",0)</f>
        <v>45702</v>
      </c>
      <c r="G65" s="22">
        <f>_xlfn.XLOOKUP(E65,wbs[ID],wbs[Completetion],"",0)</f>
        <v>45702</v>
      </c>
      <c r="H65" s="23" t="str">
        <f>_xlfn.XLOOKUP(E65,wbs[ID],wbs[Task],"missing",0)</f>
        <v>Complete Deployment: Package 1.5.2</v>
      </c>
      <c r="I65" s="24">
        <f>_xlfn.XLOOKUP(E65,wbs[ID],wbs[estimate],"missing",0)</f>
        <v>0</v>
      </c>
      <c r="J65" s="70"/>
      <c r="K65" s="70"/>
      <c r="L65" s="70"/>
      <c r="M65" s="70"/>
      <c r="N65" s="70"/>
      <c r="O65" s="70"/>
      <c r="P65" s="70"/>
      <c r="Q65" s="70"/>
      <c r="R65" s="70"/>
      <c r="S65" s="70"/>
      <c r="T65" s="70"/>
      <c r="U65" s="70"/>
      <c r="V65" s="70"/>
      <c r="W65" s="70"/>
      <c r="X65" s="70"/>
      <c r="Y65" s="70"/>
      <c r="Z65" s="70"/>
      <c r="AA65" s="70"/>
      <c r="AB65" s="70"/>
      <c r="AC65" s="70"/>
      <c r="AD65" s="80"/>
      <c r="AE65" s="2"/>
    </row>
    <row r="66" spans="1:31" ht="21.95" customHeight="1" x14ac:dyDescent="0.25">
      <c r="A66" s="2"/>
      <c r="B66" s="88" t="s">
        <v>103</v>
      </c>
      <c r="C66" s="88" t="s">
        <v>94</v>
      </c>
      <c r="D66" s="88" t="s">
        <v>96</v>
      </c>
      <c r="E66" s="108" t="s">
        <v>38</v>
      </c>
      <c r="F66" s="9" t="str">
        <f>_xlfn.XLOOKUP(E66,wbs[ID],wbs[Start Date],"missing",0)</f>
        <v>missing</v>
      </c>
      <c r="G66" s="8" t="str">
        <f>_xlfn.XLOOKUP(E66,wbs[ID],wbs[Completetion],"",0)</f>
        <v/>
      </c>
      <c r="H66" s="10" t="str">
        <f>_xlfn.XLOOKUP(E66,wbs[ID],wbs[Task],"missing",0)</f>
        <v>missing</v>
      </c>
      <c r="I66" s="11" t="str">
        <f>_xlfn.XLOOKUP(E66,wbs[ID],wbs[estimate],"missing",0)</f>
        <v>missing</v>
      </c>
      <c r="J66" s="70"/>
      <c r="K66" s="70"/>
      <c r="L66" s="70"/>
      <c r="M66" s="70"/>
      <c r="N66" s="70"/>
      <c r="O66" s="70"/>
      <c r="P66" s="70"/>
      <c r="Q66" s="70"/>
      <c r="R66" s="70"/>
      <c r="S66" s="70"/>
      <c r="T66" s="70"/>
      <c r="U66" s="70"/>
      <c r="V66" s="70"/>
      <c r="W66" s="70"/>
      <c r="X66" s="70"/>
      <c r="Y66" s="70"/>
      <c r="Z66" s="70"/>
      <c r="AA66" s="70"/>
      <c r="AB66" s="70"/>
      <c r="AC66" s="70"/>
      <c r="AD66" s="80"/>
      <c r="AE66" s="2"/>
    </row>
    <row r="67" spans="1:31" ht="21.95" customHeight="1" x14ac:dyDescent="0.25">
      <c r="A67" s="2"/>
      <c r="B67" s="88" t="s">
        <v>103</v>
      </c>
      <c r="C67" s="88" t="s">
        <v>94</v>
      </c>
      <c r="D67" s="88" t="s">
        <v>96</v>
      </c>
      <c r="E67" s="108" t="s">
        <v>70</v>
      </c>
      <c r="F67" s="9" t="str">
        <f>_xlfn.XLOOKUP(E67,wbs[ID],wbs[Start Date],"missing",0)</f>
        <v>missing</v>
      </c>
      <c r="G67" s="8" t="str">
        <f>_xlfn.XLOOKUP(E67,wbs[ID],wbs[Completetion],"",0)</f>
        <v/>
      </c>
      <c r="H67" s="10" t="str">
        <f>_xlfn.XLOOKUP(E67,wbs[ID],wbs[Task],"missing",0)</f>
        <v>missing</v>
      </c>
      <c r="I67" s="11" t="str">
        <f>_xlfn.XLOOKUP(E67,wbs[ID],wbs[estimate],"missing",0)</f>
        <v>missing</v>
      </c>
      <c r="J67" s="70"/>
      <c r="K67" s="70"/>
      <c r="L67" s="70"/>
      <c r="M67" s="70"/>
      <c r="N67" s="70"/>
      <c r="O67" s="70"/>
      <c r="P67" s="70"/>
      <c r="Q67" s="70"/>
      <c r="R67" s="70"/>
      <c r="S67" s="70"/>
      <c r="T67" s="70"/>
      <c r="U67" s="70"/>
      <c r="V67" s="70"/>
      <c r="W67" s="70"/>
      <c r="X67" s="70"/>
      <c r="Y67" s="70"/>
      <c r="Z67" s="70"/>
      <c r="AA67" s="70"/>
      <c r="AB67" s="70"/>
      <c r="AC67" s="70"/>
      <c r="AD67" s="80"/>
      <c r="AE67" s="2"/>
    </row>
    <row r="68" spans="1:31" ht="21.95" customHeight="1" x14ac:dyDescent="0.25">
      <c r="A68" s="2"/>
      <c r="B68" s="88" t="s">
        <v>102</v>
      </c>
      <c r="C68" s="88" t="s">
        <v>94</v>
      </c>
      <c r="D68" s="88" t="s">
        <v>97</v>
      </c>
      <c r="E68" s="110" t="s">
        <v>39</v>
      </c>
      <c r="F68" s="25">
        <f>_xlfn.XLOOKUP(E68,wbs[ID],wbs[Start Date],"missing",0)</f>
        <v>45702</v>
      </c>
      <c r="G68" s="22">
        <f>_xlfn.XLOOKUP(E68,wbs[ID],wbs[Completetion],"",0)</f>
        <v>45702</v>
      </c>
      <c r="H68" s="23" t="str">
        <f>_xlfn.XLOOKUP(E68,wbs[ID],wbs[Task],"missing",0)</f>
        <v>Complete Deployment: Package 1.5.3</v>
      </c>
      <c r="I68" s="24">
        <f>_xlfn.XLOOKUP(E68,wbs[ID],wbs[estimate],"missing",0)</f>
        <v>0</v>
      </c>
      <c r="J68" s="70"/>
      <c r="K68" s="70"/>
      <c r="L68" s="70"/>
      <c r="M68" s="70"/>
      <c r="N68" s="70"/>
      <c r="O68" s="70"/>
      <c r="P68" s="70"/>
      <c r="Q68" s="70"/>
      <c r="R68" s="70"/>
      <c r="S68" s="70"/>
      <c r="T68" s="70"/>
      <c r="U68" s="70"/>
      <c r="V68" s="70"/>
      <c r="W68" s="70"/>
      <c r="X68" s="70"/>
      <c r="Y68" s="70"/>
      <c r="Z68" s="70"/>
      <c r="AA68" s="70"/>
      <c r="AB68" s="70"/>
      <c r="AC68" s="70"/>
      <c r="AD68" s="80"/>
      <c r="AE68" s="2"/>
    </row>
    <row r="69" spans="1:31" ht="21.95" customHeight="1" x14ac:dyDescent="0.25">
      <c r="A69" s="2"/>
      <c r="B69" s="88" t="s">
        <v>103</v>
      </c>
      <c r="C69" s="88" t="s">
        <v>94</v>
      </c>
      <c r="D69" s="88" t="s">
        <v>97</v>
      </c>
      <c r="E69" s="108" t="s">
        <v>40</v>
      </c>
      <c r="F69" s="9" t="str">
        <f>_xlfn.XLOOKUP(E69,wbs[ID],wbs[Start Date],"missing",0)</f>
        <v>missing</v>
      </c>
      <c r="G69" s="8" t="str">
        <f>_xlfn.XLOOKUP(E69,wbs[ID],wbs[Completetion],"",0)</f>
        <v/>
      </c>
      <c r="H69" s="10" t="str">
        <f>_xlfn.XLOOKUP(E69,wbs[ID],wbs[Task],"missing",0)</f>
        <v>missing</v>
      </c>
      <c r="I69" s="11" t="str">
        <f>_xlfn.XLOOKUP(E69,wbs[ID],wbs[estimate],"missing",0)</f>
        <v>missing</v>
      </c>
      <c r="J69" s="70"/>
      <c r="K69" s="70"/>
      <c r="L69" s="70"/>
      <c r="M69" s="70"/>
      <c r="N69" s="70"/>
      <c r="O69" s="70"/>
      <c r="P69" s="70"/>
      <c r="Q69" s="70"/>
      <c r="R69" s="70"/>
      <c r="S69" s="70"/>
      <c r="T69" s="70"/>
      <c r="U69" s="70"/>
      <c r="V69" s="70"/>
      <c r="W69" s="70"/>
      <c r="X69" s="70"/>
      <c r="Y69" s="70"/>
      <c r="Z69" s="70"/>
      <c r="AA69" s="70"/>
      <c r="AB69" s="70"/>
      <c r="AC69" s="70"/>
      <c r="AD69" s="80"/>
      <c r="AE69" s="2"/>
    </row>
    <row r="70" spans="1:31" ht="21.95" customHeight="1" thickBot="1" x14ac:dyDescent="0.3">
      <c r="A70" s="2"/>
      <c r="B70" s="88" t="s">
        <v>103</v>
      </c>
      <c r="C70" s="88" t="s">
        <v>94</v>
      </c>
      <c r="D70" s="88" t="s">
        <v>97</v>
      </c>
      <c r="E70" s="111" t="s">
        <v>71</v>
      </c>
      <c r="F70" s="112" t="str">
        <f>_xlfn.XLOOKUP(E70,wbs[ID],wbs[Start Date],"missing",0)</f>
        <v>missing</v>
      </c>
      <c r="G70" s="113" t="str">
        <f>_xlfn.XLOOKUP(E70,wbs[ID],wbs[Completetion],"",0)</f>
        <v/>
      </c>
      <c r="H70" s="114" t="str">
        <f>_xlfn.XLOOKUP(E70,wbs[ID],wbs[Task],"missing",0)</f>
        <v>missing</v>
      </c>
      <c r="I70" s="115" t="str">
        <f>_xlfn.XLOOKUP(E70,wbs[ID],wbs[estimate],"missing",0)</f>
        <v>missing</v>
      </c>
      <c r="J70" s="81"/>
      <c r="K70" s="81"/>
      <c r="L70" s="81"/>
      <c r="M70" s="81"/>
      <c r="N70" s="81"/>
      <c r="O70" s="81"/>
      <c r="P70" s="81"/>
      <c r="Q70" s="81"/>
      <c r="R70" s="81"/>
      <c r="S70" s="81"/>
      <c r="T70" s="81"/>
      <c r="U70" s="81"/>
      <c r="V70" s="81"/>
      <c r="W70" s="81"/>
      <c r="X70" s="81"/>
      <c r="Y70" s="81"/>
      <c r="Z70" s="81"/>
      <c r="AA70" s="81"/>
      <c r="AB70" s="81"/>
      <c r="AC70" s="81"/>
      <c r="AD70" s="82"/>
      <c r="AE70" s="2"/>
    </row>
    <row r="71" spans="1:31" ht="15.75" thickTop="1" x14ac:dyDescent="0.25">
      <c r="A71" s="2"/>
      <c r="B71" s="68"/>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sheetData>
  <mergeCells count="2">
    <mergeCell ref="B10:I10"/>
    <mergeCell ref="E2:H3"/>
  </mergeCells>
  <phoneticPr fontId="9" type="noConversion"/>
  <pageMargins left="0" right="0" top="0" bottom="0" header="0" footer="0"/>
  <pageSetup paperSize="9" orientation="landscape"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8BD22-0ECE-4941-ABEC-06EECBD8FF05}">
  <dimension ref="B3:I14"/>
  <sheetViews>
    <sheetView showGridLines="0" workbookViewId="0">
      <selection activeCell="N7" sqref="N7"/>
    </sheetView>
  </sheetViews>
  <sheetFormatPr defaultRowHeight="15" x14ac:dyDescent="0.25"/>
  <cols>
    <col min="2" max="2" width="13.140625" customWidth="1"/>
    <col min="3" max="3" width="12.28515625" customWidth="1"/>
    <col min="4" max="4" width="13.85546875" customWidth="1"/>
    <col min="5" max="5" width="13" customWidth="1"/>
    <col min="6" max="6" width="35.28515625" customWidth="1"/>
    <col min="7" max="7" width="27.5703125" customWidth="1"/>
    <col min="8" max="8" width="24.28515625" customWidth="1"/>
    <col min="9" max="9" width="39.28515625" customWidth="1"/>
  </cols>
  <sheetData>
    <row r="3" spans="2:9" ht="21" x14ac:dyDescent="0.35">
      <c r="B3" s="139" t="s">
        <v>132</v>
      </c>
    </row>
    <row r="5" spans="2:9" x14ac:dyDescent="0.25">
      <c r="B5" t="s">
        <v>50</v>
      </c>
      <c r="C5" t="s">
        <v>118</v>
      </c>
      <c r="D5" t="s">
        <v>121</v>
      </c>
      <c r="E5" t="s">
        <v>116</v>
      </c>
      <c r="F5" t="s">
        <v>117</v>
      </c>
      <c r="G5" t="s">
        <v>133</v>
      </c>
      <c r="H5" t="s">
        <v>140</v>
      </c>
      <c r="I5" t="s">
        <v>138</v>
      </c>
    </row>
    <row r="6" spans="2:9" x14ac:dyDescent="0.25">
      <c r="B6" t="s">
        <v>119</v>
      </c>
      <c r="C6" t="s">
        <v>120</v>
      </c>
      <c r="F6" t="s">
        <v>131</v>
      </c>
      <c r="G6" t="s">
        <v>122</v>
      </c>
      <c r="H6" t="s">
        <v>134</v>
      </c>
    </row>
    <row r="7" spans="2:9" x14ac:dyDescent="0.25">
      <c r="B7" t="s">
        <v>119</v>
      </c>
      <c r="C7" t="s">
        <v>120</v>
      </c>
      <c r="F7" t="s">
        <v>131</v>
      </c>
      <c r="G7" t="s">
        <v>122</v>
      </c>
      <c r="H7" t="s">
        <v>135</v>
      </c>
      <c r="I7" t="s">
        <v>136</v>
      </c>
    </row>
    <row r="8" spans="2:9" x14ac:dyDescent="0.25">
      <c r="B8" t="s">
        <v>119</v>
      </c>
      <c r="C8" t="s">
        <v>120</v>
      </c>
      <c r="F8" t="s">
        <v>131</v>
      </c>
      <c r="G8" t="s">
        <v>122</v>
      </c>
      <c r="H8" t="s">
        <v>135</v>
      </c>
      <c r="I8" t="s">
        <v>137</v>
      </c>
    </row>
    <row r="10" spans="2:9" x14ac:dyDescent="0.25">
      <c r="B10" t="s">
        <v>119</v>
      </c>
      <c r="C10" t="s">
        <v>120</v>
      </c>
      <c r="F10" t="s">
        <v>131</v>
      </c>
      <c r="G10" t="s">
        <v>123</v>
      </c>
    </row>
    <row r="11" spans="2:9" x14ac:dyDescent="0.25">
      <c r="B11" t="s">
        <v>119</v>
      </c>
      <c r="C11" t="s">
        <v>120</v>
      </c>
      <c r="F11" t="s">
        <v>131</v>
      </c>
      <c r="G11" t="s">
        <v>124</v>
      </c>
    </row>
    <row r="12" spans="2:9" x14ac:dyDescent="0.25">
      <c r="B12" t="s">
        <v>119</v>
      </c>
      <c r="C12" t="s">
        <v>120</v>
      </c>
      <c r="F12" t="s">
        <v>131</v>
      </c>
      <c r="G12" t="s">
        <v>125</v>
      </c>
    </row>
    <row r="13" spans="2:9" x14ac:dyDescent="0.25">
      <c r="B13" t="s">
        <v>119</v>
      </c>
      <c r="C13" t="s">
        <v>120</v>
      </c>
      <c r="F13" t="s">
        <v>131</v>
      </c>
      <c r="G13" t="s">
        <v>126</v>
      </c>
    </row>
    <row r="14" spans="2:9" x14ac:dyDescent="0.25">
      <c r="B14" t="s">
        <v>119</v>
      </c>
      <c r="C14" t="s">
        <v>120</v>
      </c>
      <c r="F14" t="s">
        <v>131</v>
      </c>
      <c r="G14" t="s">
        <v>127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C5024-60C5-4C4D-AE0A-515ECC7C968E}">
  <dimension ref="B2:F13"/>
  <sheetViews>
    <sheetView workbookViewId="0">
      <selection activeCell="B7" sqref="B7"/>
    </sheetView>
  </sheetViews>
  <sheetFormatPr defaultRowHeight="15" x14ac:dyDescent="0.25"/>
  <cols>
    <col min="1" max="1" width="5.5703125" customWidth="1"/>
    <col min="4" max="4" width="11.28515625" customWidth="1"/>
    <col min="5" max="5" width="13.28515625" customWidth="1"/>
  </cols>
  <sheetData>
    <row r="2" spans="2:6" x14ac:dyDescent="0.25">
      <c r="B2" t="s">
        <v>141</v>
      </c>
    </row>
    <row r="4" spans="2:6" x14ac:dyDescent="0.25">
      <c r="B4" t="s">
        <v>58</v>
      </c>
      <c r="C4" t="s">
        <v>118</v>
      </c>
      <c r="D4" t="s">
        <v>151</v>
      </c>
      <c r="E4" t="s">
        <v>142</v>
      </c>
      <c r="F4" t="s">
        <v>143</v>
      </c>
    </row>
    <row r="5" spans="2:6" x14ac:dyDescent="0.25">
      <c r="B5" t="s">
        <v>145</v>
      </c>
      <c r="C5" t="s">
        <v>50</v>
      </c>
      <c r="D5" t="s">
        <v>152</v>
      </c>
      <c r="E5" t="s">
        <v>119</v>
      </c>
    </row>
    <row r="6" spans="2:6" x14ac:dyDescent="0.25">
      <c r="B6" t="s">
        <v>146</v>
      </c>
      <c r="C6" t="s">
        <v>50</v>
      </c>
      <c r="D6" t="s">
        <v>152</v>
      </c>
      <c r="E6" t="s">
        <v>123</v>
      </c>
    </row>
    <row r="7" spans="2:6" x14ac:dyDescent="0.25">
      <c r="B7" t="s">
        <v>155</v>
      </c>
      <c r="C7" t="s">
        <v>50</v>
      </c>
      <c r="D7" t="s">
        <v>152</v>
      </c>
      <c r="E7" t="s">
        <v>144</v>
      </c>
    </row>
    <row r="8" spans="2:6" x14ac:dyDescent="0.25">
      <c r="B8" t="s">
        <v>149</v>
      </c>
      <c r="C8" t="s">
        <v>50</v>
      </c>
      <c r="D8" t="s">
        <v>152</v>
      </c>
      <c r="E8" t="s">
        <v>124</v>
      </c>
    </row>
    <row r="9" spans="2:6" x14ac:dyDescent="0.25">
      <c r="B9" t="s">
        <v>150</v>
      </c>
      <c r="C9" t="s">
        <v>50</v>
      </c>
      <c r="D9" t="s">
        <v>152</v>
      </c>
      <c r="E9" t="s">
        <v>125</v>
      </c>
    </row>
    <row r="10" spans="2:6" x14ac:dyDescent="0.25">
      <c r="B10" t="s">
        <v>147</v>
      </c>
      <c r="C10" t="s">
        <v>50</v>
      </c>
      <c r="D10" t="s">
        <v>152</v>
      </c>
      <c r="E10" t="s">
        <v>126</v>
      </c>
    </row>
    <row r="11" spans="2:6" x14ac:dyDescent="0.25">
      <c r="B11" t="s">
        <v>148</v>
      </c>
      <c r="C11" t="s">
        <v>50</v>
      </c>
      <c r="D11" t="s">
        <v>152</v>
      </c>
      <c r="E11" t="s">
        <v>127</v>
      </c>
    </row>
    <row r="12" spans="2:6" x14ac:dyDescent="0.25">
      <c r="C12" t="s">
        <v>153</v>
      </c>
    </row>
    <row r="13" spans="2:6" x14ac:dyDescent="0.25">
      <c r="C13" t="s">
        <v>154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Sheet1</vt:lpstr>
      <vt:lpstr>WBS Task List</vt:lpstr>
      <vt:lpstr>Gantt Chart for WBS</vt:lpstr>
      <vt:lpstr>Sheet2</vt:lpstr>
      <vt:lpstr>Sheet3</vt:lpstr>
      <vt:lpstr>current_date</vt:lpstr>
      <vt:lpstr>start_date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Bratislav Milojevic | ELMED d.o.o.</dc:creator>
  <cp:lastModifiedBy>Michael Kubisewsky</cp:lastModifiedBy>
  <cp:lastPrinted>2025-12-06T18:33:33Z</cp:lastPrinted>
  <dcterms:created xsi:type="dcterms:W3CDTF">2020-05-08T09:12:29Z</dcterms:created>
  <dcterms:modified xsi:type="dcterms:W3CDTF">2025-12-19T02:40:04Z</dcterms:modified>
</cp:coreProperties>
</file>