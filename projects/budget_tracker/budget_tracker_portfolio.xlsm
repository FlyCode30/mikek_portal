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charts/chart17.xml" ContentType="application/vnd.openxmlformats-officedocument.drawingml.chart+xml"/>
  <Override PartName="/xl/charts/style14.xml" ContentType="application/vnd.ms-office.chartstyle+xml"/>
  <Override PartName="/xl/charts/colors14.xml" ContentType="application/vnd.ms-office.chartcolorstyle+xml"/>
  <Override PartName="/xl/charts/chart18.xml" ContentType="application/vnd.openxmlformats-officedocument.drawingml.chart+xml"/>
  <Override PartName="/xl/charts/style15.xml" ContentType="application/vnd.ms-office.chartstyle+xml"/>
  <Override PartName="/xl/charts/colors15.xml" ContentType="application/vnd.ms-office.chartcolorstyle+xml"/>
  <Override PartName="/xl/charts/chart19.xml" ContentType="application/vnd.openxmlformats-officedocument.drawingml.chart+xml"/>
  <Override PartName="/xl/charts/style16.xml" ContentType="application/vnd.ms-office.chartstyle+xml"/>
  <Override PartName="/xl/charts/colors16.xml" ContentType="application/vnd.ms-office.chartcolorstyle+xml"/>
  <Override PartName="/xl/charts/chart20.xml" ContentType="application/vnd.openxmlformats-officedocument.drawingml.chart+xml"/>
  <Override PartName="/xl/charts/style17.xml" ContentType="application/vnd.ms-office.chartstyle+xml"/>
  <Override PartName="/xl/charts/colors17.xml" ContentType="application/vnd.ms-office.chartcolorstyle+xml"/>
  <Override PartName="/xl/charts/chart21.xml" ContentType="application/vnd.openxmlformats-officedocument.drawingml.chart+xml"/>
  <Override PartName="/xl/charts/style18.xml" ContentType="application/vnd.ms-office.chartstyle+xml"/>
  <Override PartName="/xl/charts/colors18.xml" ContentType="application/vnd.ms-office.chartcolorstyle+xml"/>
  <Override PartName="/xl/charts/chart22.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5.xml" ContentType="application/vnd.openxmlformats-officedocument.spreadsheetml.table+xml"/>
  <Override PartName="/xl/slicers/slicer3.xml" ContentType="application/vnd.ms-excel.slicer+xml"/>
  <Override PartName="/xl/drawings/drawing9.xml" ContentType="application/vnd.openxmlformats-officedocument.drawing+xml"/>
  <Override PartName="/xl/ctrlProps/ctrlProp9.xml" ContentType="application/vnd.ms-excel.controlproperties+xml"/>
  <Override PartName="/xl/tables/table6.xml" ContentType="application/vnd.openxmlformats-officedocument.spreadsheetml.table+xml"/>
  <Override PartName="/xl/slicers/slicer4.xml" ContentType="application/vnd.ms-excel.slicer+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7.xml" ContentType="application/vnd.openxmlformats-officedocument.spreadsheetml.table+xml"/>
  <Override PartName="/xl/slicers/slicer5.xml" ContentType="application/vnd.ms-excel.slicer+xml"/>
  <Override PartName="/xl/drawings/drawing11.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22.xml" ContentType="application/vnd.openxmlformats-officedocument.spreadsheetml.table+xml"/>
  <Override PartName="/xl/queryTables/queryTable1.xml" ContentType="application/vnd.openxmlformats-officedocument.spreadsheetml.queryTable+xml"/>
  <Override PartName="/xl/tables/table2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F:\my_toolbox\projects\career\portfolio_main\projects\budget_tracker\assets\"/>
    </mc:Choice>
  </mc:AlternateContent>
  <xr:revisionPtr revIDLastSave="0" documentId="13_ncr:1_{3C94BF3B-EADC-45C4-920D-07BC9B64421F}" xr6:coauthVersionLast="47" xr6:coauthVersionMax="47" xr10:uidLastSave="{00000000-0000-0000-0000-000000000000}"/>
  <bookViews>
    <workbookView xWindow="-38520" yWindow="-120" windowWidth="38640" windowHeight="21120" tabRatio="889" activeTab="2" xr2:uid="{B5EDF57A-9D0F-4BAA-BEE3-2378C55B83D3}"/>
  </bookViews>
  <sheets>
    <sheet name="TitlePage" sheetId="13" r:id="rId1"/>
    <sheet name="Table of Contents" sheetId="73" r:id="rId2"/>
    <sheet name="Journal" sheetId="76" r:id="rId3"/>
    <sheet name="Asset Planning" sheetId="70" r:id="rId4"/>
    <sheet name="Trial Balance" sheetId="7" r:id="rId5"/>
    <sheet name="Account_Ledgers" sheetId="64" r:id="rId6"/>
    <sheet name="Personal Financial Statement 04" sheetId="59" state="hidden" r:id="rId7"/>
    <sheet name="Sheet1" sheetId="75" state="hidden" r:id="rId8"/>
    <sheet name="Dashboard" sheetId="44" state="hidden" r:id="rId9"/>
    <sheet name="DashCalculations" sheetId="54" state="hidden" r:id="rId10"/>
    <sheet name="Liability_Planning" sheetId="71" r:id="rId11"/>
    <sheet name="Income_Planning" sheetId="72" r:id="rId12"/>
    <sheet name="Expense Planning" sheetId="50" r:id="rId13"/>
    <sheet name="Shopping List" sheetId="52" r:id="rId14"/>
    <sheet name="AcctRef" sheetId="1" r:id="rId15"/>
    <sheet name="BalanceCalc" sheetId="43" state="hidden" r:id="rId16"/>
    <sheet name="journal_append" sheetId="82" state="hidden" r:id="rId17"/>
    <sheet name="Sheet3" sheetId="78" state="hidden" r:id="rId18"/>
    <sheet name="List Names" sheetId="83" state="hidden" r:id="rId19"/>
    <sheet name="jan_data" sheetId="79" state="hidden" r:id="rId20"/>
  </sheets>
  <externalReferences>
    <externalReference r:id="rId21"/>
  </externalReferences>
  <definedNames>
    <definedName name="_xlcn.WorksheetConnection_MyBudget_2024_VBAJuly18.xlsmJournal1" hidden="1">Journal[]</definedName>
    <definedName name="_xleta.ROW" hidden="1" xlm="1">#NAME?</definedName>
    <definedName name="BudgetActual" localSheetId="2">AcctRef!$J$7:$J$8</definedName>
    <definedName name="BudgetActual">AcctRef!$J$7:$J$8</definedName>
    <definedName name="CalcAccountActual" localSheetId="2">DashCalculations!$AZ$10:$AZ$511</definedName>
    <definedName name="CalcAccountActual">DashCalculations!$AZ$10:$AZ$511</definedName>
    <definedName name="CalcAccountAll" localSheetId="2">DashCalculations!$AW$10:$BC$511</definedName>
    <definedName name="CalcAccountAll">DashCalculations!$AW$10:$BC$511</definedName>
    <definedName name="CalcAccountBudget" localSheetId="2">DashCalculations!$AY$10:$AY$511</definedName>
    <definedName name="CalcAccountBudget">DashCalculations!$AY$10:$AY$511</definedName>
    <definedName name="CalcAccountDiff">DashCalculations!$BA$10:$BA$511</definedName>
    <definedName name="CalcAccountName" localSheetId="2">DashCalculations!$AW$10:$AW$511</definedName>
    <definedName name="CalcAccountName">DashCalculations!$AW$10:$AW$511</definedName>
    <definedName name="CalcAccountType" localSheetId="2">DashCalculations!$AX$10:$AX$511</definedName>
    <definedName name="CalcAccountType">DashCalculations!$AX$10:$AX$511</definedName>
    <definedName name="CalcItemAccountName" localSheetId="2">DashCalculations!$BF$10:$BF$511</definedName>
    <definedName name="CalcItemAccountName">DashCalculations!$BF$10:$BF$511</definedName>
    <definedName name="CalcItemAccountType" localSheetId="2">DashCalculations!$BG$10:$BG$511</definedName>
    <definedName name="CalcItemAccountType">DashCalculations!$BG$10:$BG$511</definedName>
    <definedName name="CalcItemActual" localSheetId="2">DashCalculations!$BI$10:$BI$511</definedName>
    <definedName name="CalcItemActual">DashCalculations!$BI$10:$BI$511</definedName>
    <definedName name="CalcItemAll" localSheetId="2">DashCalculations!$BE$10:$BL$511</definedName>
    <definedName name="CalcItemAll">DashCalculations!$BE$10:$BL$511</definedName>
    <definedName name="CalcItemBudget" localSheetId="2">DashCalculations!$BH$10:$BH$511</definedName>
    <definedName name="CalcItemBudget">DashCalculations!$BH$10:$BH$511</definedName>
    <definedName name="CalcItemDiff">DashCalculations!$BJ$511</definedName>
    <definedName name="CalcItemName" localSheetId="2">DashCalculations!$BE$10:$BE$511</definedName>
    <definedName name="CalcItemName">DashCalculations!$BE$10:$BE$511</definedName>
    <definedName name="CIQWBGuid" hidden="1">"2cd8126d-26c3-430c-b7fa-a069e3a1fc62"</definedName>
    <definedName name="current_date">TODAY()</definedName>
    <definedName name="Dash_Cash_Equivalent">DashCalculations!$I$3</definedName>
    <definedName name="DashRangeAccountItem" localSheetId="2">INDEX(_xlfn.ANCHORARRAY(Dashboard!$E$8),0,1)</definedName>
    <definedName name="DashRangeAccountItem">INDEX(_xlfn.ANCHORARRAY(Dashboard!$E$8),0,1)</definedName>
    <definedName name="DashRangeAmountActual" localSheetId="2">INDEX(_xlfn.ANCHORARRAY(Dashboard!$E$8),0,2)</definedName>
    <definedName name="DashRangeAmountActual">INDEX(_xlfn.ANCHORARRAY(Dashboard!$E$8),0,2)</definedName>
    <definedName name="DashYearAnalysis">Dashboard!$BB$1</definedName>
    <definedName name="DateToday">AcctRef!$D$7</definedName>
    <definedName name="ExternalData_1" localSheetId="17" hidden="1">Sheet3!$B$3:$E$206</definedName>
    <definedName name="ExternalData_2" localSheetId="5" hidden="1">Account_Ledgers!$K$18:$Q$35</definedName>
    <definedName name="ExternalData_2" localSheetId="16" hidden="1">journal_append!$A$1:$F$401</definedName>
    <definedName name="ExternalData_3" localSheetId="5" hidden="1">Account_Ledgers!$K$43:$P$44</definedName>
    <definedName name="ExternalData_4" localSheetId="5" hidden="1">Account_Ledgers!$K$54:$P$55</definedName>
    <definedName name="ExternalData_5" localSheetId="5" hidden="1">Account_Ledgers!$S$18:$Y$22</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41666.7099189815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Journal_Header_Row" localSheetId="5">ROW(Journal[[#Headers],[PostRef]])</definedName>
    <definedName name="Journal_Header_Row" localSheetId="3">ROW(Journal[[#Headers],[PostRef]])</definedName>
    <definedName name="Journal_Header_Row" localSheetId="11">ROW(Journal[[#Headers],[PostRef]])</definedName>
    <definedName name="Journal_Header_Row" localSheetId="2">ROW(Journal[[#Headers],[PostRef]])</definedName>
    <definedName name="Journal_Header_Row" localSheetId="10">ROW(Journal[[#Headers],[PostRef]])</definedName>
    <definedName name="Journal_Header_Row">ROW(Journal[[#Headers],[PostRef]])</definedName>
    <definedName name="Journal_Row_Max">MAX(ROW(Journal[#Data]))</definedName>
    <definedName name="Journal_Row_Min">MIN(ROW(Journal[#Data]))</definedName>
    <definedName name="Liability">AcctRef!$AT$13:$AT$30</definedName>
    <definedName name="list_acct_bal_type">_xlfn.ANCHORARRAY('List Names'!$O$11)</definedName>
    <definedName name="list_acct_name">_xlfn.ANCHORARRAY('List Names'!$C$11)</definedName>
    <definedName name="list_acct_num">_xlfn.ANCHORARRAY('List Names'!$E$11)</definedName>
    <definedName name="list_acct_type">_xlfn.ANCHORARRAY('List Names'!$K$11)</definedName>
    <definedName name="list_agg_acct_dashboard">_xlfn.ANCHORARRAY('List Names'!$M$11)</definedName>
    <definedName name="list_item_name">_xlfn.ANCHORARRAY('List Names'!$G$11)</definedName>
    <definedName name="list_item_sub_name">_xlfn.ANCHORARRAY('List Names'!$I$11)</definedName>
    <definedName name="list_src_name">_xlfn.ANCHORARRAY('List Names'!$Q$11)</definedName>
    <definedName name="ListAccountsAsset">AcctRef!$AR$13:$AR$30</definedName>
    <definedName name="ListAccountsCapital">AcctRef!$AU$13:$AU$30</definedName>
    <definedName name="ListAccountsContraAssets">AcctRef!$AS$13:$AS$30</definedName>
    <definedName name="ListAccountsExpense">AcctRef!$AW$13:$AW$30</definedName>
    <definedName name="ListAccountsRevenue">AcctRef!$AV$13:$AV$30</definedName>
    <definedName name="ListAccountTypes">acct_type_ref[AcctType]</definedName>
    <definedName name="ListAggAccounts" localSheetId="2">agg_acct_dash[AggAcctName]</definedName>
    <definedName name="ListAggAccounts">agg_acct_dash[AggAcctName]</definedName>
    <definedName name="ListCashEquivalent" localSheetId="2">_xlfn._xlws.FILTER(acct_ref[AccountName],acct_ref[AggActDash]=1,"")</definedName>
    <definedName name="ListCashEquivalent">_xlfn._xlws.FILTER(acct_ref[AccountName],acct_ref[AggActDash]=1,"")</definedName>
    <definedName name="ListDebtLong" localSheetId="2">_xlfn._xlws.FILTER(acct_ref[AccountName],acct_ref[AggActDash]=_xlfn.XLOOKUP("Long-Term Debt",agg_acct_dash[AggAcctName],agg_acct_dash[ID]),"")</definedName>
    <definedName name="ListDebtLong">_xlfn._xlws.FILTER(acct_ref[AccountName],acct_ref[AggActDash]=_xlfn.XLOOKUP("Long-Term Debt",agg_acct_dash[AggAcctName],agg_acct_dash[ID]),"")</definedName>
    <definedName name="ListDebtShort" localSheetId="2">_xlfn._xlws.FILTER(acct_ref[AccountName],((acct_ref[AggActDash]=10)+(acct_ref[AggActDash]=11)),"")</definedName>
    <definedName name="ListDebtShort">_xlfn._xlws.FILTER(acct_ref[AccountName],((acct_ref[AggActDash]=10)+(acct_ref[AggActDash]=11)),"")</definedName>
    <definedName name="ListDebtShortCredit" localSheetId="2">_xlfn._xlws.FILTER(acct_ref[AccountName],acct_ref[AggActDash]=_xlfn.XLOOKUP("Short-Term Debt Credit",agg_acct_dash[AggAcctName],agg_acct_dash[ID]),"")</definedName>
    <definedName name="ListDebtShortCredit">_xlfn._xlws.FILTER(acct_ref[AccountName],acct_ref[AggActDash]=_xlfn.XLOOKUP("Short-Term Debt Credit",agg_acct_dash[AggAcctName],agg_acct_dash[ID]),"")</definedName>
    <definedName name="ListDebtShortOther" localSheetId="2">_xlfn._xlws.FILTER(acct_ref[AccountName],acct_ref[AggActDash]=_xlfn.XLOOKUP("Short-Term Debt Other",agg_acct_dash[AggAcctName],agg_acct_dash[ID]),"")</definedName>
    <definedName name="ListDebtShortOther">_xlfn._xlws.FILTER(acct_ref[AccountName],acct_ref[AggActDash]=_xlfn.XLOOKUP("Short-Term Debt Other",agg_acct_dash[AggAcctName],agg_acct_dash[ID]),"")</definedName>
    <definedName name="ListExpensesHome" localSheetId="2">_xlfn._xlws.FILTER(acct_ref[AccountName],acct_ref[AggActDash]=_xlfn.XLOOKUP("Home Expenses",agg_acct_dash[AggAcctName],agg_acct_dash[ID]),"")</definedName>
    <definedName name="ListExpensesHome">_xlfn._xlws.FILTER(acct_ref[AccountName],acct_ref[AggActDash]=_xlfn.XLOOKUP("Home Expenses",agg_acct_dash[AggAcctName],agg_acct_dash[ID]),"")</definedName>
    <definedName name="ListExpensesSelfCare" localSheetId="2">_xlfn._xlws.FILTER(acct_ref[AccountName],acct_ref[AggActDash]=_xlfn.XLOOKUP("Self-Care Expenses",agg_acct_dash[AggAcctName],agg_acct_dash[ID]),"")</definedName>
    <definedName name="ListExpensesSelfCare">_xlfn._xlws.FILTER(acct_ref[AccountName],acct_ref[AggActDash]=_xlfn.XLOOKUP("Self-Care Expenses",agg_acct_dash[AggAcctName],agg_acct_dash[ID]),"")</definedName>
    <definedName name="ListInvestments" localSheetId="2">_xlfn._xlws.FILTER(acct_ref[AccountName],acct_ref[AggActDash]=_xlfn.XLOOKUP("Investments",agg_acct_dash[AggAcctName],agg_acct_dash[ID]),"")</definedName>
    <definedName name="ListInvestments">_xlfn._xlws.FILTER(acct_ref[AccountName],acct_ref[AggActDash]=_xlfn.XLOOKUP("Investments",agg_acct_dash[AggAcctName],agg_acct_dash[ID]),"")</definedName>
    <definedName name="ListKPI" localSheetId="2">_xlfn._xlws.FILTER(item_ref[Item],item_ref[AggItemID]=_xlfn.XLOOKUP("Key Indicators",AggItems[AggItem],AggItems[ID],"",0),"")</definedName>
    <definedName name="ListKPI">_xlfn._xlws.FILTER(item_ref[Item],item_ref[AggItemID]=_xlfn.XLOOKUP("Key Indicators",AggItems[AggItem],AggItems[ID],"",0),"")</definedName>
    <definedName name="ListRevenueOther" localSheetId="2">_xlfn._xlws.FILTER(acct_ref[AccountName],acct_ref[AggActDash]=_xlfn.XLOOKUP("Income Other",agg_acct_dash[AggAcctName],agg_acct_dash[ID]),"")</definedName>
    <definedName name="ListRevenueOther">_xlfn._xlws.FILTER(acct_ref[AccountName],acct_ref[AggActDash]=_xlfn.XLOOKUP("Income Other",agg_acct_dash[AggAcctName],agg_acct_dash[ID]),"")</definedName>
    <definedName name="ListRevenueSalary" localSheetId="2">_xlfn._xlws.FILTER(acct_ref[AccountName],acct_ref[AggActDash]=_xlfn.XLOOKUP("Income Salary",agg_acct_dash[AggAcctName],agg_acct_dash[ID]),"")</definedName>
    <definedName name="ListRevenueSalary">_xlfn._xlws.FILTER(acct_ref[AccountName],acct_ref[AggActDash]=_xlfn.XLOOKUP("Income Salary",agg_acct_dash[AggAcctName],agg_acct_dash[ID]),"")</definedName>
    <definedName name="ListSubsDonationsActive" localSheetId="2">_xlfn._xlws.FILTER(item_ref[Item],(item_ref[AggItemID]=2)*(item_ref[Status]=1),"")</definedName>
    <definedName name="ListSubsDonationsActive">_xlfn._xlws.FILTER(item_ref[Item],(item_ref[AggItemID]=2)*(item_ref[Status]=1),"")</definedName>
    <definedName name="ListSubsDonationsAll" localSheetId="2">_xlfn._xlws.FILTER(item_ref[Item],(item_ref[AggItemID]=2),"")</definedName>
    <definedName name="ListSubsDonationsAll">_xlfn._xlws.FILTER(item_ref[Item],(item_ref[AggItemID]=2),"")</definedName>
    <definedName name="PageLinkDashSummary">Dashboard!$T$1</definedName>
    <definedName name="Row_Min_Journal">MIN(ROW(Journal[#Data]))</definedName>
    <definedName name="Row_Ref_Max_Journal">INDEX(Journal[PostRef], COUNTA(Journal[PostRef]))</definedName>
    <definedName name="Row_Ref_Min_Journal">INDEX(Journal[],1,1)</definedName>
    <definedName name="Slicer_Date">#N/A</definedName>
    <definedName name="Slicer_Items2">#N/A</definedName>
    <definedName name="Slicer_Items3">#N/A</definedName>
    <definedName name="Slicer_PRIO">#N/A</definedName>
    <definedName name="Slicer_PRIO2">#N/A</definedName>
    <definedName name="Slicer_PRIO3">#N/A</definedName>
    <definedName name="Slicer_Type_1">#N/A</definedName>
    <definedName name="Slicer_Type_12">#N/A</definedName>
    <definedName name="Slicer_Type_13">#N/A</definedName>
    <definedName name="Slicer_Year2">#N/A</definedName>
    <definedName name="Slicer_Year3">#N/A</definedName>
    <definedName name="TrialCreditBalance" localSheetId="5">INDEX(TrialBalanceTotals[Amount],2)</definedName>
    <definedName name="TrialCreditBalance" localSheetId="3">INDEX(TrialBalanceTotals[Amount],2)</definedName>
    <definedName name="TrialCreditBalance" localSheetId="11">INDEX(TrialBalanceTotals[Amount],2)</definedName>
    <definedName name="TrialCreditBalance" localSheetId="2">INDEX(TrialBalanceTotals[Amount],2)</definedName>
    <definedName name="TrialCreditBalance" localSheetId="10">INDEX(TrialBalanceTotals[Amount],2)</definedName>
    <definedName name="TrialCreditBalance">INDEX(TrialBalanceTotals[Amount],2)</definedName>
    <definedName name="TrialDebitBalance" localSheetId="5">INDEX(TrialBalanceTotals[Amount],1)</definedName>
    <definedName name="TrialDebitBalance" localSheetId="3">INDEX(TrialBalanceTotals[Amount],1)</definedName>
    <definedName name="TrialDebitBalance" localSheetId="11">INDEX(TrialBalanceTotals[Amount],1)</definedName>
    <definedName name="TrialDebitBalance" localSheetId="2">INDEX(TrialBalanceTotals[Amount],1)</definedName>
    <definedName name="TrialDebitBalance" localSheetId="10">INDEX(TrialBalanceTotals[Amount],1)</definedName>
    <definedName name="TrialDebitBalance">INDEX(TrialBalanceTotals[Amount],1)</definedName>
  </definedNames>
  <calcPr calcId="191029"/>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4"/>
        <x14:slicerCache r:id="rId25"/>
        <x14:slicerCache r:id="rId26"/>
        <x14:slicerCache r:id="rId27"/>
        <x14:slicerCache r:id="rId28"/>
        <x14:slicerCache r:id="rId29"/>
        <x14:slicerCache r:id="rId30"/>
        <x14:slicerCache r:id="rId31"/>
        <x14:slicerCache r:id="rId32"/>
        <x14:slicerCache r:id="rId33"/>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Journal" name="Journal" connection="WorksheetConnection_MyBudget_2024_VBA July 18.xlsm!Journ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1" i="83" l="1" a="1"/>
  <c r="Q11" i="83" s="1"/>
  <c r="O11" i="83" a="1"/>
  <c r="O11" i="83" s="1"/>
  <c r="M11" i="83" a="1"/>
  <c r="M11" i="83" s="1"/>
  <c r="K11" i="83" a="1"/>
  <c r="K11" i="83" s="1"/>
  <c r="G9" i="83"/>
  <c r="K9" i="83"/>
  <c r="M9" i="83"/>
  <c r="E8" i="83"/>
  <c r="C8" i="83"/>
  <c r="C9" i="83" s="1"/>
  <c r="E7" i="83"/>
  <c r="E11" i="83" a="1"/>
  <c r="E11" i="83" s="1"/>
  <c r="I7" i="83" a="1"/>
  <c r="I7" i="83" s="1"/>
  <c r="I11" i="83" a="1"/>
  <c r="I11" i="83" s="1"/>
  <c r="G11" i="83" a="1"/>
  <c r="G11" i="83" s="1"/>
  <c r="C7" i="83"/>
  <c r="C11" i="83" a="1"/>
  <c r="C11" i="83" s="1"/>
  <c r="E9" i="83" l="1"/>
  <c r="Y16" i="70"/>
  <c r="Y20" i="70"/>
  <c r="Y21" i="70"/>
  <c r="Y22" i="70"/>
  <c r="Y23" i="70"/>
  <c r="Y24" i="70"/>
  <c r="Y25" i="70"/>
  <c r="Y10" i="70"/>
  <c r="Y14" i="70"/>
  <c r="M7" i="70" a="1"/>
  <c r="M7" i="70" s="1"/>
  <c r="N7" i="70" a="1"/>
  <c r="N7" i="70" s="1"/>
  <c r="O7" i="70" a="1"/>
  <c r="O7" i="70" s="1"/>
  <c r="P7" i="70" a="1"/>
  <c r="P7" i="70" s="1"/>
  <c r="Q7" i="70" a="1"/>
  <c r="Q7" i="70" s="1"/>
  <c r="R7" i="70" a="1"/>
  <c r="R7" i="70" s="1"/>
  <c r="S7" i="70" a="1"/>
  <c r="S7" i="70" s="1"/>
  <c r="T7" i="70" a="1"/>
  <c r="T7" i="70" s="1"/>
  <c r="U7" i="70" a="1"/>
  <c r="U7" i="70" s="1"/>
  <c r="V7" i="70" a="1"/>
  <c r="V7" i="70" s="1"/>
  <c r="W7" i="70" a="1"/>
  <c r="W7" i="70" s="1"/>
  <c r="X7" i="70" a="1"/>
  <c r="X7" i="70" s="1"/>
  <c r="O6" i="70"/>
  <c r="P6" i="70"/>
  <c r="Q6" i="70"/>
  <c r="R6" i="70"/>
  <c r="S6" i="70"/>
  <c r="T6" i="70"/>
  <c r="U6" i="70"/>
  <c r="V6" i="70"/>
  <c r="W6" i="70"/>
  <c r="X6" i="70"/>
  <c r="N6" i="70"/>
  <c r="M6" i="70"/>
  <c r="J21" i="70"/>
  <c r="J22" i="70"/>
  <c r="J23" i="70"/>
  <c r="J24" i="70"/>
  <c r="J20" i="70"/>
  <c r="B13" i="76"/>
  <c r="B14" i="76"/>
  <c r="B15" i="76"/>
  <c r="B16" i="76"/>
  <c r="B17" i="76"/>
  <c r="B18" i="76"/>
  <c r="B19" i="76"/>
  <c r="B20" i="76"/>
  <c r="B21" i="76"/>
  <c r="B22" i="76"/>
  <c r="B23" i="76"/>
  <c r="B24" i="76"/>
  <c r="B25" i="76"/>
  <c r="B26" i="76"/>
  <c r="B27" i="76"/>
  <c r="B28" i="76"/>
  <c r="B29" i="76"/>
  <c r="B30" i="76"/>
  <c r="B31" i="76"/>
  <c r="B32" i="76"/>
  <c r="B33" i="76"/>
  <c r="B34" i="76"/>
  <c r="B35" i="76"/>
  <c r="B36" i="76"/>
  <c r="B37" i="76"/>
  <c r="B38" i="76"/>
  <c r="B39" i="76"/>
  <c r="B40" i="76"/>
  <c r="B41" i="76"/>
  <c r="B42" i="76"/>
  <c r="B43" i="76"/>
  <c r="B44" i="76"/>
  <c r="B45" i="76"/>
  <c r="B46" i="76"/>
  <c r="B47" i="76"/>
  <c r="B48" i="76"/>
  <c r="B49" i="76"/>
  <c r="B50" i="76"/>
  <c r="B51" i="76"/>
  <c r="B52" i="76"/>
  <c r="B53" i="76"/>
  <c r="B54" i="76"/>
  <c r="B55" i="76"/>
  <c r="B56" i="76"/>
  <c r="B57" i="76"/>
  <c r="B58" i="76"/>
  <c r="B59" i="76"/>
  <c r="B60" i="76"/>
  <c r="B61" i="76"/>
  <c r="B62" i="76"/>
  <c r="B63" i="76"/>
  <c r="B64" i="76"/>
  <c r="B65" i="76"/>
  <c r="B66" i="76"/>
  <c r="B67" i="76"/>
  <c r="B68" i="76"/>
  <c r="B69" i="76"/>
  <c r="B70" i="76"/>
  <c r="B71" i="76"/>
  <c r="B72" i="76"/>
  <c r="B73" i="76"/>
  <c r="B74" i="76"/>
  <c r="B75" i="76"/>
  <c r="B76" i="76"/>
  <c r="B77" i="76"/>
  <c r="B78" i="76"/>
  <c r="B79" i="76"/>
  <c r="B80" i="76"/>
  <c r="B81" i="76"/>
  <c r="B82" i="76"/>
  <c r="B83" i="76"/>
  <c r="B84" i="76"/>
  <c r="B85" i="76"/>
  <c r="B86" i="76"/>
  <c r="B87" i="76"/>
  <c r="B88" i="76"/>
  <c r="B89" i="76"/>
  <c r="B90" i="76"/>
  <c r="B91" i="76"/>
  <c r="B92" i="76"/>
  <c r="B93" i="76"/>
  <c r="B94" i="76"/>
  <c r="B95" i="76"/>
  <c r="B96" i="76"/>
  <c r="B97" i="76"/>
  <c r="B98" i="76"/>
  <c r="K33" i="76"/>
  <c r="K55" i="76"/>
  <c r="K81" i="76"/>
  <c r="Y6" i="70" l="1"/>
  <c r="Y7" i="70"/>
  <c r="M11" i="70" l="1" a="1"/>
  <c r="M11" i="70" s="1"/>
  <c r="D53" i="76"/>
  <c r="D54" i="76"/>
  <c r="D55" i="76"/>
  <c r="D56" i="76"/>
  <c r="D57" i="76"/>
  <c r="D59" i="76" l="1"/>
  <c r="D60" i="76"/>
  <c r="D61" i="76"/>
  <c r="D62" i="76"/>
  <c r="D63" i="76"/>
  <c r="D64" i="76"/>
  <c r="D65" i="76"/>
  <c r="D66" i="76"/>
  <c r="D67" i="76"/>
  <c r="D68" i="76"/>
  <c r="D69" i="76"/>
  <c r="D70" i="76"/>
  <c r="D71" i="76"/>
  <c r="D72" i="76"/>
  <c r="D73" i="76"/>
  <c r="D74" i="76"/>
  <c r="D75" i="76"/>
  <c r="D76" i="76"/>
  <c r="D77" i="76"/>
  <c r="D78" i="76"/>
  <c r="D79" i="76"/>
  <c r="D80" i="76"/>
  <c r="D81" i="76"/>
  <c r="D82" i="76"/>
  <c r="D83" i="76"/>
  <c r="D84" i="76"/>
  <c r="D85" i="76"/>
  <c r="D86" i="76"/>
  <c r="D87" i="76"/>
  <c r="D88" i="76"/>
  <c r="D89" i="76"/>
  <c r="D90" i="76"/>
  <c r="D91" i="76"/>
  <c r="D92" i="76"/>
  <c r="D93" i="76"/>
  <c r="D94" i="76"/>
  <c r="D95" i="76"/>
  <c r="D96" i="76"/>
  <c r="D97" i="76"/>
  <c r="D98" i="76"/>
  <c r="D13" i="76"/>
  <c r="D58" i="76"/>
  <c r="D23" i="76"/>
  <c r="D24" i="76"/>
  <c r="P107" i="1"/>
  <c r="V107" i="1"/>
  <c r="W107" i="1" s="1"/>
  <c r="D52" i="76"/>
  <c r="D51" i="76"/>
  <c r="D50" i="76"/>
  <c r="D49" i="76"/>
  <c r="D48" i="76"/>
  <c r="P130" i="1"/>
  <c r="V130" i="1"/>
  <c r="W130" i="1" s="1"/>
  <c r="D47" i="76"/>
  <c r="D14" i="76" l="1"/>
  <c r="D15" i="76"/>
  <c r="D16" i="76"/>
  <c r="D17" i="76"/>
  <c r="D18" i="76"/>
  <c r="D19" i="76"/>
  <c r="D20" i="76"/>
  <c r="D21" i="76"/>
  <c r="D22" i="76"/>
  <c r="D25" i="76"/>
  <c r="D26" i="76"/>
  <c r="D27" i="76"/>
  <c r="D28" i="76"/>
  <c r="D29" i="76"/>
  <c r="D30" i="76"/>
  <c r="D31" i="76"/>
  <c r="D32" i="76"/>
  <c r="D33" i="76"/>
  <c r="D34" i="76"/>
  <c r="D35" i="76"/>
  <c r="D36" i="76"/>
  <c r="D37" i="76"/>
  <c r="D38" i="76"/>
  <c r="D39" i="76"/>
  <c r="D40" i="76"/>
  <c r="D41" i="76"/>
  <c r="D42" i="76"/>
  <c r="D43" i="76"/>
  <c r="D44" i="76"/>
  <c r="D45" i="76"/>
  <c r="D46" i="76"/>
  <c r="G13" i="76" a="1"/>
  <c r="G13" i="76" s="1"/>
  <c r="G14" i="76" s="1" a="1"/>
  <c r="G14" i="76" s="1"/>
  <c r="E33" i="50"/>
  <c r="F33" i="50"/>
  <c r="G33" i="50"/>
  <c r="H33" i="50"/>
  <c r="X33" i="50"/>
  <c r="G24" i="78"/>
  <c r="G25" i="78"/>
  <c r="G15" i="76" l="1" a="1"/>
  <c r="G15" i="76" s="1"/>
  <c r="G16" i="76" s="1" a="1"/>
  <c r="G16" i="76" s="1"/>
  <c r="G17" i="76" s="1" a="1"/>
  <c r="G17" i="76" s="1"/>
  <c r="G18" i="76" s="1" a="1"/>
  <c r="G18" i="76" s="1"/>
  <c r="G19" i="76" s="1" a="1"/>
  <c r="G19" i="76" s="1"/>
  <c r="G20" i="76" s="1" a="1"/>
  <c r="G20" i="76" s="1"/>
  <c r="G21" i="76" s="1" a="1"/>
  <c r="G21" i="76" s="1"/>
  <c r="G22" i="76" s="1" a="1"/>
  <c r="G22" i="76" s="1"/>
  <c r="G23" i="76" s="1" a="1"/>
  <c r="G23" i="76" s="1"/>
  <c r="L1524" i="76" a="1"/>
  <c r="L1524" i="76" s="1"/>
  <c r="L1435" i="76"/>
  <c r="N1300" i="76"/>
  <c r="L1286" i="76"/>
  <c r="N1275" i="76" a="1"/>
  <c r="N1275" i="76" s="1"/>
  <c r="N1269" i="76" a="1"/>
  <c r="N1269" i="76" s="1"/>
  <c r="L1265" i="76"/>
  <c r="O1263" i="76" a="1"/>
  <c r="O1263" i="76" s="1"/>
  <c r="N1256" i="76" a="1"/>
  <c r="N1256" i="76" s="1"/>
  <c r="M1232" i="76"/>
  <c r="N1224" i="76"/>
  <c r="Q1185" i="76"/>
  <c r="N1178" i="76"/>
  <c r="Q1179" i="76" s="1"/>
  <c r="N1185" i="76" s="1"/>
  <c r="N1187" i="76" s="1"/>
  <c r="S1175" i="76"/>
  <c r="Q1166" i="76"/>
  <c r="L1154" i="76"/>
  <c r="L1145" i="76"/>
  <c r="N1147" i="76"/>
  <c r="O1134" i="76"/>
  <c r="O1133" i="76"/>
  <c r="O1118" i="76"/>
  <c r="L1099" i="76"/>
  <c r="L1035" i="76"/>
  <c r="L840" i="76"/>
  <c r="L698" i="76"/>
  <c r="K676" i="76"/>
  <c r="K670" i="76"/>
  <c r="K659" i="76"/>
  <c r="P637" i="76" a="1"/>
  <c r="P637" i="76" s="1"/>
  <c r="K625" i="76"/>
  <c r="M557" i="76"/>
  <c r="K549" i="76"/>
  <c r="N360" i="76"/>
  <c r="M342" i="76"/>
  <c r="M324" i="76"/>
  <c r="L132" i="76"/>
  <c r="L99" i="76"/>
  <c r="M81" i="76" a="1"/>
  <c r="M81" i="76" s="1"/>
  <c r="P28" i="76" a="1"/>
  <c r="P28" i="76" s="1"/>
  <c r="P24" i="76"/>
  <c r="P19" i="76"/>
  <c r="M19" i="76"/>
  <c r="Q8" i="76" a="1"/>
  <c r="Q8" i="76" s="1"/>
  <c r="N8" i="76" a="1"/>
  <c r="L6" i="76"/>
  <c r="G24" i="76" l="1" a="1"/>
  <c r="G24" i="76" s="1"/>
  <c r="G25" i="76" s="1" a="1"/>
  <c r="G25" i="76" s="1"/>
  <c r="G26" i="76" s="1" a="1"/>
  <c r="G26" i="76" s="1"/>
  <c r="G27" i="76" s="1" a="1"/>
  <c r="G27" i="76" s="1"/>
  <c r="G28" i="76" s="1" a="1"/>
  <c r="G28" i="76" s="1"/>
  <c r="G29" i="76" s="1" a="1"/>
  <c r="G29" i="76" s="1"/>
  <c r="G30" i="76" s="1" a="1"/>
  <c r="G30" i="76" s="1"/>
  <c r="G31" i="76" s="1" a="1"/>
  <c r="G31" i="76" s="1"/>
  <c r="G32" i="76" s="1" a="1"/>
  <c r="G32" i="76" s="1"/>
  <c r="G33" i="76" s="1" a="1"/>
  <c r="G33" i="76" s="1"/>
  <c r="G34" i="76" s="1" a="1"/>
  <c r="G34" i="76" s="1"/>
  <c r="G35" i="76" s="1" a="1"/>
  <c r="G35" i="76" s="1"/>
  <c r="G36" i="76" s="1" a="1"/>
  <c r="G36" i="76" s="1"/>
  <c r="G37" i="76" s="1" a="1"/>
  <c r="G37" i="76" s="1"/>
  <c r="G38" i="76" s="1" a="1"/>
  <c r="G38" i="76" s="1"/>
  <c r="G39" i="76" s="1" a="1"/>
  <c r="G39" i="76" s="1"/>
  <c r="G40" i="76" s="1" a="1"/>
  <c r="G40" i="76" s="1"/>
  <c r="G41" i="76" s="1" a="1"/>
  <c r="G41" i="76" s="1"/>
  <c r="G42" i="76" s="1" a="1"/>
  <c r="G42" i="76" s="1"/>
  <c r="G43" i="76" s="1" a="1"/>
  <c r="G43" i="76" s="1"/>
  <c r="G44" i="76" s="1" a="1"/>
  <c r="G44" i="76" s="1"/>
  <c r="G45" i="76" s="1" a="1"/>
  <c r="G45" i="76" s="1"/>
  <c r="G46" i="76" s="1" a="1"/>
  <c r="G46" i="76" s="1"/>
  <c r="G47" i="76" s="1" a="1"/>
  <c r="G47" i="76" s="1"/>
  <c r="G48" i="76" s="1" a="1"/>
  <c r="G48" i="76" s="1"/>
  <c r="G49" i="76" s="1" a="1"/>
  <c r="G49" i="76" s="1"/>
  <c r="G50" i="76" s="1" a="1"/>
  <c r="G50" i="76" s="1"/>
  <c r="G51" i="76" s="1" a="1"/>
  <c r="G51" i="76" s="1"/>
  <c r="G52" i="76" s="1" a="1"/>
  <c r="G52" i="76" s="1"/>
  <c r="G53" i="76" s="1" a="1"/>
  <c r="G53" i="76" s="1"/>
  <c r="G54" i="76" s="1" a="1"/>
  <c r="G54" i="76" s="1"/>
  <c r="G55" i="76" s="1" a="1"/>
  <c r="G55" i="76" s="1"/>
  <c r="G56" i="76" s="1" a="1"/>
  <c r="G56" i="76" s="1"/>
  <c r="G57" i="76" s="1" a="1"/>
  <c r="G57" i="76" s="1"/>
  <c r="G58" i="76" s="1" a="1"/>
  <c r="G58" i="76" s="1"/>
  <c r="G59" i="76" s="1" a="1"/>
  <c r="G59" i="76" s="1"/>
  <c r="G60" i="76" s="1" a="1"/>
  <c r="G60" i="76" s="1"/>
  <c r="G61" i="76" s="1" a="1"/>
  <c r="G61" i="76" s="1"/>
  <c r="G62" i="76" s="1" a="1"/>
  <c r="G62" i="76" s="1"/>
  <c r="G63" i="76" s="1" a="1"/>
  <c r="G63" i="76" s="1"/>
  <c r="G64" i="76" s="1" a="1"/>
  <c r="G64" i="76" s="1"/>
  <c r="G65" i="76" s="1" a="1"/>
  <c r="G65" i="76" s="1"/>
  <c r="G66" i="76" s="1" a="1"/>
  <c r="G66" i="76" s="1"/>
  <c r="G67" i="76" s="1" a="1"/>
  <c r="G67" i="76" s="1"/>
  <c r="G68" i="76" s="1" a="1"/>
  <c r="G68" i="76" s="1"/>
  <c r="G69" i="76" s="1" a="1"/>
  <c r="G69" i="76" s="1"/>
  <c r="G70" i="76" s="1" a="1"/>
  <c r="G70" i="76" s="1"/>
  <c r="G71" i="76" s="1" a="1"/>
  <c r="G71" i="76" s="1"/>
  <c r="G72" i="76" s="1" a="1"/>
  <c r="G72" i="76" s="1"/>
  <c r="G73" i="76" s="1" a="1"/>
  <c r="G73" i="76" s="1"/>
  <c r="G74" i="76" s="1" a="1"/>
  <c r="G74" i="76" s="1"/>
  <c r="G75" i="76" s="1" a="1"/>
  <c r="G75" i="76" s="1"/>
  <c r="G76" i="76" s="1" a="1"/>
  <c r="G76" i="76" s="1"/>
  <c r="G77" i="76" s="1" a="1"/>
  <c r="G77" i="76" s="1"/>
  <c r="G78" i="76" s="1" a="1"/>
  <c r="G78" i="76" s="1"/>
  <c r="G79" i="76" s="1" a="1"/>
  <c r="G79" i="76" s="1"/>
  <c r="G80" i="76" s="1" a="1"/>
  <c r="G80" i="76" s="1"/>
  <c r="G81" i="76" s="1" a="1"/>
  <c r="G81" i="76" s="1"/>
  <c r="G82" i="76" s="1" a="1"/>
  <c r="G82" i="76" s="1"/>
  <c r="G83" i="76" s="1" a="1"/>
  <c r="G83" i="76" s="1"/>
  <c r="G84" i="76" s="1" a="1"/>
  <c r="G84" i="76" s="1"/>
  <c r="G85" i="76" s="1" a="1"/>
  <c r="G85" i="76" s="1"/>
  <c r="G86" i="76" s="1" a="1"/>
  <c r="G86" i="76" s="1"/>
  <c r="G87" i="76" s="1" a="1"/>
  <c r="G87" i="76" s="1"/>
  <c r="G88" i="76" s="1" a="1"/>
  <c r="G88" i="76" s="1"/>
  <c r="G89" i="76" s="1" a="1"/>
  <c r="G89" i="76" s="1"/>
  <c r="G90" i="76" s="1" a="1"/>
  <c r="G90" i="76" s="1"/>
  <c r="G91" i="76" s="1" a="1"/>
  <c r="G91" i="76" s="1"/>
  <c r="G92" i="76" s="1" a="1"/>
  <c r="G92" i="76" s="1"/>
  <c r="G93" i="76" s="1" a="1"/>
  <c r="G93" i="76" s="1"/>
  <c r="G94" i="76" s="1" a="1"/>
  <c r="G94" i="76" s="1"/>
  <c r="G95" i="76" s="1" a="1"/>
  <c r="G95" i="76" s="1"/>
  <c r="G96" i="76" s="1" a="1"/>
  <c r="G96" i="76" s="1"/>
  <c r="G97" i="76" s="1" a="1"/>
  <c r="G97" i="76" s="1"/>
  <c r="G98" i="76" s="1" a="1"/>
  <c r="G98" i="76" s="1"/>
  <c r="N8" i="76"/>
  <c r="R1133" i="76" l="1" a="1"/>
  <c r="R1133" i="76" s="1"/>
  <c r="R1134" i="76" l="1" a="1"/>
  <c r="R1134" i="76" s="1"/>
  <c r="P90" i="1"/>
  <c r="V90" i="1"/>
  <c r="W90" i="1" s="1"/>
  <c r="I56" i="7"/>
  <c r="H56" i="7" s="1"/>
  <c r="E59" i="43"/>
  <c r="F62" i="1"/>
  <c r="E60" i="43"/>
  <c r="I57" i="7"/>
  <c r="H57" i="7" s="1"/>
  <c r="F61" i="1"/>
  <c r="P26" i="1"/>
  <c r="V26" i="1"/>
  <c r="W26" i="1" s="1"/>
  <c r="K97" i="76" l="1"/>
  <c r="K93" i="76"/>
  <c r="K56" i="7"/>
  <c r="M56" i="7" s="1"/>
  <c r="H60" i="43"/>
  <c r="G60" i="43"/>
  <c r="H59" i="43"/>
  <c r="G59" i="43"/>
  <c r="I59" i="43"/>
  <c r="E26" i="50"/>
  <c r="F26" i="50"/>
  <c r="G26" i="50"/>
  <c r="H26" i="50"/>
  <c r="X26" i="50"/>
  <c r="P71" i="1"/>
  <c r="V71" i="1"/>
  <c r="W71" i="1" s="1"/>
  <c r="E43" i="50"/>
  <c r="F43" i="50"/>
  <c r="G43" i="50"/>
  <c r="H43" i="50"/>
  <c r="X43" i="50"/>
  <c r="P110" i="1"/>
  <c r="V110" i="1"/>
  <c r="W110" i="1" s="1"/>
  <c r="P101" i="1"/>
  <c r="V101" i="1"/>
  <c r="W101" i="1" s="1"/>
  <c r="P63" i="1"/>
  <c r="V63" i="1"/>
  <c r="W63" i="1" s="1"/>
  <c r="J17" i="52"/>
  <c r="Z17" i="52"/>
  <c r="J12" i="52"/>
  <c r="J13" i="52"/>
  <c r="J14" i="52"/>
  <c r="J15" i="52"/>
  <c r="J16" i="52"/>
  <c r="J18" i="52"/>
  <c r="J19" i="52"/>
  <c r="Z16" i="52"/>
  <c r="M17" i="70" a="1"/>
  <c r="M17" i="70" s="1"/>
  <c r="J59" i="43" l="1"/>
  <c r="L56" i="7" s="1"/>
  <c r="E41" i="43"/>
  <c r="I38" i="7"/>
  <c r="H38" i="7" s="1"/>
  <c r="F41" i="1"/>
  <c r="P23" i="1"/>
  <c r="V23" i="1"/>
  <c r="W23" i="1" s="1"/>
  <c r="M24" i="64"/>
  <c r="P16" i="1"/>
  <c r="V16" i="1"/>
  <c r="W16" i="1" s="1"/>
  <c r="I30" i="7"/>
  <c r="H30" i="7" s="1"/>
  <c r="E33" i="43"/>
  <c r="F32" i="1"/>
  <c r="P17" i="1"/>
  <c r="V17" i="1"/>
  <c r="W17" i="1" s="1"/>
  <c r="H33" i="43" l="1"/>
  <c r="G33" i="43"/>
  <c r="I41" i="43"/>
  <c r="G41" i="43"/>
  <c r="H41" i="43"/>
  <c r="K38" i="7"/>
  <c r="L38" i="7" s="1"/>
  <c r="I33" i="43"/>
  <c r="K30" i="7"/>
  <c r="L30" i="7" s="1"/>
  <c r="J41" i="43" l="1"/>
  <c r="M38" i="7" s="1"/>
  <c r="J33" i="43"/>
  <c r="P41" i="1"/>
  <c r="V41" i="1"/>
  <c r="W41" i="1" s="1"/>
  <c r="AB17" i="52"/>
  <c r="Z19" i="52"/>
  <c r="Z18" i="52"/>
  <c r="Z15" i="52"/>
  <c r="Z14" i="52"/>
  <c r="Z13" i="52"/>
  <c r="Z12" i="52"/>
  <c r="X47" i="50"/>
  <c r="H47" i="50"/>
  <c r="G47" i="50"/>
  <c r="F47" i="50"/>
  <c r="E47" i="50"/>
  <c r="X46" i="50"/>
  <c r="H46" i="50"/>
  <c r="G46" i="50"/>
  <c r="F46" i="50"/>
  <c r="E46" i="50"/>
  <c r="X45" i="50"/>
  <c r="H45" i="50"/>
  <c r="G45" i="50"/>
  <c r="F45" i="50"/>
  <c r="E45" i="50"/>
  <c r="X44" i="50"/>
  <c r="H44" i="50"/>
  <c r="G44" i="50"/>
  <c r="F44" i="50"/>
  <c r="E44" i="50"/>
  <c r="X42" i="50"/>
  <c r="H42" i="50"/>
  <c r="G42" i="50"/>
  <c r="F42" i="50"/>
  <c r="E42" i="50"/>
  <c r="X41" i="50"/>
  <c r="H41" i="50"/>
  <c r="G41" i="50"/>
  <c r="F41" i="50"/>
  <c r="E41" i="50"/>
  <c r="X40" i="50"/>
  <c r="H40" i="50"/>
  <c r="G40" i="50"/>
  <c r="F40" i="50"/>
  <c r="E40" i="50"/>
  <c r="X39" i="50"/>
  <c r="H39" i="50"/>
  <c r="G39" i="50"/>
  <c r="F39" i="50"/>
  <c r="E39" i="50"/>
  <c r="X38" i="50"/>
  <c r="H38" i="50"/>
  <c r="G38" i="50"/>
  <c r="F38" i="50"/>
  <c r="E38" i="50"/>
  <c r="X37" i="50"/>
  <c r="H37" i="50"/>
  <c r="G37" i="50"/>
  <c r="F37" i="50"/>
  <c r="E37" i="50"/>
  <c r="X36" i="50"/>
  <c r="H36" i="50"/>
  <c r="G36" i="50"/>
  <c r="F36" i="50"/>
  <c r="E36" i="50"/>
  <c r="X35" i="50"/>
  <c r="H35" i="50"/>
  <c r="G35" i="50"/>
  <c r="F35" i="50"/>
  <c r="E35" i="50"/>
  <c r="X34" i="50"/>
  <c r="H34" i="50"/>
  <c r="G34" i="50"/>
  <c r="F34" i="50"/>
  <c r="E34" i="50"/>
  <c r="X32" i="50"/>
  <c r="H32" i="50"/>
  <c r="G32" i="50"/>
  <c r="F32" i="50"/>
  <c r="E32" i="50"/>
  <c r="X31" i="50"/>
  <c r="H31" i="50"/>
  <c r="G31" i="50"/>
  <c r="F31" i="50"/>
  <c r="E31" i="50"/>
  <c r="X30" i="50"/>
  <c r="H30" i="50"/>
  <c r="G30" i="50"/>
  <c r="F30" i="50"/>
  <c r="E30" i="50"/>
  <c r="X29" i="50"/>
  <c r="H29" i="50"/>
  <c r="G29" i="50"/>
  <c r="F29" i="50"/>
  <c r="E29" i="50"/>
  <c r="X28" i="50"/>
  <c r="H28" i="50"/>
  <c r="G28" i="50"/>
  <c r="F28" i="50"/>
  <c r="E28" i="50"/>
  <c r="X25" i="50"/>
  <c r="H25" i="50"/>
  <c r="G25" i="50"/>
  <c r="F25" i="50"/>
  <c r="E25" i="50"/>
  <c r="X24" i="50"/>
  <c r="H24" i="50"/>
  <c r="G24" i="50"/>
  <c r="F24" i="50"/>
  <c r="E24" i="50"/>
  <c r="X23" i="50"/>
  <c r="H23" i="50"/>
  <c r="G23" i="50"/>
  <c r="F23" i="50"/>
  <c r="E23" i="50"/>
  <c r="X22" i="50"/>
  <c r="H22" i="50"/>
  <c r="G22" i="50"/>
  <c r="F22" i="50"/>
  <c r="E22" i="50"/>
  <c r="X21" i="50"/>
  <c r="H21" i="50"/>
  <c r="G21" i="50"/>
  <c r="F21" i="50"/>
  <c r="E21" i="50"/>
  <c r="X20" i="50"/>
  <c r="H20" i="50"/>
  <c r="G20" i="50"/>
  <c r="F20" i="50"/>
  <c r="E20" i="50"/>
  <c r="X19" i="50"/>
  <c r="H19" i="50"/>
  <c r="G19" i="50"/>
  <c r="F19" i="50"/>
  <c r="E19" i="50"/>
  <c r="AC19" i="50"/>
  <c r="X27" i="50"/>
  <c r="H27" i="50"/>
  <c r="G27" i="50"/>
  <c r="F27" i="50"/>
  <c r="E27" i="50"/>
  <c r="X18" i="50"/>
  <c r="H18" i="50"/>
  <c r="G18" i="50"/>
  <c r="F18" i="50"/>
  <c r="E18" i="50"/>
  <c r="X17" i="50"/>
  <c r="H17" i="50"/>
  <c r="G17" i="50"/>
  <c r="F17" i="50"/>
  <c r="E17" i="50"/>
  <c r="X16" i="50"/>
  <c r="H16" i="50"/>
  <c r="G16" i="50"/>
  <c r="F16" i="50"/>
  <c r="E16" i="50"/>
  <c r="X15" i="50"/>
  <c r="H15" i="50"/>
  <c r="G15" i="50"/>
  <c r="F15" i="50"/>
  <c r="E15" i="50"/>
  <c r="X14" i="50"/>
  <c r="H14" i="50"/>
  <c r="G14" i="50"/>
  <c r="F14" i="50"/>
  <c r="E14" i="50"/>
  <c r="X12" i="50"/>
  <c r="H12" i="50"/>
  <c r="G12" i="50"/>
  <c r="F12" i="50"/>
  <c r="E12" i="50"/>
  <c r="X13" i="50"/>
  <c r="H13" i="50"/>
  <c r="G13" i="50"/>
  <c r="F13" i="50"/>
  <c r="E13" i="50"/>
  <c r="AC19" i="72"/>
  <c r="X14" i="72"/>
  <c r="H14" i="72"/>
  <c r="X13" i="72"/>
  <c r="H13" i="72"/>
  <c r="X12" i="72"/>
  <c r="H12" i="72"/>
  <c r="AC19" i="71"/>
  <c r="X8" i="71"/>
  <c r="H8" i="71"/>
  <c r="G8" i="71"/>
  <c r="F8" i="71"/>
  <c r="E8" i="71"/>
  <c r="O38" i="70" a="1"/>
  <c r="O38" i="70" s="1"/>
  <c r="AD21" i="70"/>
  <c r="X17" i="70" a="1"/>
  <c r="X17" i="70" s="1"/>
  <c r="W17" i="70" a="1"/>
  <c r="W17" i="70" s="1"/>
  <c r="V17" i="70" a="1"/>
  <c r="V17" i="70" s="1"/>
  <c r="U17" i="70" a="1"/>
  <c r="U17" i="70" s="1"/>
  <c r="T17" i="70" a="1"/>
  <c r="T17" i="70" s="1"/>
  <c r="S17" i="70" a="1"/>
  <c r="S17" i="70" s="1"/>
  <c r="R17" i="70" a="1"/>
  <c r="R17" i="70" s="1"/>
  <c r="Q17" i="70" a="1"/>
  <c r="Q17" i="70" s="1"/>
  <c r="P17" i="70" a="1"/>
  <c r="P17" i="70" s="1"/>
  <c r="O17" i="70" a="1"/>
  <c r="O17" i="70" s="1"/>
  <c r="N17" i="70" a="1"/>
  <c r="N17" i="70" s="1"/>
  <c r="X12" i="70" a="1"/>
  <c r="X12" i="70" s="1"/>
  <c r="W12" i="70" a="1"/>
  <c r="W12" i="70" s="1"/>
  <c r="V12" i="70" a="1"/>
  <c r="V12" i="70" s="1"/>
  <c r="U12" i="70" a="1"/>
  <c r="U12" i="70" s="1"/>
  <c r="T12" i="70" a="1"/>
  <c r="T12" i="70" s="1"/>
  <c r="S12" i="70" a="1"/>
  <c r="S12" i="70" s="1"/>
  <c r="R12" i="70" a="1"/>
  <c r="R12" i="70" s="1"/>
  <c r="Q12" i="70" a="1"/>
  <c r="Q12" i="70" s="1"/>
  <c r="P12" i="70" a="1"/>
  <c r="P12" i="70" s="1"/>
  <c r="O12" i="70" a="1"/>
  <c r="O12" i="70" s="1"/>
  <c r="N12" i="70" a="1"/>
  <c r="N12" i="70" s="1"/>
  <c r="M12" i="70" a="1"/>
  <c r="M12" i="70" s="1"/>
  <c r="X11" i="70" a="1"/>
  <c r="X11" i="70" s="1"/>
  <c r="W11" i="70" a="1"/>
  <c r="W11" i="70" s="1"/>
  <c r="V11" i="70" a="1"/>
  <c r="V11" i="70" s="1"/>
  <c r="U11" i="70" a="1"/>
  <c r="U11" i="70" s="1"/>
  <c r="T11" i="70" a="1"/>
  <c r="T11" i="70" s="1"/>
  <c r="S11" i="70" a="1"/>
  <c r="S11" i="70" s="1"/>
  <c r="R11" i="70" a="1"/>
  <c r="R11" i="70" s="1"/>
  <c r="Q11" i="70" a="1"/>
  <c r="Q11" i="70" s="1"/>
  <c r="P11" i="70" a="1"/>
  <c r="P11" i="70" s="1"/>
  <c r="O11" i="70" a="1"/>
  <c r="O11" i="70" s="1"/>
  <c r="N11" i="70" a="1"/>
  <c r="N11" i="70" s="1"/>
  <c r="U41" i="59"/>
  <c r="M41" i="59"/>
  <c r="U22" i="59"/>
  <c r="U29" i="59" s="1"/>
  <c r="M19" i="59"/>
  <c r="M31" i="59" s="1"/>
  <c r="K28" i="64"/>
  <c r="B12" i="64"/>
  <c r="I58" i="7"/>
  <c r="H58" i="7" s="1"/>
  <c r="I55" i="7"/>
  <c r="H55" i="7" s="1"/>
  <c r="I54" i="7"/>
  <c r="H54" i="7" s="1"/>
  <c r="I53" i="7"/>
  <c r="H53" i="7" s="1"/>
  <c r="I52" i="7"/>
  <c r="H52" i="7" s="1"/>
  <c r="I51" i="7"/>
  <c r="H51" i="7" s="1"/>
  <c r="I50" i="7"/>
  <c r="H50" i="7" s="1"/>
  <c r="I49" i="7"/>
  <c r="H49" i="7" s="1"/>
  <c r="I48" i="7"/>
  <c r="H48" i="7" s="1"/>
  <c r="I47" i="7"/>
  <c r="H47" i="7" s="1"/>
  <c r="I46" i="7"/>
  <c r="H46" i="7" s="1"/>
  <c r="I45" i="7"/>
  <c r="H45" i="7" s="1"/>
  <c r="I44" i="7"/>
  <c r="H44" i="7" s="1"/>
  <c r="I43" i="7"/>
  <c r="H43" i="7" s="1"/>
  <c r="I42" i="7"/>
  <c r="H42" i="7" s="1"/>
  <c r="I41" i="7"/>
  <c r="H41" i="7" s="1"/>
  <c r="I40" i="7"/>
  <c r="H40" i="7" s="1"/>
  <c r="I39" i="7"/>
  <c r="H39" i="7" s="1"/>
  <c r="I37" i="7"/>
  <c r="H37" i="7" s="1"/>
  <c r="I36" i="7"/>
  <c r="H36" i="7" s="1"/>
  <c r="I35" i="7"/>
  <c r="H35" i="7" s="1"/>
  <c r="I34" i="7"/>
  <c r="H34" i="7" s="1"/>
  <c r="I33" i="7"/>
  <c r="H33" i="7" s="1"/>
  <c r="I32" i="7"/>
  <c r="H32" i="7" s="1"/>
  <c r="I31" i="7"/>
  <c r="H31" i="7" s="1"/>
  <c r="I29" i="7"/>
  <c r="H29" i="7" s="1"/>
  <c r="I28" i="7"/>
  <c r="H28" i="7" s="1"/>
  <c r="I27" i="7"/>
  <c r="H27" i="7" s="1"/>
  <c r="I26" i="7"/>
  <c r="H26" i="7" s="1"/>
  <c r="I25" i="7"/>
  <c r="H25" i="7" s="1"/>
  <c r="I24" i="7"/>
  <c r="H24" i="7" s="1"/>
  <c r="I23" i="7"/>
  <c r="H23" i="7" s="1"/>
  <c r="I22" i="7"/>
  <c r="H22" i="7" s="1"/>
  <c r="I21" i="7"/>
  <c r="H21" i="7" s="1"/>
  <c r="I20" i="7"/>
  <c r="H20" i="7" s="1"/>
  <c r="I19" i="7"/>
  <c r="H19" i="7" s="1"/>
  <c r="I18" i="7"/>
  <c r="H18" i="7" s="1"/>
  <c r="I17" i="7"/>
  <c r="H17" i="7" s="1"/>
  <c r="I16" i="7"/>
  <c r="H16" i="7" s="1"/>
  <c r="I15" i="7"/>
  <c r="H15" i="7" s="1"/>
  <c r="I14" i="7"/>
  <c r="H14" i="7" s="1"/>
  <c r="I13" i="7"/>
  <c r="H13" i="7" s="1"/>
  <c r="I12" i="7"/>
  <c r="H12" i="7" s="1"/>
  <c r="I11" i="7"/>
  <c r="I10" i="7"/>
  <c r="H10" i="7" s="1"/>
  <c r="I9" i="7"/>
  <c r="H9" i="7" s="1"/>
  <c r="I8" i="7"/>
  <c r="H8" i="7" s="1"/>
  <c r="F8" i="7" a="1"/>
  <c r="H6" i="7"/>
  <c r="I5" i="7"/>
  <c r="V21" i="1"/>
  <c r="W21" i="1" s="1"/>
  <c r="P21" i="1"/>
  <c r="V89" i="1"/>
  <c r="W89" i="1" s="1"/>
  <c r="P89" i="1"/>
  <c r="V22" i="1"/>
  <c r="W22" i="1" s="1"/>
  <c r="P22" i="1"/>
  <c r="V30" i="1"/>
  <c r="W30" i="1" s="1"/>
  <c r="P30" i="1"/>
  <c r="V81" i="1"/>
  <c r="W81" i="1" s="1"/>
  <c r="P81" i="1"/>
  <c r="V15" i="1"/>
  <c r="W15" i="1" s="1"/>
  <c r="P15" i="1"/>
  <c r="V61" i="1"/>
  <c r="W61" i="1" s="1"/>
  <c r="P61" i="1"/>
  <c r="V53" i="1"/>
  <c r="W53" i="1" s="1"/>
  <c r="P53" i="1"/>
  <c r="V57" i="1"/>
  <c r="W57" i="1" s="1"/>
  <c r="P57" i="1"/>
  <c r="V55" i="1"/>
  <c r="W55" i="1" s="1"/>
  <c r="P55" i="1"/>
  <c r="V60" i="1"/>
  <c r="W60" i="1" s="1"/>
  <c r="P60" i="1"/>
  <c r="V27" i="1"/>
  <c r="W27" i="1" s="1"/>
  <c r="P27" i="1"/>
  <c r="V86" i="1"/>
  <c r="W86" i="1" s="1"/>
  <c r="P86" i="1"/>
  <c r="V29" i="1"/>
  <c r="W29" i="1" s="1"/>
  <c r="P29" i="1"/>
  <c r="V28" i="1"/>
  <c r="W28" i="1" s="1"/>
  <c r="P28" i="1"/>
  <c r="V34" i="1"/>
  <c r="W34" i="1" s="1"/>
  <c r="P34" i="1"/>
  <c r="V36" i="1"/>
  <c r="W36" i="1" s="1"/>
  <c r="P36" i="1"/>
  <c r="V31" i="1"/>
  <c r="W31" i="1" s="1"/>
  <c r="P31" i="1"/>
  <c r="V38" i="1"/>
  <c r="W38" i="1" s="1"/>
  <c r="P38" i="1"/>
  <c r="V33" i="1"/>
  <c r="W33" i="1" s="1"/>
  <c r="P33" i="1"/>
  <c r="V32" i="1"/>
  <c r="W32" i="1" s="1"/>
  <c r="P32" i="1"/>
  <c r="V35" i="1"/>
  <c r="W35" i="1" s="1"/>
  <c r="P35" i="1"/>
  <c r="V37" i="1"/>
  <c r="W37" i="1" s="1"/>
  <c r="P37" i="1"/>
  <c r="V115" i="1"/>
  <c r="W115" i="1" s="1"/>
  <c r="P115" i="1"/>
  <c r="V98" i="1"/>
  <c r="W98" i="1" s="1"/>
  <c r="P98" i="1"/>
  <c r="V112" i="1"/>
  <c r="W112" i="1" s="1"/>
  <c r="P112" i="1"/>
  <c r="V105" i="1"/>
  <c r="W105" i="1" s="1"/>
  <c r="P105" i="1"/>
  <c r="V122" i="1"/>
  <c r="W122" i="1" s="1"/>
  <c r="P122" i="1"/>
  <c r="V102" i="1"/>
  <c r="W102" i="1" s="1"/>
  <c r="P102" i="1"/>
  <c r="V99" i="1"/>
  <c r="W99" i="1" s="1"/>
  <c r="P99" i="1"/>
  <c r="V95" i="1"/>
  <c r="W95" i="1" s="1"/>
  <c r="P95" i="1"/>
  <c r="V93" i="1"/>
  <c r="W93" i="1" s="1"/>
  <c r="P93" i="1"/>
  <c r="V96" i="1"/>
  <c r="W96" i="1" s="1"/>
  <c r="P96" i="1"/>
  <c r="V103" i="1"/>
  <c r="W103" i="1" s="1"/>
  <c r="P103" i="1"/>
  <c r="V100" i="1"/>
  <c r="W100" i="1" s="1"/>
  <c r="P100" i="1"/>
  <c r="V94" i="1"/>
  <c r="W94" i="1" s="1"/>
  <c r="P94" i="1"/>
  <c r="V123" i="1"/>
  <c r="W123" i="1" s="1"/>
  <c r="P123" i="1"/>
  <c r="V97" i="1"/>
  <c r="W97" i="1" s="1"/>
  <c r="P97" i="1"/>
  <c r="V104" i="1"/>
  <c r="W104" i="1" s="1"/>
  <c r="P104" i="1"/>
  <c r="V118" i="1"/>
  <c r="W118" i="1" s="1"/>
  <c r="P118" i="1"/>
  <c r="V109" i="1"/>
  <c r="W109" i="1" s="1"/>
  <c r="P109" i="1"/>
  <c r="V117" i="1"/>
  <c r="W117" i="1" s="1"/>
  <c r="P117" i="1"/>
  <c r="V111" i="1"/>
  <c r="W111" i="1" s="1"/>
  <c r="P111" i="1"/>
  <c r="V106" i="1"/>
  <c r="W106" i="1" s="1"/>
  <c r="P106" i="1"/>
  <c r="V121" i="1"/>
  <c r="W121" i="1" s="1"/>
  <c r="P121" i="1"/>
  <c r="V114" i="1"/>
  <c r="W114" i="1" s="1"/>
  <c r="P114" i="1"/>
  <c r="V119" i="1"/>
  <c r="W119" i="1" s="1"/>
  <c r="P119" i="1"/>
  <c r="V120" i="1"/>
  <c r="W120" i="1" s="1"/>
  <c r="P120" i="1"/>
  <c r="V116" i="1"/>
  <c r="W116" i="1" s="1"/>
  <c r="P116" i="1"/>
  <c r="V113" i="1"/>
  <c r="W113" i="1" s="1"/>
  <c r="P113" i="1"/>
  <c r="V108" i="1"/>
  <c r="W108" i="1" s="1"/>
  <c r="P108" i="1"/>
  <c r="V67" i="1"/>
  <c r="W67" i="1" s="1"/>
  <c r="P67" i="1"/>
  <c r="V69" i="1"/>
  <c r="W69" i="1" s="1"/>
  <c r="P69" i="1"/>
  <c r="V68" i="1"/>
  <c r="W68" i="1" s="1"/>
  <c r="P68" i="1"/>
  <c r="V66" i="1"/>
  <c r="W66" i="1" s="1"/>
  <c r="P66" i="1"/>
  <c r="V65" i="1"/>
  <c r="W65" i="1" s="1"/>
  <c r="P65" i="1"/>
  <c r="V75" i="1"/>
  <c r="W75" i="1" s="1"/>
  <c r="P75" i="1"/>
  <c r="V74" i="1"/>
  <c r="W74" i="1" s="1"/>
  <c r="P74" i="1"/>
  <c r="V76" i="1"/>
  <c r="W76" i="1" s="1"/>
  <c r="P76" i="1"/>
  <c r="V72" i="1"/>
  <c r="W72" i="1" s="1"/>
  <c r="P72" i="1"/>
  <c r="V73" i="1"/>
  <c r="W73" i="1" s="1"/>
  <c r="P73" i="1"/>
  <c r="V77" i="1"/>
  <c r="W77" i="1" s="1"/>
  <c r="P77" i="1"/>
  <c r="V70" i="1"/>
  <c r="W70" i="1" s="1"/>
  <c r="P70" i="1"/>
  <c r="V78" i="1"/>
  <c r="W78" i="1" s="1"/>
  <c r="P78" i="1"/>
  <c r="V125" i="1"/>
  <c r="W125" i="1" s="1"/>
  <c r="P125" i="1"/>
  <c r="V124" i="1"/>
  <c r="W124" i="1" s="1"/>
  <c r="P124" i="1"/>
  <c r="V64" i="1"/>
  <c r="W64" i="1" s="1"/>
  <c r="P64" i="1"/>
  <c r="V62" i="1"/>
  <c r="W62" i="1" s="1"/>
  <c r="P62" i="1"/>
  <c r="V20" i="1"/>
  <c r="W20" i="1" s="1"/>
  <c r="P20" i="1"/>
  <c r="V58" i="1"/>
  <c r="W58" i="1" s="1"/>
  <c r="P58" i="1"/>
  <c r="V56" i="1"/>
  <c r="W56" i="1" s="1"/>
  <c r="P56" i="1"/>
  <c r="V59" i="1"/>
  <c r="W59" i="1" s="1"/>
  <c r="P59" i="1"/>
  <c r="F60" i="1"/>
  <c r="V135" i="1"/>
  <c r="W135" i="1" s="1"/>
  <c r="P135" i="1"/>
  <c r="F59" i="1"/>
  <c r="V126" i="1"/>
  <c r="W126" i="1" s="1"/>
  <c r="P126" i="1"/>
  <c r="F58" i="1"/>
  <c r="V128" i="1"/>
  <c r="W128" i="1" s="1"/>
  <c r="P128" i="1"/>
  <c r="F57" i="1"/>
  <c r="K53" i="7" s="1"/>
  <c r="V127" i="1"/>
  <c r="W127" i="1" s="1"/>
  <c r="P127" i="1"/>
  <c r="F56" i="1"/>
  <c r="K79" i="76" s="1"/>
  <c r="V136" i="1"/>
  <c r="W136" i="1" s="1"/>
  <c r="P136" i="1"/>
  <c r="F55" i="1"/>
  <c r="V129" i="1"/>
  <c r="W129" i="1" s="1"/>
  <c r="P129" i="1"/>
  <c r="F54" i="1"/>
  <c r="V134" i="1"/>
  <c r="W134" i="1" s="1"/>
  <c r="P134" i="1"/>
  <c r="F53" i="1"/>
  <c r="V131" i="1"/>
  <c r="W131" i="1" s="1"/>
  <c r="P131" i="1"/>
  <c r="F52" i="1"/>
  <c r="V133" i="1"/>
  <c r="W133" i="1" s="1"/>
  <c r="P133" i="1"/>
  <c r="F51" i="1"/>
  <c r="V132" i="1"/>
  <c r="W132" i="1" s="1"/>
  <c r="P132" i="1"/>
  <c r="F50" i="1"/>
  <c r="V137" i="1"/>
  <c r="W137" i="1" s="1"/>
  <c r="P137" i="1"/>
  <c r="F49" i="1"/>
  <c r="V80" i="1"/>
  <c r="W80" i="1" s="1"/>
  <c r="P80" i="1"/>
  <c r="F48" i="1"/>
  <c r="K37" i="76" s="1"/>
  <c r="V79" i="1"/>
  <c r="W79" i="1" s="1"/>
  <c r="P79" i="1"/>
  <c r="F47" i="1"/>
  <c r="V54" i="1"/>
  <c r="W54" i="1" s="1"/>
  <c r="P54" i="1"/>
  <c r="F46" i="1"/>
  <c r="V84" i="1"/>
  <c r="W84" i="1" s="1"/>
  <c r="P84" i="1"/>
  <c r="F45" i="1"/>
  <c r="K13" i="76" s="1"/>
  <c r="V83" i="1"/>
  <c r="W83" i="1" s="1"/>
  <c r="P83" i="1"/>
  <c r="F44" i="1"/>
  <c r="V46" i="1"/>
  <c r="W46" i="1" s="1"/>
  <c r="P46" i="1"/>
  <c r="F43" i="1"/>
  <c r="V52" i="1"/>
  <c r="W52" i="1" s="1"/>
  <c r="P52" i="1"/>
  <c r="F42" i="1"/>
  <c r="V51" i="1"/>
  <c r="W51" i="1" s="1"/>
  <c r="P51" i="1"/>
  <c r="F40" i="1"/>
  <c r="V49" i="1"/>
  <c r="W49" i="1" s="1"/>
  <c r="P49" i="1"/>
  <c r="F39" i="1"/>
  <c r="V50" i="1"/>
  <c r="W50" i="1" s="1"/>
  <c r="P50" i="1"/>
  <c r="F38" i="1"/>
  <c r="V47" i="1"/>
  <c r="W47" i="1" s="1"/>
  <c r="P47" i="1"/>
  <c r="F37" i="1"/>
  <c r="Z35" i="1" a="1"/>
  <c r="Z35" i="1" s="1"/>
  <c r="Y35" i="1" a="1"/>
  <c r="Y35" i="1" s="1"/>
  <c r="V45" i="1"/>
  <c r="W45" i="1" s="1"/>
  <c r="P45" i="1"/>
  <c r="F36" i="1"/>
  <c r="I35" i="43" s="1"/>
  <c r="V48" i="1"/>
  <c r="W48" i="1" s="1"/>
  <c r="P48" i="1"/>
  <c r="F35" i="1"/>
  <c r="V138" i="1"/>
  <c r="W138" i="1" s="1"/>
  <c r="P138" i="1"/>
  <c r="F34" i="1"/>
  <c r="V140" i="1"/>
  <c r="W140" i="1" s="1"/>
  <c r="P140" i="1"/>
  <c r="F33" i="1"/>
  <c r="V141" i="1"/>
  <c r="W141" i="1" s="1"/>
  <c r="P141" i="1"/>
  <c r="F31" i="1"/>
  <c r="V139" i="1"/>
  <c r="W139" i="1" s="1"/>
  <c r="P139" i="1"/>
  <c r="F30" i="1"/>
  <c r="V82" i="1"/>
  <c r="W82" i="1" s="1"/>
  <c r="P82" i="1"/>
  <c r="F29" i="1"/>
  <c r="V88" i="1"/>
  <c r="W88" i="1" s="1"/>
  <c r="P88" i="1"/>
  <c r="F28" i="1"/>
  <c r="V91" i="1"/>
  <c r="W91" i="1" s="1"/>
  <c r="P91" i="1"/>
  <c r="F27" i="1"/>
  <c r="V85" i="1"/>
  <c r="W85" i="1" s="1"/>
  <c r="P85" i="1"/>
  <c r="F26" i="1"/>
  <c r="V87" i="1"/>
  <c r="W87" i="1" s="1"/>
  <c r="P87" i="1"/>
  <c r="F25" i="1"/>
  <c r="I23" i="43" s="1"/>
  <c r="V40" i="1"/>
  <c r="W40" i="1" s="1"/>
  <c r="P40" i="1"/>
  <c r="F24" i="1"/>
  <c r="I22" i="43" s="1"/>
  <c r="V39" i="1"/>
  <c r="W39" i="1" s="1"/>
  <c r="P39" i="1"/>
  <c r="F23" i="1"/>
  <c r="AC22" i="1" a="1"/>
  <c r="AC22" i="1" s="1"/>
  <c r="AB22" i="1" a="1"/>
  <c r="AB22" i="1" s="1"/>
  <c r="AA22" i="1" a="1"/>
  <c r="AA22" i="1" s="1"/>
  <c r="Z22" i="1" a="1"/>
  <c r="Z22" i="1" s="1"/>
  <c r="Y22" i="1" a="1"/>
  <c r="Y22" i="1" s="1"/>
  <c r="V43" i="1"/>
  <c r="W43" i="1" s="1"/>
  <c r="P43" i="1"/>
  <c r="F22" i="1"/>
  <c r="I20" i="43" s="1"/>
  <c r="V42" i="1"/>
  <c r="W42" i="1" s="1"/>
  <c r="P42" i="1"/>
  <c r="F21" i="1"/>
  <c r="V92" i="1"/>
  <c r="W92" i="1" s="1"/>
  <c r="P92" i="1"/>
  <c r="F20" i="1"/>
  <c r="I18" i="43" s="1"/>
  <c r="V14" i="1"/>
  <c r="W14" i="1" s="1"/>
  <c r="P14" i="1"/>
  <c r="F19" i="1"/>
  <c r="I17" i="43" s="1"/>
  <c r="V12" i="1"/>
  <c r="W12" i="1" s="1"/>
  <c r="P12" i="1"/>
  <c r="F18" i="1"/>
  <c r="V13" i="1"/>
  <c r="W13" i="1" s="1"/>
  <c r="P13" i="1"/>
  <c r="F17" i="1"/>
  <c r="K12" i="7" s="1"/>
  <c r="M12" i="7" s="1"/>
  <c r="V44" i="1"/>
  <c r="W44" i="1" s="1"/>
  <c r="P44" i="1"/>
  <c r="F16" i="1"/>
  <c r="V18" i="1"/>
  <c r="W18" i="1" s="1"/>
  <c r="P18" i="1"/>
  <c r="F15" i="1"/>
  <c r="V19" i="1"/>
  <c r="W19" i="1" s="1"/>
  <c r="P19" i="1"/>
  <c r="F14" i="1"/>
  <c r="K19" i="76" s="1"/>
  <c r="AW13" i="1" a="1"/>
  <c r="AW13" i="1" s="1"/>
  <c r="AV13" i="1" a="1"/>
  <c r="AV13" i="1" s="1"/>
  <c r="AU13" i="1" a="1"/>
  <c r="AU13" i="1" s="1"/>
  <c r="AT13" i="1" a="1"/>
  <c r="AT13" i="1" s="1"/>
  <c r="AS13" i="1" a="1"/>
  <c r="AS13" i="1" s="1"/>
  <c r="AR13" i="1" a="1"/>
  <c r="AR13" i="1" s="1"/>
  <c r="AM13" i="1" a="1"/>
  <c r="AM13" i="1" s="1"/>
  <c r="V25" i="1"/>
  <c r="W25" i="1" s="1"/>
  <c r="P25" i="1"/>
  <c r="F13" i="1"/>
  <c r="AJ12" i="1" a="1"/>
  <c r="AJ12" i="1" s="1"/>
  <c r="V24" i="1"/>
  <c r="W24" i="1" s="1"/>
  <c r="P24" i="1"/>
  <c r="F12" i="1"/>
  <c r="K89" i="76" s="1"/>
  <c r="F7" i="1"/>
  <c r="D7" i="1"/>
  <c r="E42" i="43"/>
  <c r="E40" i="43"/>
  <c r="E35" i="43"/>
  <c r="E34" i="43"/>
  <c r="E27" i="43"/>
  <c r="E21" i="43"/>
  <c r="E15" i="43"/>
  <c r="E51" i="43"/>
  <c r="E52" i="43"/>
  <c r="E57" i="43"/>
  <c r="E61" i="43"/>
  <c r="E58" i="43"/>
  <c r="E56" i="43"/>
  <c r="E55" i="43"/>
  <c r="M43" i="43"/>
  <c r="E50" i="43"/>
  <c r="E49" i="43"/>
  <c r="E46" i="43"/>
  <c r="E48" i="43"/>
  <c r="E47" i="43"/>
  <c r="E45" i="43"/>
  <c r="E44" i="43"/>
  <c r="E54" i="43"/>
  <c r="E53" i="43"/>
  <c r="E43" i="43"/>
  <c r="E39" i="43"/>
  <c r="E38" i="43"/>
  <c r="E37" i="43"/>
  <c r="E36" i="43"/>
  <c r="E31" i="43"/>
  <c r="E30" i="43"/>
  <c r="E32" i="43"/>
  <c r="E29" i="43"/>
  <c r="E28" i="43"/>
  <c r="E24" i="43"/>
  <c r="E23" i="43"/>
  <c r="E22" i="43"/>
  <c r="E20" i="43"/>
  <c r="E19" i="43"/>
  <c r="E18" i="43"/>
  <c r="E16" i="43"/>
  <c r="E14" i="43"/>
  <c r="E17" i="43"/>
  <c r="M15" i="43"/>
  <c r="B3" i="59" s="1" a="1"/>
  <c r="B3" i="59" s="1"/>
  <c r="E26" i="43"/>
  <c r="E25" i="43"/>
  <c r="E13" i="43"/>
  <c r="E12" i="43"/>
  <c r="R11" i="43" a="1"/>
  <c r="R11" i="43" s="1"/>
  <c r="E11" i="43"/>
  <c r="C11" i="43" a="1"/>
  <c r="F9" i="43"/>
  <c r="F7" i="43"/>
  <c r="BG157" i="54"/>
  <c r="BH157" i="54" s="1"/>
  <c r="BG156" i="54"/>
  <c r="BH156" i="54" s="1"/>
  <c r="BG155" i="54"/>
  <c r="BH155" i="54" s="1"/>
  <c r="BG154" i="54"/>
  <c r="BH154" i="54" s="1"/>
  <c r="BG153" i="54"/>
  <c r="BH153" i="54" s="1"/>
  <c r="BG152" i="54"/>
  <c r="BH152" i="54" s="1"/>
  <c r="BG151" i="54"/>
  <c r="BH151" i="54" s="1"/>
  <c r="BG150" i="54"/>
  <c r="BH150" i="54" s="1"/>
  <c r="BG149" i="54"/>
  <c r="BH149" i="54" s="1"/>
  <c r="BG148" i="54"/>
  <c r="BH148" i="54" s="1"/>
  <c r="BG147" i="54"/>
  <c r="BH147" i="54" s="1"/>
  <c r="BG146" i="54"/>
  <c r="BH146" i="54" s="1"/>
  <c r="R59" i="54"/>
  <c r="Q59" i="54"/>
  <c r="R58" i="54"/>
  <c r="Q58" i="54"/>
  <c r="R57" i="54"/>
  <c r="Q57" i="54"/>
  <c r="R56" i="54"/>
  <c r="Q56" i="54"/>
  <c r="R55" i="54"/>
  <c r="Q55" i="54"/>
  <c r="R54" i="54"/>
  <c r="Q54" i="54"/>
  <c r="R53" i="54"/>
  <c r="Q53" i="54"/>
  <c r="R52" i="54"/>
  <c r="Q52" i="54"/>
  <c r="R51" i="54"/>
  <c r="Q51" i="54"/>
  <c r="R50" i="54"/>
  <c r="Q50" i="54"/>
  <c r="R49" i="54"/>
  <c r="Q49" i="54"/>
  <c r="R48" i="54"/>
  <c r="Q48" i="54"/>
  <c r="R47" i="54"/>
  <c r="Q47" i="54"/>
  <c r="R46" i="54"/>
  <c r="Q46" i="54"/>
  <c r="R45" i="54"/>
  <c r="Q45" i="54"/>
  <c r="R44" i="54"/>
  <c r="Q44" i="54"/>
  <c r="R43" i="54"/>
  <c r="Q43" i="54"/>
  <c r="R42" i="54"/>
  <c r="Q42" i="54"/>
  <c r="R41" i="54"/>
  <c r="Q41" i="54"/>
  <c r="R40" i="54"/>
  <c r="Q40" i="54"/>
  <c r="R39" i="54"/>
  <c r="Q39" i="54"/>
  <c r="R38" i="54"/>
  <c r="Q38" i="54"/>
  <c r="R37" i="54"/>
  <c r="Q37" i="54"/>
  <c r="D26" i="54" a="1"/>
  <c r="D26" i="54" s="1"/>
  <c r="BJ10" i="54"/>
  <c r="BE10" i="54" a="1"/>
  <c r="BG49" i="54" s="1"/>
  <c r="AW10" i="54" a="1"/>
  <c r="AY14" i="54" s="1"/>
  <c r="AG10" i="54" a="1"/>
  <c r="Y10" i="54" a="1"/>
  <c r="Y10" i="54" s="1"/>
  <c r="P10" i="54" a="1"/>
  <c r="P10" i="54" s="1"/>
  <c r="O10" i="54" a="1"/>
  <c r="O10" i="54" s="1"/>
  <c r="D10" i="54" a="1"/>
  <c r="D10" i="54" s="1"/>
  <c r="AL8" i="54"/>
  <c r="AK8" i="54"/>
  <c r="AD8" i="54"/>
  <c r="AC8" i="54"/>
  <c r="AB8" i="54"/>
  <c r="V8" i="54"/>
  <c r="AR104" i="44"/>
  <c r="H53" i="44" a="1"/>
  <c r="H53" i="44" s="1"/>
  <c r="M46" i="44"/>
  <c r="M36" i="44" a="1"/>
  <c r="M36" i="44" s="1"/>
  <c r="C37" i="44" a="1"/>
  <c r="C37" i="44" s="1"/>
  <c r="AF28" i="44" a="1"/>
  <c r="AF28" i="44" s="1"/>
  <c r="AH26" i="44"/>
  <c r="AG26" i="44"/>
  <c r="P19" i="44" a="1"/>
  <c r="P19" i="44" s="1"/>
  <c r="O19" i="44" a="1"/>
  <c r="O19" i="44" s="1"/>
  <c r="N19" i="44" a="1"/>
  <c r="N19" i="44" s="1"/>
  <c r="M19" i="44" a="1"/>
  <c r="M19" i="44" s="1"/>
  <c r="AR17" i="44"/>
  <c r="AR16" i="44"/>
  <c r="AT11" i="44" a="1"/>
  <c r="AR14" i="44" s="1"/>
  <c r="AF10" i="44" a="1"/>
  <c r="BF8" i="44" a="1"/>
  <c r="BF8" i="44" s="1"/>
  <c r="AQ8" i="44" a="1"/>
  <c r="AQ8" i="44" s="1"/>
  <c r="J8" i="44" a="1"/>
  <c r="J8" i="44" s="1"/>
  <c r="E8" i="44" a="1"/>
  <c r="E8" i="44" s="1"/>
  <c r="AA4" i="44" a="1"/>
  <c r="AA4" i="44" s="1"/>
  <c r="F4" i="44"/>
  <c r="AG60" i="54"/>
  <c r="AG70" i="54"/>
  <c r="AG69" i="54"/>
  <c r="AG62" i="54"/>
  <c r="AF64" i="54"/>
  <c r="AF67" i="54"/>
  <c r="BI146" i="54"/>
  <c r="BI151" i="54"/>
  <c r="AG64" i="54"/>
  <c r="AF68" i="54"/>
  <c r="AG59" i="54"/>
  <c r="BI155" i="54"/>
  <c r="AG67" i="54"/>
  <c r="BI148" i="54"/>
  <c r="BI156" i="54"/>
  <c r="AF63" i="54"/>
  <c r="AF59" i="54"/>
  <c r="BI149" i="54"/>
  <c r="AG58" i="54"/>
  <c r="AG68" i="54"/>
  <c r="AF58" i="54"/>
  <c r="AG65" i="54"/>
  <c r="BI153" i="54"/>
  <c r="AF60" i="54"/>
  <c r="AF69" i="54"/>
  <c r="AG63" i="54"/>
  <c r="BI152" i="54"/>
  <c r="AF66" i="54"/>
  <c r="BI154" i="54"/>
  <c r="AF70" i="54"/>
  <c r="AF61" i="54"/>
  <c r="BI157" i="54"/>
  <c r="BI147" i="54"/>
  <c r="BI150" i="54"/>
  <c r="AG61" i="54"/>
  <c r="AF65" i="54"/>
  <c r="AG66" i="54"/>
  <c r="AF62" i="54"/>
  <c r="BH49" i="54"/>
  <c r="K34" i="76" l="1"/>
  <c r="K50" i="76"/>
  <c r="K66" i="76"/>
  <c r="K82" i="76"/>
  <c r="K36" i="76"/>
  <c r="K22" i="76"/>
  <c r="K54" i="76"/>
  <c r="K70" i="76"/>
  <c r="K40" i="76"/>
  <c r="K56" i="76"/>
  <c r="K72" i="76"/>
  <c r="K88" i="76"/>
  <c r="K44" i="76"/>
  <c r="K92" i="76"/>
  <c r="K30" i="76"/>
  <c r="K62" i="76"/>
  <c r="K95" i="76"/>
  <c r="K42" i="76"/>
  <c r="K58" i="76"/>
  <c r="K74" i="76"/>
  <c r="K28" i="76"/>
  <c r="K60" i="76"/>
  <c r="K78" i="76"/>
  <c r="K48" i="76"/>
  <c r="K32" i="76"/>
  <c r="K68" i="76"/>
  <c r="K94" i="76"/>
  <c r="K52" i="76"/>
  <c r="K84" i="76"/>
  <c r="K16" i="76"/>
  <c r="K98" i="76"/>
  <c r="K20" i="76"/>
  <c r="K38" i="76"/>
  <c r="K86" i="76"/>
  <c r="K24" i="76"/>
  <c r="K63" i="76"/>
  <c r="K80" i="76"/>
  <c r="K17" i="76"/>
  <c r="K26" i="76"/>
  <c r="K90" i="76"/>
  <c r="K76" i="76"/>
  <c r="K14" i="76"/>
  <c r="K46" i="76"/>
  <c r="K96" i="76"/>
  <c r="K51" i="76"/>
  <c r="K39" i="76"/>
  <c r="K87" i="76"/>
  <c r="K73" i="76"/>
  <c r="K27" i="76"/>
  <c r="K43" i="76"/>
  <c r="K59" i="76"/>
  <c r="K75" i="76"/>
  <c r="K91" i="76"/>
  <c r="K29" i="76"/>
  <c r="K21" i="76"/>
  <c r="K69" i="76"/>
  <c r="K15" i="76"/>
  <c r="K65" i="76"/>
  <c r="K18" i="76"/>
  <c r="K64" i="76"/>
  <c r="K85" i="76"/>
  <c r="K61" i="76"/>
  <c r="K71" i="76"/>
  <c r="K49" i="76"/>
  <c r="K67" i="76"/>
  <c r="K83" i="76"/>
  <c r="K23" i="76"/>
  <c r="K41" i="76"/>
  <c r="K77" i="76"/>
  <c r="K25" i="76"/>
  <c r="K47" i="76"/>
  <c r="K53" i="76"/>
  <c r="K35" i="76"/>
  <c r="K57" i="76"/>
  <c r="K45" i="76"/>
  <c r="K31" i="76"/>
  <c r="Y17" i="70"/>
  <c r="Y12" i="70"/>
  <c r="Y11" i="70"/>
  <c r="K45" i="7"/>
  <c r="M45" i="7" s="1"/>
  <c r="BG145" i="54"/>
  <c r="BH145" i="54" s="1"/>
  <c r="BG144" i="54"/>
  <c r="H50" i="43"/>
  <c r="G50" i="43"/>
  <c r="H30" i="43"/>
  <c r="G30" i="43"/>
  <c r="H16" i="43"/>
  <c r="G16" i="43"/>
  <c r="H19" i="43"/>
  <c r="G19" i="43"/>
  <c r="H54" i="43"/>
  <c r="G54" i="43"/>
  <c r="H15" i="43"/>
  <c r="G15" i="43"/>
  <c r="H31" i="43"/>
  <c r="G31" i="43"/>
  <c r="H26" i="43"/>
  <c r="G26" i="43"/>
  <c r="G56" i="43"/>
  <c r="H56" i="43"/>
  <c r="G39" i="43"/>
  <c r="H39" i="43"/>
  <c r="H43" i="43"/>
  <c r="G43" i="43"/>
  <c r="H53" i="43"/>
  <c r="G53" i="43"/>
  <c r="H20" i="43"/>
  <c r="G20" i="43"/>
  <c r="H44" i="43"/>
  <c r="G44" i="43"/>
  <c r="H21" i="43"/>
  <c r="G21" i="43"/>
  <c r="H32" i="43"/>
  <c r="G32" i="43"/>
  <c r="H13" i="43"/>
  <c r="G13" i="43"/>
  <c r="G25" i="43"/>
  <c r="H25" i="43"/>
  <c r="G55" i="43"/>
  <c r="H55" i="43"/>
  <c r="H36" i="43"/>
  <c r="G36" i="43"/>
  <c r="H14" i="43"/>
  <c r="G14" i="43"/>
  <c r="H37" i="43"/>
  <c r="G37" i="43"/>
  <c r="H58" i="43"/>
  <c r="G58" i="43"/>
  <c r="G57" i="43"/>
  <c r="H57" i="43"/>
  <c r="H45" i="43"/>
  <c r="G45" i="43"/>
  <c r="H27" i="43"/>
  <c r="G27" i="43"/>
  <c r="G23" i="43"/>
  <c r="H23" i="43"/>
  <c r="H47" i="43"/>
  <c r="G47" i="43"/>
  <c r="H34" i="43"/>
  <c r="G34" i="43"/>
  <c r="K23" i="7"/>
  <c r="M23" i="7" s="1"/>
  <c r="H22" i="43"/>
  <c r="G22" i="43"/>
  <c r="G24" i="43"/>
  <c r="H24" i="43"/>
  <c r="H35" i="43"/>
  <c r="G35" i="43"/>
  <c r="H12" i="43"/>
  <c r="G12" i="43"/>
  <c r="H18" i="43"/>
  <c r="G18" i="43"/>
  <c r="H11" i="43"/>
  <c r="G11" i="43"/>
  <c r="H28" i="43"/>
  <c r="G28" i="43"/>
  <c r="H46" i="43"/>
  <c r="G46" i="43"/>
  <c r="G40" i="43"/>
  <c r="H40" i="43"/>
  <c r="H17" i="43"/>
  <c r="G17" i="43"/>
  <c r="H38" i="43"/>
  <c r="G38" i="43"/>
  <c r="H61" i="43"/>
  <c r="G61" i="43"/>
  <c r="H52" i="43"/>
  <c r="G52" i="43"/>
  <c r="H51" i="43"/>
  <c r="G51" i="43"/>
  <c r="H48" i="43"/>
  <c r="G48" i="43"/>
  <c r="H29" i="43"/>
  <c r="G29" i="43"/>
  <c r="H49" i="43"/>
  <c r="G49" i="43"/>
  <c r="H42" i="43"/>
  <c r="G42" i="43"/>
  <c r="M30" i="7"/>
  <c r="K13" i="7"/>
  <c r="M13" i="7" s="1"/>
  <c r="BG143" i="54"/>
  <c r="I60" i="43"/>
  <c r="J60" i="43" s="1"/>
  <c r="K57" i="7"/>
  <c r="B46" i="43"/>
  <c r="D46" i="43" s="1"/>
  <c r="B59" i="43"/>
  <c r="D59" i="43" s="1"/>
  <c r="B60" i="43"/>
  <c r="D60" i="43" s="1"/>
  <c r="B61" i="43"/>
  <c r="D61" i="43" s="1"/>
  <c r="B58" i="43"/>
  <c r="D58" i="43" s="1"/>
  <c r="B57" i="43"/>
  <c r="D57" i="43" s="1"/>
  <c r="E21" i="7"/>
  <c r="G21" i="7" s="1"/>
  <c r="E55" i="7"/>
  <c r="G55" i="7" s="1"/>
  <c r="E58" i="7"/>
  <c r="G58" i="7" s="1"/>
  <c r="E54" i="7"/>
  <c r="G54" i="7" s="1"/>
  <c r="E56" i="7"/>
  <c r="G56" i="7" s="1"/>
  <c r="E57" i="7"/>
  <c r="G57" i="7" s="1"/>
  <c r="I43" i="43"/>
  <c r="BG142" i="54"/>
  <c r="BG141" i="54"/>
  <c r="BG140" i="54"/>
  <c r="K43" i="7"/>
  <c r="M43" i="7" s="1"/>
  <c r="BG139" i="54"/>
  <c r="BG138" i="54"/>
  <c r="V13" i="70"/>
  <c r="I31" i="43"/>
  <c r="I29" i="43"/>
  <c r="I36" i="43"/>
  <c r="I39" i="43"/>
  <c r="BG137" i="54"/>
  <c r="BG136" i="54"/>
  <c r="I56" i="43"/>
  <c r="BG135" i="54"/>
  <c r="BG134" i="54"/>
  <c r="I42" i="43"/>
  <c r="E14" i="7"/>
  <c r="G14" i="7" s="1"/>
  <c r="E36" i="7"/>
  <c r="G36" i="7" s="1"/>
  <c r="E53" i="7"/>
  <c r="G53" i="7" s="1"/>
  <c r="BG43" i="54"/>
  <c r="BG36" i="54"/>
  <c r="BG50" i="54"/>
  <c r="AY11" i="54"/>
  <c r="I16" i="43"/>
  <c r="E29" i="7"/>
  <c r="G29" i="7" s="1"/>
  <c r="E41" i="7"/>
  <c r="G41" i="7" s="1"/>
  <c r="N13" i="70"/>
  <c r="BG94" i="54"/>
  <c r="BG95" i="54"/>
  <c r="I11" i="43"/>
  <c r="E11" i="7"/>
  <c r="G11" i="7" s="1"/>
  <c r="E20" i="7"/>
  <c r="G20" i="7" s="1"/>
  <c r="E43" i="7"/>
  <c r="G43" i="7" s="1"/>
  <c r="E12" i="7"/>
  <c r="G12" i="7" s="1"/>
  <c r="E33" i="7"/>
  <c r="G33" i="7" s="1"/>
  <c r="I46" i="43"/>
  <c r="E13" i="7"/>
  <c r="G13" i="7" s="1"/>
  <c r="BG42" i="54"/>
  <c r="BH42" i="54" s="1"/>
  <c r="K35" i="7"/>
  <c r="L35" i="7" s="1"/>
  <c r="I38" i="43"/>
  <c r="BG97" i="54"/>
  <c r="BG98" i="54"/>
  <c r="I48" i="43"/>
  <c r="BG106" i="54"/>
  <c r="BG101" i="54"/>
  <c r="BG83" i="54"/>
  <c r="BG24" i="54"/>
  <c r="BG63" i="54"/>
  <c r="BG53" i="54"/>
  <c r="BG40" i="54"/>
  <c r="BG20" i="54"/>
  <c r="BH20" i="54" s="1"/>
  <c r="BG61" i="54"/>
  <c r="BG17" i="54"/>
  <c r="BG11" i="54"/>
  <c r="BG77" i="54"/>
  <c r="BG23" i="54"/>
  <c r="BG76" i="54"/>
  <c r="BG21" i="54"/>
  <c r="BG127" i="54"/>
  <c r="BG44" i="54"/>
  <c r="BG62" i="54"/>
  <c r="BG19" i="54"/>
  <c r="BG12" i="54"/>
  <c r="BG39" i="54"/>
  <c r="BG16" i="54"/>
  <c r="BH16" i="54" s="1"/>
  <c r="BG113" i="54"/>
  <c r="BG14" i="54"/>
  <c r="BH14" i="54" s="1"/>
  <c r="BG38" i="54"/>
  <c r="BG55" i="54"/>
  <c r="BG10" i="54"/>
  <c r="I53" i="43"/>
  <c r="K18" i="7"/>
  <c r="M18" i="7" s="1"/>
  <c r="O13" i="70"/>
  <c r="E16" i="7"/>
  <c r="G16" i="7" s="1"/>
  <c r="E26" i="7"/>
  <c r="G26" i="7" s="1"/>
  <c r="E35" i="7"/>
  <c r="G35" i="7" s="1"/>
  <c r="E45" i="7"/>
  <c r="G45" i="7" s="1"/>
  <c r="E10" i="7"/>
  <c r="G10" i="7" s="1"/>
  <c r="E18" i="7"/>
  <c r="G18" i="7" s="1"/>
  <c r="E28" i="7"/>
  <c r="G28" i="7" s="1"/>
  <c r="E47" i="7"/>
  <c r="G47" i="7" s="1"/>
  <c r="M13" i="70"/>
  <c r="K55" i="7"/>
  <c r="M55" i="7" s="1"/>
  <c r="K31" i="7"/>
  <c r="L31" i="7" s="1"/>
  <c r="I34" i="43"/>
  <c r="AT11" i="44"/>
  <c r="AR11" i="44" s="1"/>
  <c r="I58" i="43"/>
  <c r="I57" i="43"/>
  <c r="I55" i="43"/>
  <c r="P13" i="70"/>
  <c r="AR13" i="44"/>
  <c r="K21" i="7"/>
  <c r="M21" i="7" s="1"/>
  <c r="Q13" i="70"/>
  <c r="B24" i="43"/>
  <c r="D24" i="43" s="1"/>
  <c r="BG91" i="54"/>
  <c r="BG114" i="54"/>
  <c r="BG22" i="54"/>
  <c r="BG31" i="54"/>
  <c r="BG41" i="54"/>
  <c r="BG47" i="54"/>
  <c r="BG69" i="54"/>
  <c r="AR15" i="44"/>
  <c r="BE10" i="54"/>
  <c r="BG33" i="54"/>
  <c r="BG74" i="54"/>
  <c r="I24" i="43"/>
  <c r="K39" i="7"/>
  <c r="M39" i="7" s="1"/>
  <c r="K24" i="7"/>
  <c r="M24" i="7" s="1"/>
  <c r="I27" i="43"/>
  <c r="I32" i="43"/>
  <c r="K11" i="7"/>
  <c r="M11" i="7" s="1"/>
  <c r="I19" i="43"/>
  <c r="E22" i="7"/>
  <c r="G22" i="7" s="1"/>
  <c r="E31" i="7"/>
  <c r="G31" i="7" s="1"/>
  <c r="E37" i="7"/>
  <c r="G37" i="7" s="1"/>
  <c r="F8" i="7"/>
  <c r="E8" i="7" s="1"/>
  <c r="G8" i="7" s="1"/>
  <c r="E15" i="7"/>
  <c r="G15" i="7" s="1"/>
  <c r="E49" i="7"/>
  <c r="G49" i="7" s="1"/>
  <c r="E32" i="7"/>
  <c r="G32" i="7" s="1"/>
  <c r="W13" i="70"/>
  <c r="I15" i="43"/>
  <c r="I40" i="43"/>
  <c r="K27" i="7"/>
  <c r="L27" i="7" s="1"/>
  <c r="I30" i="43"/>
  <c r="K20" i="7"/>
  <c r="M20" i="7" s="1"/>
  <c r="B31" i="43"/>
  <c r="D31" i="43" s="1"/>
  <c r="B19" i="43"/>
  <c r="D19" i="43" s="1"/>
  <c r="B42" i="43"/>
  <c r="D42" i="43" s="1"/>
  <c r="AW10" i="54"/>
  <c r="B25" i="43"/>
  <c r="D25" i="43" s="1"/>
  <c r="K10" i="7"/>
  <c r="M10" i="7" s="1"/>
  <c r="K36" i="7"/>
  <c r="L36" i="7" s="1"/>
  <c r="AY15" i="54"/>
  <c r="AY10" i="54"/>
  <c r="I13" i="43"/>
  <c r="B20" i="43"/>
  <c r="D20" i="43" s="1"/>
  <c r="I44" i="43"/>
  <c r="I21" i="43"/>
  <c r="BG18" i="54"/>
  <c r="BG48" i="54"/>
  <c r="BG65" i="54"/>
  <c r="BG105" i="54"/>
  <c r="B26" i="43"/>
  <c r="D26" i="43" s="1"/>
  <c r="B38" i="43"/>
  <c r="D38" i="43" s="1"/>
  <c r="B53" i="43"/>
  <c r="D53" i="43" s="1"/>
  <c r="K8" i="7"/>
  <c r="M8" i="7" s="1"/>
  <c r="K17" i="7"/>
  <c r="M17" i="7" s="1"/>
  <c r="K42" i="7"/>
  <c r="M42" i="7" s="1"/>
  <c r="I45" i="43"/>
  <c r="K16" i="7"/>
  <c r="M16" i="7" s="1"/>
  <c r="AR12" i="44"/>
  <c r="BG112" i="54"/>
  <c r="B21" i="43"/>
  <c r="D21" i="43" s="1"/>
  <c r="B49" i="43"/>
  <c r="D49" i="43" s="1"/>
  <c r="K37" i="7"/>
  <c r="L37" i="7" s="1"/>
  <c r="B27" i="43"/>
  <c r="D27" i="43" s="1"/>
  <c r="B39" i="43"/>
  <c r="D39" i="43" s="1"/>
  <c r="K33" i="7"/>
  <c r="L33" i="7" s="1"/>
  <c r="R13" i="70"/>
  <c r="BG80" i="54"/>
  <c r="BG122" i="54"/>
  <c r="I26" i="43"/>
  <c r="K9" i="7"/>
  <c r="M9" i="7" s="1"/>
  <c r="I12" i="43"/>
  <c r="K52" i="7"/>
  <c r="M52" i="7" s="1"/>
  <c r="S13" i="70"/>
  <c r="B22" i="43"/>
  <c r="D22" i="43" s="1"/>
  <c r="B29" i="43"/>
  <c r="D29" i="43" s="1"/>
  <c r="B45" i="43"/>
  <c r="D45" i="43" s="1"/>
  <c r="K48" i="7"/>
  <c r="M48" i="7" s="1"/>
  <c r="BG25" i="54"/>
  <c r="BH25" i="54" s="1"/>
  <c r="BG45" i="54"/>
  <c r="BG84" i="54"/>
  <c r="BG129" i="54"/>
  <c r="B16" i="43"/>
  <c r="D16" i="43" s="1"/>
  <c r="I51" i="43"/>
  <c r="K44" i="7"/>
  <c r="M44" i="7" s="1"/>
  <c r="I47" i="43"/>
  <c r="K19" i="7"/>
  <c r="M19" i="7" s="1"/>
  <c r="K25" i="7"/>
  <c r="L25" i="7" s="1"/>
  <c r="B51" i="43"/>
  <c r="D51" i="43" s="1"/>
  <c r="B56" i="43"/>
  <c r="D56" i="43" s="1"/>
  <c r="K40" i="7"/>
  <c r="M40" i="7" s="1"/>
  <c r="BG88" i="54"/>
  <c r="BG131" i="54"/>
  <c r="U13" i="70"/>
  <c r="B52" i="43"/>
  <c r="D52" i="43" s="1"/>
  <c r="B47" i="43"/>
  <c r="D47" i="43" s="1"/>
  <c r="B33" i="43"/>
  <c r="D33" i="43" s="1"/>
  <c r="B28" i="43"/>
  <c r="D28" i="43" s="1"/>
  <c r="B17" i="43"/>
  <c r="D17" i="43" s="1"/>
  <c r="B30" i="43"/>
  <c r="D30" i="43" s="1"/>
  <c r="C11" i="43"/>
  <c r="B11" i="43" s="1"/>
  <c r="D11" i="43" s="1"/>
  <c r="B23" i="43"/>
  <c r="D23" i="43" s="1"/>
  <c r="B18" i="43"/>
  <c r="D18" i="43" s="1"/>
  <c r="K58" i="7"/>
  <c r="M58" i="7" s="1"/>
  <c r="AY13" i="54"/>
  <c r="BG13" i="54"/>
  <c r="AY28" i="54"/>
  <c r="BG51" i="54"/>
  <c r="BG89" i="54"/>
  <c r="BG29" i="54"/>
  <c r="BG46" i="54"/>
  <c r="BG58" i="54"/>
  <c r="B36" i="43"/>
  <c r="D36" i="43" s="1"/>
  <c r="K32" i="7"/>
  <c r="L32" i="7" s="1"/>
  <c r="I52" i="43"/>
  <c r="E24" i="7"/>
  <c r="G24" i="7" s="1"/>
  <c r="E51" i="7"/>
  <c r="G51" i="7" s="1"/>
  <c r="T13" i="70"/>
  <c r="X13" i="70"/>
  <c r="E34" i="7"/>
  <c r="G34" i="7" s="1"/>
  <c r="E39" i="7"/>
  <c r="G39" i="7" s="1"/>
  <c r="E30" i="7"/>
  <c r="G30" i="7" s="1"/>
  <c r="X8" i="70"/>
  <c r="Q8" i="70"/>
  <c r="N8" i="70"/>
  <c r="P8" i="70"/>
  <c r="U8" i="70"/>
  <c r="W8" i="70"/>
  <c r="M8" i="70"/>
  <c r="O8" i="70"/>
  <c r="V8" i="70"/>
  <c r="R8" i="70"/>
  <c r="S8" i="70"/>
  <c r="T8" i="70"/>
  <c r="AH58" i="54"/>
  <c r="AH62" i="54"/>
  <c r="AH69" i="54"/>
  <c r="AH66" i="54"/>
  <c r="AH63" i="54"/>
  <c r="AH60" i="54"/>
  <c r="AH67" i="54"/>
  <c r="AH64" i="54"/>
  <c r="AH68" i="54"/>
  <c r="AH61" i="54"/>
  <c r="AH59" i="54"/>
  <c r="AH70" i="54"/>
  <c r="AH65" i="54"/>
  <c r="AY25" i="54"/>
  <c r="AY18" i="54"/>
  <c r="AY31" i="54"/>
  <c r="AY12" i="54"/>
  <c r="AY17" i="54"/>
  <c r="AF10" i="44"/>
  <c r="AG10" i="54"/>
  <c r="AY22" i="54"/>
  <c r="AY33" i="54"/>
  <c r="AY27" i="54"/>
  <c r="AY24" i="54"/>
  <c r="AY23" i="54"/>
  <c r="AY29" i="54"/>
  <c r="AY32" i="54"/>
  <c r="AY26" i="54"/>
  <c r="AY20" i="54"/>
  <c r="AY16" i="54"/>
  <c r="AY30" i="54"/>
  <c r="AY19" i="54"/>
  <c r="AY21" i="54"/>
  <c r="BG120" i="54"/>
  <c r="BG128" i="54"/>
  <c r="BG100" i="54"/>
  <c r="BG115" i="54"/>
  <c r="BG56" i="54"/>
  <c r="BG78" i="54"/>
  <c r="BG85" i="54"/>
  <c r="BG93" i="54"/>
  <c r="BG123" i="54"/>
  <c r="BG124" i="54"/>
  <c r="BG108" i="54"/>
  <c r="BG92" i="54"/>
  <c r="BG71" i="54"/>
  <c r="BG133" i="54"/>
  <c r="BG116" i="54"/>
  <c r="BG99" i="54"/>
  <c r="BG82" i="54"/>
  <c r="BG34" i="54"/>
  <c r="BG28" i="54"/>
  <c r="BG121" i="54"/>
  <c r="BG104" i="54"/>
  <c r="BG87" i="54"/>
  <c r="BG81" i="54"/>
  <c r="BG70" i="54"/>
  <c r="BG59" i="54"/>
  <c r="BG126" i="54"/>
  <c r="BG109" i="54"/>
  <c r="BG86" i="54"/>
  <c r="BG75" i="54"/>
  <c r="BG64" i="54"/>
  <c r="BG30" i="54"/>
  <c r="BG130" i="54"/>
  <c r="BG107" i="54"/>
  <c r="BG90" i="54"/>
  <c r="BG79" i="54"/>
  <c r="BG66" i="54"/>
  <c r="BG15" i="54"/>
  <c r="BH15" i="54" s="1"/>
  <c r="BG27" i="54"/>
  <c r="BG54" i="54"/>
  <c r="BG67" i="54"/>
  <c r="BG72" i="54"/>
  <c r="BG117" i="54"/>
  <c r="BG132" i="54"/>
  <c r="BG35" i="54"/>
  <c r="BG37" i="54"/>
  <c r="BG57" i="54"/>
  <c r="BG60" i="54"/>
  <c r="BG102" i="54"/>
  <c r="BG110" i="54"/>
  <c r="BG125" i="54"/>
  <c r="BG52" i="54"/>
  <c r="BG68" i="54"/>
  <c r="BG73" i="54"/>
  <c r="BG103" i="54"/>
  <c r="BG111" i="54"/>
  <c r="BG118" i="54"/>
  <c r="BG26" i="54"/>
  <c r="BG32" i="54"/>
  <c r="BG96" i="54"/>
  <c r="BG119" i="54"/>
  <c r="M36" i="43"/>
  <c r="M53" i="7"/>
  <c r="K22" i="7"/>
  <c r="I25" i="43"/>
  <c r="K14" i="7"/>
  <c r="Q33" i="70" a="1"/>
  <c r="Q33" i="70" s="1"/>
  <c r="M15" i="70"/>
  <c r="N15" i="70" s="1" a="1"/>
  <c r="N15" i="70" s="1"/>
  <c r="L34" i="70" a="1"/>
  <c r="L34" i="70" s="1"/>
  <c r="K26" i="7"/>
  <c r="I37" i="43"/>
  <c r="K47" i="7"/>
  <c r="I50" i="43"/>
  <c r="K51" i="7"/>
  <c r="I54" i="43"/>
  <c r="K34" i="7"/>
  <c r="U30" i="59"/>
  <c r="U31" i="59" s="1"/>
  <c r="H11" i="7"/>
  <c r="B41" i="43"/>
  <c r="D41" i="43" s="1"/>
  <c r="I61" i="43"/>
  <c r="B50" i="43"/>
  <c r="D50" i="43" s="1"/>
  <c r="E19" i="7"/>
  <c r="G19" i="7" s="1"/>
  <c r="K46" i="7"/>
  <c r="K50" i="7"/>
  <c r="K54" i="7"/>
  <c r="B48" i="43"/>
  <c r="D48" i="43" s="1"/>
  <c r="E17" i="7"/>
  <c r="G17" i="7" s="1"/>
  <c r="B35" i="43"/>
  <c r="D35" i="43" s="1"/>
  <c r="B37" i="43"/>
  <c r="D37" i="43" s="1"/>
  <c r="B55" i="43"/>
  <c r="D55" i="43" s="1"/>
  <c r="K28" i="7"/>
  <c r="B13" i="43"/>
  <c r="D13" i="43" s="1"/>
  <c r="B15" i="43"/>
  <c r="D15" i="43" s="1"/>
  <c r="B44" i="43"/>
  <c r="D44" i="43" s="1"/>
  <c r="B40" i="43"/>
  <c r="D40" i="43" s="1"/>
  <c r="K15" i="7"/>
  <c r="E27" i="7"/>
  <c r="G27" i="7" s="1"/>
  <c r="K41" i="7"/>
  <c r="K49" i="7"/>
  <c r="E9" i="7"/>
  <c r="G9" i="7" s="1"/>
  <c r="E25" i="7"/>
  <c r="G25" i="7" s="1"/>
  <c r="K29" i="7"/>
  <c r="I14" i="43"/>
  <c r="I28" i="43"/>
  <c r="B34" i="43"/>
  <c r="D34" i="43" s="1"/>
  <c r="I49" i="43"/>
  <c r="B54" i="43"/>
  <c r="D54" i="43" s="1"/>
  <c r="E23" i="7"/>
  <c r="G23" i="7" s="1"/>
  <c r="E38" i="7"/>
  <c r="G38" i="7" s="1"/>
  <c r="E40" i="7"/>
  <c r="G40" i="7" s="1"/>
  <c r="E42" i="7"/>
  <c r="G42" i="7" s="1"/>
  <c r="E44" i="7"/>
  <c r="G44" i="7" s="1"/>
  <c r="E46" i="7"/>
  <c r="G46" i="7" s="1"/>
  <c r="E48" i="7"/>
  <c r="G48" i="7" s="1"/>
  <c r="E50" i="7"/>
  <c r="G50" i="7" s="1"/>
  <c r="E52" i="7"/>
  <c r="G52" i="7" s="1"/>
  <c r="B12" i="43"/>
  <c r="D12" i="43" s="1"/>
  <c r="B14" i="43"/>
  <c r="D14" i="43" s="1"/>
  <c r="B32" i="43"/>
  <c r="D32" i="43" s="1"/>
  <c r="B43" i="43"/>
  <c r="D43" i="43" s="1"/>
  <c r="AY34" i="54"/>
  <c r="BH17" i="54"/>
  <c r="BH53" i="54"/>
  <c r="BH23" i="54"/>
  <c r="BH24" i="54"/>
  <c r="BH19" i="54"/>
  <c r="BH144" i="54"/>
  <c r="BH142" i="54"/>
  <c r="BH11" i="54"/>
  <c r="BH143" i="54"/>
  <c r="BH22" i="54"/>
  <c r="BH140" i="54"/>
  <c r="BH141" i="54"/>
  <c r="BH12" i="54"/>
  <c r="BH10" i="54"/>
  <c r="BH13" i="54"/>
  <c r="BH21" i="54"/>
  <c r="BI19" i="54"/>
  <c r="BI57" i="54"/>
  <c r="BI39" i="54"/>
  <c r="BI80" i="54"/>
  <c r="BI21" i="54"/>
  <c r="BH109" i="54"/>
  <c r="AY54" i="54"/>
  <c r="BI50" i="54"/>
  <c r="BI51" i="54"/>
  <c r="BI37" i="54"/>
  <c r="AZ13" i="54"/>
  <c r="BI41" i="54"/>
  <c r="AZ11" i="54"/>
  <c r="BI121" i="54"/>
  <c r="BH126" i="54"/>
  <c r="BH86" i="54"/>
  <c r="AZ37" i="54"/>
  <c r="BI138" i="54"/>
  <c r="BI143" i="54"/>
  <c r="AZ50" i="54"/>
  <c r="BI137" i="54"/>
  <c r="BH51" i="54"/>
  <c r="BI44" i="54"/>
  <c r="BH50" i="54"/>
  <c r="BI28" i="54"/>
  <c r="BI128" i="54"/>
  <c r="BI89" i="54"/>
  <c r="BH116" i="54"/>
  <c r="BI122" i="54"/>
  <c r="BI13" i="54"/>
  <c r="AZ40" i="54"/>
  <c r="BI125" i="54"/>
  <c r="BI77" i="54"/>
  <c r="BI18" i="54"/>
  <c r="BI79" i="54"/>
  <c r="AZ15" i="54"/>
  <c r="AZ46" i="54"/>
  <c r="BI17" i="54"/>
  <c r="BI118" i="54"/>
  <c r="BH33" i="54"/>
  <c r="BH112" i="54"/>
  <c r="BH34" i="54"/>
  <c r="BH125" i="54"/>
  <c r="AZ34" i="54"/>
  <c r="AZ31" i="54"/>
  <c r="BI11" i="54"/>
  <c r="AZ38" i="54"/>
  <c r="BH62" i="54"/>
  <c r="BI30" i="54"/>
  <c r="AZ56" i="54"/>
  <c r="BH100" i="54"/>
  <c r="BI124" i="54"/>
  <c r="BI91" i="54"/>
  <c r="BI74" i="54"/>
  <c r="BI131" i="54"/>
  <c r="BH101" i="54"/>
  <c r="BI120" i="54"/>
  <c r="BH124" i="54"/>
  <c r="AY39" i="54"/>
  <c r="BH57" i="54"/>
  <c r="AZ36" i="54"/>
  <c r="BI31" i="54"/>
  <c r="AZ29" i="54"/>
  <c r="BH133" i="54"/>
  <c r="BH105" i="54"/>
  <c r="AZ20" i="54"/>
  <c r="AZ30" i="54"/>
  <c r="BH120" i="54"/>
  <c r="BI105" i="54"/>
  <c r="BI119" i="54"/>
  <c r="BH30" i="54"/>
  <c r="BI40" i="54"/>
  <c r="BH137" i="54"/>
  <c r="BI110" i="54"/>
  <c r="BI134" i="54"/>
  <c r="BI43" i="54"/>
  <c r="BI94" i="54"/>
  <c r="AZ19" i="54"/>
  <c r="BI33" i="54"/>
  <c r="BI90" i="54"/>
  <c r="BH83" i="54"/>
  <c r="BI136" i="54"/>
  <c r="BI78" i="54"/>
  <c r="BH129" i="54"/>
  <c r="BH128" i="54"/>
  <c r="BI35" i="54"/>
  <c r="BI20" i="54"/>
  <c r="BH97" i="54"/>
  <c r="AY46" i="54"/>
  <c r="BI76" i="54"/>
  <c r="BH84" i="54"/>
  <c r="BH90" i="54"/>
  <c r="BI130" i="54"/>
  <c r="AY36" i="54"/>
  <c r="AZ53" i="54"/>
  <c r="BI45" i="54"/>
  <c r="BH134" i="54"/>
  <c r="AY40" i="54"/>
  <c r="BH37" i="54"/>
  <c r="BH77" i="54"/>
  <c r="BI73" i="54"/>
  <c r="AZ33" i="54"/>
  <c r="BI36" i="54"/>
  <c r="BI108" i="54"/>
  <c r="AZ51" i="54"/>
  <c r="BI117" i="54"/>
  <c r="BI126" i="54"/>
  <c r="AZ44" i="54"/>
  <c r="BH132" i="54"/>
  <c r="BH130" i="54"/>
  <c r="AZ45" i="54"/>
  <c r="AY35" i="54"/>
  <c r="BH47" i="54"/>
  <c r="BH63" i="54"/>
  <c r="BH68" i="54"/>
  <c r="BH114" i="54"/>
  <c r="AZ22" i="54"/>
  <c r="AZ27" i="54"/>
  <c r="BI15" i="54"/>
  <c r="AY44" i="54"/>
  <c r="BI144" i="54"/>
  <c r="AY56" i="54"/>
  <c r="AY42" i="54"/>
  <c r="BI88" i="54"/>
  <c r="BI16" i="54"/>
  <c r="BI129" i="54"/>
  <c r="BH95" i="54"/>
  <c r="AZ42" i="54"/>
  <c r="BH38" i="54"/>
  <c r="BI56" i="54"/>
  <c r="BH138" i="54"/>
  <c r="BI34" i="54"/>
  <c r="BI49" i="54"/>
  <c r="BH117" i="54"/>
  <c r="BH60" i="54"/>
  <c r="AZ10" i="54"/>
  <c r="BH135" i="54"/>
  <c r="BI26" i="54"/>
  <c r="BI103" i="54"/>
  <c r="BH65" i="54"/>
  <c r="AZ41" i="54"/>
  <c r="BI82" i="54"/>
  <c r="AZ48" i="54"/>
  <c r="BI14" i="54"/>
  <c r="BI23" i="54"/>
  <c r="BI38" i="54"/>
  <c r="AY43" i="54"/>
  <c r="BI72" i="54"/>
  <c r="BI112" i="54"/>
  <c r="BH32" i="54"/>
  <c r="AZ55" i="54"/>
  <c r="BI123" i="54"/>
  <c r="BI96" i="54"/>
  <c r="BH122" i="54"/>
  <c r="BI111" i="54"/>
  <c r="BH103" i="54"/>
  <c r="AZ43" i="54"/>
  <c r="BI71" i="54"/>
  <c r="BH113" i="54"/>
  <c r="BH99" i="54"/>
  <c r="BH55" i="54"/>
  <c r="BH82" i="54"/>
  <c r="BH64" i="54"/>
  <c r="BI95" i="54"/>
  <c r="BI113" i="54"/>
  <c r="BI24" i="54"/>
  <c r="BI69" i="54"/>
  <c r="BI83" i="54"/>
  <c r="BI98" i="54"/>
  <c r="BI58" i="54"/>
  <c r="BI64" i="54"/>
  <c r="BI68" i="54"/>
  <c r="BI48" i="54"/>
  <c r="BH35" i="54"/>
  <c r="BI22" i="54"/>
  <c r="BI115" i="54"/>
  <c r="AY51" i="54"/>
  <c r="BI145" i="54"/>
  <c r="BI87" i="54"/>
  <c r="BH66" i="54"/>
  <c r="BH115" i="54"/>
  <c r="BH92" i="54"/>
  <c r="BI12" i="54"/>
  <c r="BI59" i="54"/>
  <c r="AY55" i="54"/>
  <c r="BH80" i="54"/>
  <c r="AY52" i="54"/>
  <c r="BI32" i="54"/>
  <c r="AZ35" i="54"/>
  <c r="BH61" i="54"/>
  <c r="BH71" i="54"/>
  <c r="BH121" i="54"/>
  <c r="AZ47" i="54"/>
  <c r="BI42" i="54"/>
  <c r="BI86" i="54"/>
  <c r="BH40" i="54"/>
  <c r="AZ16" i="54"/>
  <c r="BH36" i="54"/>
  <c r="BI114" i="54"/>
  <c r="BH119" i="54"/>
  <c r="BI133" i="54"/>
  <c r="BI47" i="54"/>
  <c r="AZ39" i="54"/>
  <c r="BI97" i="54"/>
  <c r="BI60" i="54"/>
  <c r="AY38" i="54"/>
  <c r="BH69" i="54"/>
  <c r="BH75" i="54"/>
  <c r="BI141" i="54"/>
  <c r="AY47" i="54"/>
  <c r="AY41" i="54"/>
  <c r="BI29" i="54"/>
  <c r="BH88" i="54"/>
  <c r="BI55" i="54"/>
  <c r="AZ17" i="54"/>
  <c r="BH31" i="54"/>
  <c r="BI116" i="54"/>
  <c r="BI140" i="54"/>
  <c r="BI85" i="54"/>
  <c r="BI84" i="54"/>
  <c r="BI61" i="54"/>
  <c r="BI65" i="54"/>
  <c r="AZ26" i="54"/>
  <c r="BI106" i="54"/>
  <c r="AZ54" i="54"/>
  <c r="BH108" i="54"/>
  <c r="BI132" i="54"/>
  <c r="BH41" i="54"/>
  <c r="BI70" i="54"/>
  <c r="BI104" i="54"/>
  <c r="AZ18" i="54"/>
  <c r="AY53" i="54"/>
  <c r="AY49" i="54"/>
  <c r="BI101" i="54"/>
  <c r="AY37" i="54"/>
  <c r="AZ12" i="54"/>
  <c r="BI67" i="54"/>
  <c r="BI109" i="54"/>
  <c r="BK80" i="54"/>
  <c r="BH139" i="54"/>
  <c r="BI93" i="54"/>
  <c r="BI81" i="54"/>
  <c r="BH96" i="54"/>
  <c r="BI100" i="54"/>
  <c r="BI54" i="54"/>
  <c r="BI99" i="54"/>
  <c r="BI127" i="54"/>
  <c r="BH28" i="54"/>
  <c r="AZ24" i="54"/>
  <c r="BI142" i="54"/>
  <c r="BI107" i="54"/>
  <c r="AZ49" i="54"/>
  <c r="BH102" i="54"/>
  <c r="BI25" i="54"/>
  <c r="BI135" i="54"/>
  <c r="AZ14" i="54"/>
  <c r="BH110" i="54"/>
  <c r="BI63" i="54"/>
  <c r="AZ32" i="54"/>
  <c r="BI27" i="54"/>
  <c r="AY45" i="54"/>
  <c r="AY50" i="54"/>
  <c r="AZ28" i="54"/>
  <c r="BI52" i="54"/>
  <c r="BI46" i="54"/>
  <c r="BH56" i="54"/>
  <c r="BI62" i="54"/>
  <c r="AZ23" i="54"/>
  <c r="AY48" i="54"/>
  <c r="BH43" i="54"/>
  <c r="AZ52" i="54"/>
  <c r="BH39" i="54"/>
  <c r="BI53" i="54"/>
  <c r="BI139" i="54"/>
  <c r="BI92" i="54"/>
  <c r="BI75" i="54"/>
  <c r="AZ25" i="54"/>
  <c r="BI66" i="54"/>
  <c r="BH29" i="54"/>
  <c r="BH91" i="54"/>
  <c r="BH85" i="54"/>
  <c r="BH78" i="54"/>
  <c r="AZ21" i="54"/>
  <c r="BI102" i="54"/>
  <c r="BH111" i="54"/>
  <c r="BH93" i="54"/>
  <c r="BH45" i="54"/>
  <c r="BH87" i="54"/>
  <c r="BH106" i="54"/>
  <c r="BH79" i="54"/>
  <c r="BH123" i="54"/>
  <c r="BH107" i="54"/>
  <c r="BH76" i="54"/>
  <c r="BH127" i="54"/>
  <c r="BH59" i="54"/>
  <c r="BH52" i="54"/>
  <c r="BH104" i="54"/>
  <c r="BH27" i="54"/>
  <c r="BH94" i="54"/>
  <c r="BH26" i="54"/>
  <c r="BH54" i="54"/>
  <c r="BH73" i="54"/>
  <c r="BH70" i="54"/>
  <c r="BH48" i="54"/>
  <c r="BH98" i="54"/>
  <c r="BH118" i="54"/>
  <c r="BH131" i="54"/>
  <c r="BH136" i="54"/>
  <c r="BH58" i="54"/>
  <c r="BH74" i="54"/>
  <c r="BH46" i="54"/>
  <c r="BH72" i="54"/>
  <c r="BH81" i="54"/>
  <c r="BH67" i="54"/>
  <c r="BH44" i="54"/>
  <c r="BH89" i="54"/>
  <c r="BH18" i="54"/>
  <c r="N9" i="70" l="1"/>
  <c r="O9" i="70"/>
  <c r="Q9" i="70"/>
  <c r="R9" i="70"/>
  <c r="W9" i="70"/>
  <c r="Y8" i="70"/>
  <c r="Y13" i="70"/>
  <c r="O15" i="70" a="1"/>
  <c r="O15" i="70" s="1"/>
  <c r="P15" i="70" s="1" a="1"/>
  <c r="P15" i="70" s="1"/>
  <c r="Q15" i="70" s="1" a="1"/>
  <c r="Q15" i="70" s="1"/>
  <c r="R15" i="70" s="1" a="1"/>
  <c r="R15" i="70" s="1"/>
  <c r="S15" i="70" s="1" a="1"/>
  <c r="S15" i="70" s="1"/>
  <c r="T15" i="70" s="1" a="1"/>
  <c r="T15" i="70" s="1"/>
  <c r="U15" i="70" s="1" a="1"/>
  <c r="U15" i="70" s="1"/>
  <c r="V15" i="70" s="1" a="1"/>
  <c r="V15" i="70" s="1"/>
  <c r="W15" i="70" s="1" a="1"/>
  <c r="W15" i="70" s="1"/>
  <c r="X15" i="70" s="1" a="1"/>
  <c r="X15" i="70" s="1"/>
  <c r="V9" i="70"/>
  <c r="M9" i="70"/>
  <c r="J23" i="43"/>
  <c r="L20" i="7" s="1"/>
  <c r="J20" i="43"/>
  <c r="L17" i="7" s="1"/>
  <c r="J35" i="43"/>
  <c r="M32" i="7" s="1"/>
  <c r="M57" i="7"/>
  <c r="L57" i="7"/>
  <c r="J43" i="43"/>
  <c r="L40" i="7" s="1"/>
  <c r="N40" i="7" s="1"/>
  <c r="CD10" i="54" a="1"/>
  <c r="CD10" i="54" s="1"/>
  <c r="J27" i="43"/>
  <c r="L24" i="7" s="1"/>
  <c r="J39" i="43"/>
  <c r="M36" i="7" s="1"/>
  <c r="O36" i="7" s="1"/>
  <c r="J31" i="43"/>
  <c r="P19" i="43" s="1"/>
  <c r="J56" i="43"/>
  <c r="L53" i="7" s="1"/>
  <c r="N53" i="7" s="1"/>
  <c r="CG24" i="54" a="1"/>
  <c r="CG24" i="54" s="1"/>
  <c r="J52" i="43"/>
  <c r="P28" i="43" s="1"/>
  <c r="P9" i="70"/>
  <c r="J15" i="43"/>
  <c r="L12" i="7" s="1"/>
  <c r="J40" i="43"/>
  <c r="M37" i="7" s="1"/>
  <c r="O37" i="7" s="1"/>
  <c r="J34" i="43"/>
  <c r="M31" i="7" s="1"/>
  <c r="J11" i="43"/>
  <c r="J58" i="43"/>
  <c r="L55" i="7" s="1"/>
  <c r="N55" i="7" s="1"/>
  <c r="J13" i="43"/>
  <c r="J12" i="43"/>
  <c r="J53" i="43"/>
  <c r="L50" i="7" s="1"/>
  <c r="N50" i="7" s="1"/>
  <c r="J21" i="43"/>
  <c r="L18" i="7" s="1"/>
  <c r="J18" i="54" a="1"/>
  <c r="J18" i="54" s="1"/>
  <c r="Z16" i="54" a="1"/>
  <c r="Z16" i="54" s="1"/>
  <c r="J17" i="54" a="1"/>
  <c r="J17" i="54" s="1"/>
  <c r="J38" i="43"/>
  <c r="M35" i="7" s="1"/>
  <c r="O35" i="7" s="1"/>
  <c r="J55" i="43"/>
  <c r="L52" i="7" s="1"/>
  <c r="N52" i="7" s="1"/>
  <c r="T9" i="70"/>
  <c r="S9" i="70"/>
  <c r="J46" i="43"/>
  <c r="P25" i="43" s="1"/>
  <c r="J50" i="43"/>
  <c r="L47" i="7" s="1"/>
  <c r="N47" i="7" s="1"/>
  <c r="AG13" i="44"/>
  <c r="Z11" i="54" a="1"/>
  <c r="Z11" i="54" s="1"/>
  <c r="J51" i="43"/>
  <c r="P30" i="43" s="1"/>
  <c r="J47" i="43"/>
  <c r="L44" i="7" s="1"/>
  <c r="N44" i="7" s="1"/>
  <c r="J57" i="43"/>
  <c r="P29" i="43" s="1"/>
  <c r="AI12" i="54"/>
  <c r="AH14" i="54"/>
  <c r="AI14" i="54"/>
  <c r="AG14" i="44"/>
  <c r="J26" i="43"/>
  <c r="P13" i="43" s="1"/>
  <c r="J45" i="43"/>
  <c r="L42" i="7" s="1"/>
  <c r="N42" i="7" s="1"/>
  <c r="AH13" i="54"/>
  <c r="AI13" i="54"/>
  <c r="AG12" i="44"/>
  <c r="AG10" i="44"/>
  <c r="J25" i="43"/>
  <c r="P12" i="43" s="1"/>
  <c r="J32" i="43"/>
  <c r="O12" i="76" s="1"/>
  <c r="J18" i="43"/>
  <c r="L15" i="7" s="1"/>
  <c r="Z17" i="54" a="1"/>
  <c r="Z17" i="54" s="1"/>
  <c r="Z18" i="54" a="1"/>
  <c r="Z18" i="54" s="1"/>
  <c r="J24" i="43"/>
  <c r="L21" i="7" s="1"/>
  <c r="J16" i="43"/>
  <c r="L13" i="7" s="1"/>
  <c r="Z10" i="54" a="1"/>
  <c r="Z10" i="54" s="1"/>
  <c r="Z19" i="54" a="1"/>
  <c r="Z19" i="54" s="1"/>
  <c r="Z20" i="54" a="1"/>
  <c r="Z20" i="54" s="1"/>
  <c r="Z15" i="54" a="1"/>
  <c r="Z15" i="54" s="1"/>
  <c r="Z14" i="54" a="1"/>
  <c r="Z14" i="54" s="1"/>
  <c r="BA14" i="54"/>
  <c r="BA11" i="54"/>
  <c r="BA13" i="54"/>
  <c r="J49" i="43"/>
  <c r="P26" i="43" s="1"/>
  <c r="J19" i="43"/>
  <c r="L16" i="7" s="1"/>
  <c r="U9" i="70"/>
  <c r="J54" i="43"/>
  <c r="L51" i="7" s="1"/>
  <c r="N51" i="7" s="1"/>
  <c r="X9" i="70"/>
  <c r="J48" i="43"/>
  <c r="L45" i="7" s="1"/>
  <c r="N45" i="7" s="1"/>
  <c r="J36" i="43"/>
  <c r="P20" i="43" s="1"/>
  <c r="J28" i="43"/>
  <c r="J37" i="43"/>
  <c r="J30" i="43"/>
  <c r="O11" i="76" s="1"/>
  <c r="J14" i="43"/>
  <c r="R12" i="76" s="1"/>
  <c r="J44" i="43"/>
  <c r="P23" i="43" s="1"/>
  <c r="J17" i="43"/>
  <c r="P14" i="43" s="1"/>
  <c r="J42" i="43"/>
  <c r="L39" i="7" s="1"/>
  <c r="N39" i="7" s="1"/>
  <c r="J22" i="43"/>
  <c r="L19" i="7" s="1"/>
  <c r="S22" i="54" a="1"/>
  <c r="S22" i="54" s="1"/>
  <c r="S29" i="54" a="1"/>
  <c r="S29" i="54" s="1"/>
  <c r="S26" i="54" a="1"/>
  <c r="S26" i="54" s="1"/>
  <c r="S25" i="54" a="1"/>
  <c r="S25" i="54" s="1"/>
  <c r="S34" i="54" a="1"/>
  <c r="S34" i="54" s="1"/>
  <c r="S12" i="54" a="1"/>
  <c r="S12" i="54" s="1"/>
  <c r="BA44" i="54"/>
  <c r="BA42" i="54"/>
  <c r="BA36" i="54"/>
  <c r="BA37" i="54"/>
  <c r="BA39" i="54"/>
  <c r="BA23" i="54"/>
  <c r="BA52" i="54"/>
  <c r="BA43" i="54"/>
  <c r="BA48" i="54"/>
  <c r="BA54" i="54"/>
  <c r="BA26" i="54"/>
  <c r="BA45" i="54"/>
  <c r="BA32" i="54"/>
  <c r="BA47" i="54"/>
  <c r="BA12" i="54"/>
  <c r="BA25" i="54"/>
  <c r="BA15" i="54"/>
  <c r="BA17" i="54"/>
  <c r="BA41" i="54"/>
  <c r="AH12" i="54"/>
  <c r="AG11" i="44"/>
  <c r="AI11" i="54"/>
  <c r="BA22" i="54"/>
  <c r="BA19" i="54"/>
  <c r="BA49" i="54"/>
  <c r="BA46" i="54"/>
  <c r="BA40" i="54"/>
  <c r="BA51" i="54"/>
  <c r="BA30" i="54"/>
  <c r="BA53" i="54"/>
  <c r="AH11" i="54"/>
  <c r="BA33" i="54"/>
  <c r="BA55" i="54"/>
  <c r="BA24" i="54"/>
  <c r="BA27" i="54"/>
  <c r="BA56" i="54"/>
  <c r="BA28" i="54"/>
  <c r="BA29" i="54"/>
  <c r="BA34" i="54"/>
  <c r="BA38" i="54"/>
  <c r="BA16" i="54"/>
  <c r="BA50" i="54"/>
  <c r="BA10" i="54"/>
  <c r="BA18" i="54"/>
  <c r="BA20" i="54"/>
  <c r="BA21" i="54"/>
  <c r="BA35" i="54"/>
  <c r="BA31" i="54"/>
  <c r="S19" i="54" a="1"/>
  <c r="S19" i="54" s="1"/>
  <c r="L34" i="7"/>
  <c r="J29" i="43"/>
  <c r="N40" i="43"/>
  <c r="S20" i="54" a="1"/>
  <c r="S20" i="54" s="1"/>
  <c r="S24" i="54" a="1"/>
  <c r="S24" i="54" s="1"/>
  <c r="S36" i="54" a="1"/>
  <c r="S36" i="54" s="1"/>
  <c r="M22" i="7"/>
  <c r="M47" i="7"/>
  <c r="S17" i="54" a="1"/>
  <c r="S17" i="54" s="1"/>
  <c r="M51" i="7"/>
  <c r="L29" i="7"/>
  <c r="S23" i="54" a="1"/>
  <c r="S23" i="54" s="1"/>
  <c r="AH10" i="54"/>
  <c r="S11" i="54" a="1"/>
  <c r="S11" i="54" s="1"/>
  <c r="M49" i="7"/>
  <c r="S18" i="54" a="1"/>
  <c r="S18" i="54" s="1"/>
  <c r="S32" i="54" a="1"/>
  <c r="S32" i="54" s="1"/>
  <c r="M41" i="7"/>
  <c r="S10" i="54" a="1"/>
  <c r="S10" i="54" s="1"/>
  <c r="S28" i="54" a="1"/>
  <c r="S28" i="54" s="1"/>
  <c r="S21" i="54" a="1"/>
  <c r="S21" i="54" s="1"/>
  <c r="S13" i="54" a="1"/>
  <c r="S13" i="54" s="1"/>
  <c r="M15" i="7"/>
  <c r="M46" i="7"/>
  <c r="S16" i="54" a="1"/>
  <c r="S16" i="54" s="1"/>
  <c r="S15" i="54" a="1"/>
  <c r="S15" i="54" s="1"/>
  <c r="S30" i="54" a="1"/>
  <c r="S30" i="54" s="1"/>
  <c r="S14" i="54" a="1"/>
  <c r="S14" i="54" s="1"/>
  <c r="M50" i="7"/>
  <c r="L26" i="7"/>
  <c r="S27" i="54" a="1"/>
  <c r="S27" i="54" s="1"/>
  <c r="S31" i="54" a="1"/>
  <c r="S31" i="54" s="1"/>
  <c r="M14" i="7"/>
  <c r="S35" i="54" a="1"/>
  <c r="S35" i="54" s="1"/>
  <c r="M54" i="7"/>
  <c r="J61" i="43"/>
  <c r="L58" i="7" s="1"/>
  <c r="S33" i="54" a="1"/>
  <c r="S33" i="54" s="1"/>
  <c r="L28" i="7"/>
  <c r="BI10" i="54"/>
  <c r="Y9" i="70" l="1"/>
  <c r="Y15" i="70"/>
  <c r="AI10" i="54"/>
  <c r="O8" i="76"/>
  <c r="R9" i="76"/>
  <c r="R11" i="76"/>
  <c r="O9" i="76"/>
  <c r="R8" i="76"/>
  <c r="P18" i="43"/>
  <c r="P15" i="43"/>
  <c r="L49" i="7"/>
  <c r="N49" i="7" s="1"/>
  <c r="AJ13" i="54"/>
  <c r="M28" i="7"/>
  <c r="AJ12" i="54"/>
  <c r="L8" i="7"/>
  <c r="AJ14" i="54"/>
  <c r="L10" i="7"/>
  <c r="L9" i="7"/>
  <c r="P11" i="43"/>
  <c r="L22" i="7"/>
  <c r="L43" i="7"/>
  <c r="N43" i="7" s="1"/>
  <c r="L11" i="7"/>
  <c r="P22" i="43"/>
  <c r="L54" i="7"/>
  <c r="N54" i="7" s="1"/>
  <c r="L48" i="7"/>
  <c r="N48" i="7" s="1"/>
  <c r="M29" i="7"/>
  <c r="L23" i="7"/>
  <c r="P21" i="43"/>
  <c r="T34" i="54" a="1"/>
  <c r="T34" i="54" s="1"/>
  <c r="U34" i="54" s="1"/>
  <c r="T35" i="54" a="1"/>
  <c r="T35" i="54" s="1"/>
  <c r="U35" i="54" s="1"/>
  <c r="T23" i="54" a="1"/>
  <c r="T23" i="54" s="1"/>
  <c r="U23" i="54" s="1"/>
  <c r="W23" i="54" s="1"/>
  <c r="T16" i="54" a="1"/>
  <c r="T16" i="54" s="1"/>
  <c r="R16" i="54" s="1"/>
  <c r="T11" i="54" a="1"/>
  <c r="T11" i="54" s="1"/>
  <c r="R11" i="54" s="1"/>
  <c r="T29" i="54" a="1"/>
  <c r="T29" i="54" s="1"/>
  <c r="R29" i="54" s="1"/>
  <c r="T28" i="54" a="1"/>
  <c r="T28" i="54" s="1"/>
  <c r="Q28" i="54" s="1"/>
  <c r="T32" i="54" a="1"/>
  <c r="T32" i="54" s="1"/>
  <c r="Q32" i="54" s="1"/>
  <c r="T31" i="54" a="1"/>
  <c r="T31" i="54" s="1"/>
  <c r="R31" i="54" s="1"/>
  <c r="T20" i="54" a="1"/>
  <c r="T20" i="54" s="1"/>
  <c r="U20" i="54" s="1"/>
  <c r="W20" i="54" s="1"/>
  <c r="T21" i="54" a="1"/>
  <c r="T21" i="54" s="1"/>
  <c r="Q21" i="54" s="1"/>
  <c r="H46" i="44" a="1"/>
  <c r="H46" i="44" s="1"/>
  <c r="T12" i="54" a="1"/>
  <c r="T12" i="54" s="1"/>
  <c r="Q12" i="54" s="1"/>
  <c r="T10" i="54" a="1"/>
  <c r="T10" i="54" s="1"/>
  <c r="R10" i="54" s="1"/>
  <c r="T14" i="54" a="1"/>
  <c r="T14" i="54" s="1"/>
  <c r="U14" i="54" s="1"/>
  <c r="W14" i="54" s="1"/>
  <c r="T33" i="54" a="1"/>
  <c r="T33" i="54" s="1"/>
  <c r="R33" i="54" s="1"/>
  <c r="AW61" i="54" a="1"/>
  <c r="K10" i="54" s="1" a="1"/>
  <c r="K10" i="54" s="1"/>
  <c r="T17" i="54" a="1"/>
  <c r="T17" i="54" s="1"/>
  <c r="U17" i="54" s="1"/>
  <c r="W17" i="54" s="1"/>
  <c r="T19" i="54" a="1"/>
  <c r="T19" i="54" s="1"/>
  <c r="Q19" i="54" s="1"/>
  <c r="T24" i="54" a="1"/>
  <c r="T24" i="54" s="1"/>
  <c r="Q24" i="54" s="1"/>
  <c r="T15" i="54" a="1"/>
  <c r="T15" i="54" s="1"/>
  <c r="R15" i="54" s="1"/>
  <c r="T22" i="54" a="1"/>
  <c r="T22" i="54" s="1"/>
  <c r="U22" i="54" s="1"/>
  <c r="W22" i="54" s="1"/>
  <c r="T30" i="54" a="1"/>
  <c r="T30" i="54" s="1"/>
  <c r="U30" i="54" s="1"/>
  <c r="T13" i="54" a="1"/>
  <c r="T13" i="54" s="1"/>
  <c r="Q13" i="54" s="1"/>
  <c r="T26" i="54" a="1"/>
  <c r="T26" i="54" s="1"/>
  <c r="U26" i="54" s="1"/>
  <c r="T18" i="54" a="1"/>
  <c r="T18" i="54" s="1"/>
  <c r="Q18" i="54" s="1"/>
  <c r="T36" i="54" a="1"/>
  <c r="T36" i="54" s="1"/>
  <c r="R36" i="54" s="1"/>
  <c r="T27" i="54" a="1"/>
  <c r="T27" i="54" s="1"/>
  <c r="U27" i="54" s="1"/>
  <c r="T25" i="54" a="1"/>
  <c r="T25" i="54" s="1"/>
  <c r="Q25" i="54" s="1"/>
  <c r="L41" i="7"/>
  <c r="N41" i="7" s="1"/>
  <c r="M33" i="7"/>
  <c r="O33" i="7" s="1"/>
  <c r="P16" i="43"/>
  <c r="AH8" i="54"/>
  <c r="L14" i="7"/>
  <c r="Z8" i="54"/>
  <c r="L46" i="7"/>
  <c r="N46" i="7" s="1"/>
  <c r="P24" i="43"/>
  <c r="M34" i="7"/>
  <c r="O34" i="7" s="1"/>
  <c r="M27" i="7"/>
  <c r="M26" i="7"/>
  <c r="M25" i="7"/>
  <c r="N36" i="43"/>
  <c r="S8" i="54"/>
  <c r="P27" i="43"/>
  <c r="P17" i="43"/>
  <c r="AI8" i="54"/>
  <c r="AJ10" i="54"/>
  <c r="AJ11" i="54"/>
  <c r="CQ11" i="54"/>
  <c r="CP11" i="54"/>
  <c r="CK12" i="54"/>
  <c r="CO10" i="54"/>
  <c r="CS11" i="54"/>
  <c r="CM10" i="54"/>
  <c r="CI11" i="54"/>
  <c r="CK10" i="54"/>
  <c r="CO12" i="54"/>
  <c r="CN11" i="54"/>
  <c r="CI12" i="54"/>
  <c r="CH10" i="54"/>
  <c r="CS10" i="54"/>
  <c r="CK11" i="54"/>
  <c r="CP10" i="54"/>
  <c r="CL10" i="54"/>
  <c r="CN12" i="54"/>
  <c r="CQ12" i="54"/>
  <c r="CO11" i="54"/>
  <c r="CL11" i="54"/>
  <c r="CJ11" i="54"/>
  <c r="CJ10" i="54"/>
  <c r="CQ10" i="54"/>
  <c r="CL12" i="54"/>
  <c r="CJ12" i="54"/>
  <c r="CS12" i="54"/>
  <c r="CM12" i="54"/>
  <c r="CR10" i="54"/>
  <c r="CH12" i="54"/>
  <c r="CI10" i="54"/>
  <c r="CR12" i="54"/>
  <c r="CN10" i="54"/>
  <c r="CM11" i="54"/>
  <c r="CP12" i="54"/>
  <c r="CR11" i="54"/>
  <c r="CH11" i="54"/>
  <c r="R6" i="76" l="1"/>
  <c r="O6" i="76"/>
  <c r="N59" i="7"/>
  <c r="M59" i="7"/>
  <c r="L59" i="7"/>
  <c r="O59" i="7"/>
  <c r="U21" i="54"/>
  <c r="W21" i="54" s="1"/>
  <c r="R21" i="54"/>
  <c r="U10" i="54"/>
  <c r="W10" i="54" s="1"/>
  <c r="Q10" i="54"/>
  <c r="R12" i="54"/>
  <c r="U12" i="54"/>
  <c r="W12" i="54" s="1"/>
  <c r="Q14" i="54"/>
  <c r="Q34" i="54"/>
  <c r="R14" i="54"/>
  <c r="Q35" i="54"/>
  <c r="R35" i="54"/>
  <c r="Q11" i="54"/>
  <c r="U11" i="54"/>
  <c r="W11" i="54" s="1"/>
  <c r="U29" i="54"/>
  <c r="R28" i="54"/>
  <c r="U31" i="54"/>
  <c r="Q23" i="54"/>
  <c r="Q31" i="54"/>
  <c r="R23" i="54"/>
  <c r="R32" i="54"/>
  <c r="U16" i="54"/>
  <c r="W16" i="54" s="1"/>
  <c r="R20" i="54"/>
  <c r="Q29" i="54"/>
  <c r="Q58" i="7"/>
  <c r="U28" i="54"/>
  <c r="R30" i="54"/>
  <c r="Q16" i="54"/>
  <c r="Q20" i="54"/>
  <c r="R34" i="54"/>
  <c r="R13" i="54"/>
  <c r="U13" i="54"/>
  <c r="W13" i="54" s="1"/>
  <c r="Q26" i="54"/>
  <c r="Q36" i="54"/>
  <c r="U32" i="54"/>
  <c r="R24" i="54"/>
  <c r="U36" i="54"/>
  <c r="U24" i="54"/>
  <c r="W24" i="54" s="1"/>
  <c r="Q22" i="54"/>
  <c r="Q30" i="54"/>
  <c r="U33" i="54"/>
  <c r="U25" i="54"/>
  <c r="W25" i="54" s="1"/>
  <c r="Q33" i="54"/>
  <c r="U19" i="54"/>
  <c r="W19" i="54" s="1"/>
  <c r="Q17" i="54"/>
  <c r="R19" i="54"/>
  <c r="R17" i="54"/>
  <c r="R18" i="54"/>
  <c r="Q15" i="54"/>
  <c r="U15" i="54"/>
  <c r="W15" i="54" s="1"/>
  <c r="R25" i="54"/>
  <c r="J13" i="54" a="1"/>
  <c r="J13" i="54" s="1"/>
  <c r="J11" i="54" a="1"/>
  <c r="J11" i="54" s="1"/>
  <c r="J30" i="54" s="1"/>
  <c r="R26" i="54"/>
  <c r="K14" i="54" a="1"/>
  <c r="K14" i="54" s="1"/>
  <c r="R22" i="54"/>
  <c r="J10" i="54" a="1"/>
  <c r="J10" i="54" s="1"/>
  <c r="L10" i="54" s="1"/>
  <c r="U18" i="54"/>
  <c r="W18" i="54" s="1"/>
  <c r="J15" i="54" a="1"/>
  <c r="J15" i="54" s="1"/>
  <c r="K13" i="54" a="1"/>
  <c r="K13" i="54" s="1"/>
  <c r="K12" i="54" a="1"/>
  <c r="K12" i="54" s="1"/>
  <c r="AW61" i="54"/>
  <c r="K18" i="54" s="1" a="1"/>
  <c r="K18" i="54" s="1"/>
  <c r="T8" i="54"/>
  <c r="R27" i="54"/>
  <c r="J14" i="54" a="1"/>
  <c r="J14" i="54" s="1"/>
  <c r="Q27" i="54"/>
  <c r="K11" i="54" a="1"/>
  <c r="K11" i="54" s="1"/>
  <c r="K24" i="54" s="1"/>
  <c r="K15" i="54" a="1"/>
  <c r="K15" i="54" s="1"/>
  <c r="J12" i="54" a="1"/>
  <c r="J12" i="54" s="1"/>
  <c r="Q37" i="7"/>
  <c r="AJ8" i="54"/>
  <c r="R5" i="76" l="1"/>
  <c r="AA14" i="54" a="1"/>
  <c r="AA14" i="54" s="1"/>
  <c r="L13" i="54"/>
  <c r="AA18" i="54" a="1"/>
  <c r="AA18" i="54" s="1"/>
  <c r="AA15" i="54" a="1"/>
  <c r="AA15" i="54" s="1"/>
  <c r="J24" i="54"/>
  <c r="AA19" i="54" a="1"/>
  <c r="AA19" i="54" s="1"/>
  <c r="AA17" i="54" a="1"/>
  <c r="AA17" i="54" s="1"/>
  <c r="L15" i="54"/>
  <c r="AA10" i="54" a="1"/>
  <c r="AA10" i="54" s="1"/>
  <c r="AA11" i="54" a="1"/>
  <c r="AA11" i="54" s="1"/>
  <c r="L12" i="54"/>
  <c r="AA16" i="54" a="1"/>
  <c r="AA16" i="54" s="1"/>
  <c r="K25" i="54"/>
  <c r="W8" i="54"/>
  <c r="U8" i="54"/>
  <c r="K17" i="54" a="1"/>
  <c r="K17" i="54" s="1"/>
  <c r="L17" i="54" s="1"/>
  <c r="AA20" i="54" a="1"/>
  <c r="AA20" i="54" s="1"/>
  <c r="L11" i="54"/>
  <c r="L27" i="54" s="1"/>
  <c r="L14" i="54"/>
  <c r="K27" i="54"/>
  <c r="J25" i="54"/>
  <c r="C5" i="7"/>
  <c r="C6" i="7"/>
  <c r="M6" i="7" s="1" a="1"/>
  <c r="M6" i="7" s="1"/>
  <c r="D10" i="76" l="1" a="1"/>
  <c r="D10" i="76" s="1"/>
  <c r="L6" i="7" a="1"/>
  <c r="L6" i="7" s="1"/>
  <c r="AA8" i="54"/>
  <c r="K30" i="54"/>
  <c r="F16" i="64" l="1"/>
  <c r="W766" i="76" l="1"/>
  <c r="B19" i="64" a="1"/>
  <c r="O1207" i="76" l="1" a="1"/>
  <c r="O1207" i="76" s="1"/>
  <c r="D8" i="76"/>
  <c r="B19" i="64"/>
  <c r="E16"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tc={60857279-41EC-4187-9BFA-70D6AAA47503}</author>
  </authors>
  <commentList>
    <comment ref="D10" authorId="0" shapeId="0" xr:uid="{60857279-41EC-4187-9BFA-70D6AAA47503}">
      <text>
        <t>[Threaded comment]
Your version of Excel allows you to read this threaded comment; however, any edits to it will get removed if the file is opened in a newer version of Excel. Learn more: https://go.microsoft.com/fwlink/?linkid=870924
Comment:
    This says if the current balance is a debit balance or a credit balance. If it's balanced it will say balanced and is green, if it's not balanced it will be red and say what type of balance it is and the amount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tc={286F1A72-96F4-4635-B58C-E4D1971991CC}</author>
  </authors>
  <commentList>
    <comment ref="H6" authorId="0" shapeId="0" xr:uid="{286F1A72-96F4-4635-B58C-E4D1971991CC}">
      <text>
        <t>[Threaded comment]
Your version of Excel allows you to read this threaded comment; however, any edits to it will get removed if the file is opened in a newer version of Excel. Learn more: https://go.microsoft.com/fwlink/?linkid=870924
Comment:
    This is a check to make sure that all account ledgers are included. It compares this list with the List of Ledger Accounts found in Account References tab. A negative number indicates missing accounts, a positive means there are too many. To find a complete list of accounts, you can click on the link above, or there is a complete list of accounts in a grouped tab to the left for an easy side-by-side comparison.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tc={B945A42C-74E7-4A69-989D-BAED2D14AA90}</author>
  </authors>
  <commentList>
    <comment ref="F9" authorId="0" shapeId="0" xr:uid="{B945A42C-74E7-4A69-989D-BAED2D14AA90}">
      <text>
        <t>[Threaded comment]
Your version of Excel allows you to read this threaded comment; however, any edits to it will get removed if the file is opened in a newer version of Excel. Learn more: https://go.microsoft.com/fwlink/?linkid=870924
Comment:
    This is a check to make sure that all account ledgers are included. It compares this list with the List of Ledger Accounts found in Account References tab. A negative number indicates missing accounts, a positive means there are too many. To find a complete list of accounts, you can click on the link above, or there is a complete list of accounts in a grouped tab to the left for an easy side-by-side comparison.</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45C149A-CF54-40A0-8CD9-2F69D6BC342C}" keepAlive="1" name="Query - AcctRef" description="Connection to the 'AcctRef' query in the workbook." type="5" refreshedVersion="0" background="1">
    <dbPr connection="Provider=Microsoft.Mashup.OleDb.1;Data Source=$Workbook$;Location=AcctRef;Extended Properties=&quot;&quot;" command="SELECT * FROM [AcctRef]"/>
  </connection>
  <connection id="2" xr16:uid="{1FF95195-9EA1-4106-830C-A5473CA1C9B1}" keepAlive="1" name="Query - Agg_ActName_ActType" description="Connection to the 'Agg_ActName_ActType' query in the workbook." type="5" refreshedVersion="8" background="1" saveData="1">
    <dbPr connection="Provider=Microsoft.Mashup.OleDb.1;Data Source=$Workbook$;Location=Agg_ActName_ActType;Extended Properties=&quot;&quot;" command="SELECT * FROM [Agg_ActName_ActType]"/>
  </connection>
  <connection id="3" xr16:uid="{61D68A8D-5B20-4B56-82E5-43CC9FDA052F}" keepAlive="1" name="Query - exp_plan" description="Connection to the 'exp_plan' query in the workbook." type="5" refreshedVersion="8" background="1" saveData="1">
    <dbPr connection="Provider=Microsoft.Mashup.OleDb.1;Data Source=$Workbook$;Location=exp_plan;Extended Properties=&quot;&quot;" command="SELECT * FROM [exp_plan]"/>
  </connection>
  <connection id="4" xr16:uid="{96ACE42A-6EEB-4AA3-BECA-40813B5FE606}" keepAlive="1" name="Query - inc_plan" description="Connection to the 'inc_plan' query in the workbook." type="5" refreshedVersion="8" background="1" saveData="1">
    <dbPr connection="Provider=Microsoft.Mashup.OleDb.1;Data Source=$Workbook$;Location=inc_plan;Extended Properties=&quot;&quot;" command="SELECT * FROM [inc_plan]"/>
  </connection>
  <connection id="5" xr16:uid="{3F35228F-9E0A-4959-83CA-D206FBBC6E2F}" keepAlive="1" name="Query - Journal" description="Connection to the 'Journal' query in the workbook." type="5" refreshedVersion="0" background="1">
    <dbPr connection="Provider=Microsoft.Mashup.OleDb.1;Data Source=$Workbook$;Location=Journal;Extended Properties=&quot;&quot;" command="SELECT * FROM [Journal]"/>
  </connection>
  <connection id="6" xr16:uid="{0E590A65-8F76-42D8-973E-DAD3A67B2E24}" keepAlive="1" name="Query - journal_cond" description="Connection to the 'journal_cond' query in the workbook." type="5" refreshedVersion="8" background="1" saveData="1">
    <dbPr connection="Provider=Microsoft.Mashup.OleDb.1;Data Source=$Workbook$;Location=journal_cond;Extended Properties=&quot;&quot;" command="SELECT * FROM [journal_cond]"/>
  </connection>
  <connection id="7" xr16:uid="{91D1057C-2A22-4628-AB00-A1570AFD4637}" keepAlive="1" name="Query - lia_plan" description="Connection to the 'lia_plan' query in the workbook." type="5" refreshedVersion="8" background="1" saveData="1">
    <dbPr connection="Provider=Microsoft.Mashup.OleDb.1;Data Source=$Workbook$;Location=lia_plan;Extended Properties=&quot;&quot;" command="SELECT * FROM [lia_plan]"/>
  </connection>
  <connection id="8" xr16:uid="{4BC7946A-85C7-448E-A90B-DF55187A18F5}" keepAlive="1" name="Query - shop_list" description="Connection to the 'shop_list' query in the workbook." type="5" refreshedVersion="8" background="1" saveData="1">
    <dbPr connection="Provider=Microsoft.Mashup.OleDb.1;Data Source=$Workbook$;Location=shop_list;Extended Properties=&quot;&quot;" command="SELECT * FROM [shop_list]"/>
  </connection>
  <connection id="9" xr16:uid="{0D32702D-BD84-4092-8112-5C389043222B}" keepAlive="1" name="Query - summary_all" description="Connection to the 'summary_all' query in the workbook." type="5" refreshedVersion="8" background="1" saveData="1">
    <dbPr connection="Provider=Microsoft.Mashup.OleDb.1;Data Source=$Workbook$;Location=summary_all;Extended Properties=&quot;&quot;" command="SELECT * FROM [summary_all]"/>
  </connection>
  <connection id="10" xr16:uid="{BB24F2D1-4A71-4E6E-B557-2FF67F4326B9}"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1" xr16:uid="{DB247C17-E006-4536-8090-C1E9E909203E}" name="WorksheetConnection_MyBudget_2024_VBA July 18.xlsm!Journal" type="102" refreshedVersion="8" minRefreshableVersion="5">
    <extLst>
      <ext xmlns:x15="http://schemas.microsoft.com/office/spreadsheetml/2010/11/main" uri="{DE250136-89BD-433C-8126-D09CA5730AF9}">
        <x15:connection id="Journal">
          <x15:rangePr sourceName="_xlcn.WorksheetConnection_MyBudget_2024_VBAJuly18.xlsmJournal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<sst xmlns="http://schemas.openxmlformats.org/spreadsheetml/2006/main" count="5012" uniqueCount="614">
  <si>
    <t>Debit</t>
  </si>
  <si>
    <t>Credit</t>
  </si>
  <si>
    <t>Cash</t>
  </si>
  <si>
    <t>Expense</t>
  </si>
  <si>
    <t>Liability</t>
  </si>
  <si>
    <t>Asset</t>
  </si>
  <si>
    <t>AcctNo</t>
  </si>
  <si>
    <t>Account Payable - CC 1739</t>
  </si>
  <si>
    <t>Act Out Expense</t>
  </si>
  <si>
    <t>AcctType</t>
  </si>
  <si>
    <t>AccountName</t>
  </si>
  <si>
    <t>Account Payable - CC 8524</t>
  </si>
  <si>
    <t>Date</t>
  </si>
  <si>
    <t>PostRef</t>
  </si>
  <si>
    <t>Contra Asset</t>
  </si>
  <si>
    <t>Capital</t>
  </si>
  <si>
    <t>Revenue</t>
  </si>
  <si>
    <t>BalanceID</t>
  </si>
  <si>
    <t>Total</t>
  </si>
  <si>
    <t>Account</t>
  </si>
  <si>
    <t>Trial Balance</t>
  </si>
  <si>
    <t>Debit Balance</t>
  </si>
  <si>
    <t>Credit Balance</t>
  </si>
  <si>
    <t>BalanceType</t>
  </si>
  <si>
    <t>Number</t>
  </si>
  <si>
    <t>Income Statement</t>
  </si>
  <si>
    <t>Current Date:</t>
  </si>
  <si>
    <t>Chequing Account</t>
  </si>
  <si>
    <t>Savings Account</t>
  </si>
  <si>
    <t>Asset - Computer</t>
  </si>
  <si>
    <t>Home</t>
  </si>
  <si>
    <t>Salary Over/Under</t>
  </si>
  <si>
    <t>Prepaid Expense - Life Insurance</t>
  </si>
  <si>
    <t>Gift Card - Amazon</t>
  </si>
  <si>
    <t>Rent Expense</t>
  </si>
  <si>
    <t>Life Insurance Expense</t>
  </si>
  <si>
    <t>Phone Expense</t>
  </si>
  <si>
    <t>TV/Internet Expense</t>
  </si>
  <si>
    <t>Account Ledger Reference</t>
  </si>
  <si>
    <t>Type</t>
  </si>
  <si>
    <t>Title Page</t>
  </si>
  <si>
    <t>Account Name</t>
  </si>
  <si>
    <t>Journal</t>
  </si>
  <si>
    <t>Return to Title Page</t>
  </si>
  <si>
    <t>Go To Reference Page</t>
  </si>
  <si>
    <t>Asset - Shop Tools</t>
  </si>
  <si>
    <t>Asset - Office</t>
  </si>
  <si>
    <t>Loans - OSAP</t>
  </si>
  <si>
    <t>Home Expense</t>
  </si>
  <si>
    <t>Utilities Expense</t>
  </si>
  <si>
    <t>Transportation Expense</t>
  </si>
  <si>
    <t>Medical Expense</t>
  </si>
  <si>
    <t>Shop Expense</t>
  </si>
  <si>
    <t>Education Expense</t>
  </si>
  <si>
    <t>Self-Care Expense</t>
  </si>
  <si>
    <t>MK - Capital</t>
  </si>
  <si>
    <t>uber</t>
  </si>
  <si>
    <t>Income Summary 2024</t>
  </si>
  <si>
    <t>Gift Revenue</t>
  </si>
  <si>
    <t>Reference Sheets</t>
  </si>
  <si>
    <t>Account Reference</t>
  </si>
  <si>
    <t>Links</t>
  </si>
  <si>
    <t># of Records:</t>
  </si>
  <si>
    <t># of Accounts</t>
  </si>
  <si>
    <t>Travel Expense</t>
  </si>
  <si>
    <t>Tab</t>
  </si>
  <si>
    <t>Color &amp; Code</t>
  </si>
  <si>
    <t>Statements</t>
  </si>
  <si>
    <t>Income</t>
  </si>
  <si>
    <t>Equity</t>
  </si>
  <si>
    <t>Balance</t>
  </si>
  <si>
    <t>Cash Flow</t>
  </si>
  <si>
    <t>Reference Sheet</t>
  </si>
  <si>
    <t>Account Ledgers</t>
  </si>
  <si>
    <t>FinAssets</t>
  </si>
  <si>
    <t>QCH</t>
  </si>
  <si>
    <t>RevOther</t>
  </si>
  <si>
    <t>PP Expenses</t>
  </si>
  <si>
    <t>Debt</t>
  </si>
  <si>
    <t>Home&amp;Util</t>
  </si>
  <si>
    <t>OtherAssets</t>
  </si>
  <si>
    <t>Food Expenses</t>
  </si>
  <si>
    <t>ExpMain</t>
  </si>
  <si>
    <t>AccountNo.</t>
  </si>
  <si>
    <t>Credit Total</t>
  </si>
  <si>
    <t>Debit Total</t>
  </si>
  <si>
    <t>Last Record:</t>
  </si>
  <si>
    <t>Revenue Other</t>
  </si>
  <si>
    <t>Unknown Expense</t>
  </si>
  <si>
    <t>Balance Calculations</t>
  </si>
  <si>
    <t>Prepaid Expense - Self-Care</t>
  </si>
  <si>
    <t>Purchase Returns</t>
  </si>
  <si>
    <t xml:space="preserve">Prepaid Expense - Office </t>
  </si>
  <si>
    <t>Number of Accounts:</t>
  </si>
  <si>
    <t>Life Insurance</t>
  </si>
  <si>
    <t>Amount</t>
  </si>
  <si>
    <t>Debit - Credit</t>
  </si>
  <si>
    <t>Credit - Balance</t>
  </si>
  <si>
    <t>Trial Balance:</t>
  </si>
  <si>
    <t>`</t>
  </si>
  <si>
    <t>No. of Accounts</t>
  </si>
  <si>
    <t>Balance Status</t>
  </si>
  <si>
    <t>Prepaid Expense - Transportation</t>
  </si>
  <si>
    <t>RRSP</t>
  </si>
  <si>
    <t>TFSA Investia</t>
  </si>
  <si>
    <t>Account Payable - Personal</t>
  </si>
  <si>
    <t>Row Labels</t>
  </si>
  <si>
    <t>Grand Total</t>
  </si>
  <si>
    <t>Jan</t>
  </si>
  <si>
    <t>Feb</t>
  </si>
  <si>
    <t>Mar</t>
  </si>
  <si>
    <t>Apr</t>
  </si>
  <si>
    <t>May</t>
  </si>
  <si>
    <t>Dec</t>
  </si>
  <si>
    <t>Column Labels</t>
  </si>
  <si>
    <t>bus tickets</t>
  </si>
  <si>
    <t>IncStat Debit Balance</t>
  </si>
  <si>
    <t>IncStat Credit Balance</t>
  </si>
  <si>
    <t>s</t>
  </si>
  <si>
    <t>car gas</t>
  </si>
  <si>
    <t>Tax Sales</t>
  </si>
  <si>
    <t>Aggreation Current</t>
  </si>
  <si>
    <t>Aggreation SOY</t>
  </si>
  <si>
    <t>Aggreation EOY</t>
  </si>
  <si>
    <t>Jun</t>
  </si>
  <si>
    <t>Net Worth</t>
  </si>
  <si>
    <t>Total Liabilities</t>
  </si>
  <si>
    <t>Total Expenses</t>
  </si>
  <si>
    <t>Total Assets</t>
  </si>
  <si>
    <t>Office &amp; Computer Expense</t>
  </si>
  <si>
    <t xml:space="preserve">                                                                                                                                        </t>
  </si>
  <si>
    <t>bill phone</t>
  </si>
  <si>
    <t>rent</t>
  </si>
  <si>
    <t>sub amazon music</t>
  </si>
  <si>
    <t>sub skillshare</t>
  </si>
  <si>
    <t>sub guardian</t>
  </si>
  <si>
    <t>sub yt premium</t>
  </si>
  <si>
    <t xml:space="preserve">sub iobit uninstaller </t>
  </si>
  <si>
    <t xml:space="preserve">sub iobit driver booster </t>
  </si>
  <si>
    <t xml:space="preserve">sub iobit system care </t>
  </si>
  <si>
    <t>sub prime</t>
  </si>
  <si>
    <t>sub acronis</t>
  </si>
  <si>
    <t>sub kindle</t>
  </si>
  <si>
    <t>meds zoloft</t>
  </si>
  <si>
    <t>sub office 365</t>
  </si>
  <si>
    <t>gifts Christmas</t>
  </si>
  <si>
    <t>bill internet</t>
  </si>
  <si>
    <t>tuition</t>
  </si>
  <si>
    <t>sub deviant art</t>
  </si>
  <si>
    <t>sub dropout TV</t>
  </si>
  <si>
    <t>sub netflix</t>
  </si>
  <si>
    <t>Sub chatGPT</t>
  </si>
  <si>
    <t>sub Github</t>
  </si>
  <si>
    <t>sub creative fabrica</t>
  </si>
  <si>
    <t>b</t>
  </si>
  <si>
    <t>sub spotify</t>
  </si>
  <si>
    <t>Nov</t>
  </si>
  <si>
    <t>Oct</t>
  </si>
  <si>
    <t>Sep</t>
  </si>
  <si>
    <t>Aug</t>
  </si>
  <si>
    <t>Jul</t>
  </si>
  <si>
    <t>Status</t>
  </si>
  <si>
    <t>PRIO</t>
  </si>
  <si>
    <t>Fix/Flex</t>
  </si>
  <si>
    <t>Trans. Type</t>
  </si>
  <si>
    <t>Year</t>
  </si>
  <si>
    <t>over budget</t>
  </si>
  <si>
    <t>on budget</t>
  </si>
  <si>
    <t>under budget</t>
  </si>
  <si>
    <t>Expense Planning</t>
  </si>
  <si>
    <t>Paul Birthday</t>
  </si>
  <si>
    <t>Shop_List</t>
  </si>
  <si>
    <t>car maintain oil change</t>
  </si>
  <si>
    <t>GPU</t>
  </si>
  <si>
    <t>Item</t>
  </si>
  <si>
    <t>Prio</t>
  </si>
  <si>
    <t>Shopping List</t>
  </si>
  <si>
    <t>DesID_1</t>
  </si>
  <si>
    <t>Trans_Type</t>
  </si>
  <si>
    <t>DesID_Full</t>
  </si>
  <si>
    <t>car insurance</t>
  </si>
  <si>
    <t>sub stack tv</t>
  </si>
  <si>
    <t>Prepaid Expense - Rent</t>
  </si>
  <si>
    <t>credit balance debit</t>
  </si>
  <si>
    <t>Details</t>
  </si>
  <si>
    <t>groceries</t>
  </si>
  <si>
    <t>date connect</t>
  </si>
  <si>
    <t>video games</t>
  </si>
  <si>
    <t>books</t>
  </si>
  <si>
    <t>school supplies</t>
  </si>
  <si>
    <t>life insurance</t>
  </si>
  <si>
    <t>e-transfer</t>
  </si>
  <si>
    <t>balance holder</t>
  </si>
  <si>
    <t>salary qch</t>
  </si>
  <si>
    <t>tutor</t>
  </si>
  <si>
    <t>insurance claim</t>
  </si>
  <si>
    <t>furniture</t>
  </si>
  <si>
    <t>cleaning supplies</t>
  </si>
  <si>
    <t>computer parts</t>
  </si>
  <si>
    <t>date solo</t>
  </si>
  <si>
    <t>act out food</t>
  </si>
  <si>
    <t>act out sex</t>
  </si>
  <si>
    <t>bursary</t>
  </si>
  <si>
    <t>tax refund</t>
  </si>
  <si>
    <t>art</t>
  </si>
  <si>
    <t>clothes</t>
  </si>
  <si>
    <t>medical supplies</t>
  </si>
  <si>
    <t>bike maintenance</t>
  </si>
  <si>
    <t>hygiene products</t>
  </si>
  <si>
    <t>computer peripherals</t>
  </si>
  <si>
    <t>shop supplies</t>
  </si>
  <si>
    <t>Nutrition Expense</t>
  </si>
  <si>
    <t>Connect Expense</t>
  </si>
  <si>
    <t>gift</t>
  </si>
  <si>
    <t>Salary Revenue</t>
  </si>
  <si>
    <t>Government Revenue</t>
  </si>
  <si>
    <t>shop tools</t>
  </si>
  <si>
    <t>classes</t>
  </si>
  <si>
    <t>home maintenance</t>
  </si>
  <si>
    <t>phone maintenance</t>
  </si>
  <si>
    <t>appliances</t>
  </si>
  <si>
    <t>home décor</t>
  </si>
  <si>
    <t>movies</t>
  </si>
  <si>
    <t>car maintainenance</t>
  </si>
  <si>
    <t>car supplies</t>
  </si>
  <si>
    <t>bike supplies</t>
  </si>
  <si>
    <t>bike</t>
  </si>
  <si>
    <t>office supplies</t>
  </si>
  <si>
    <t>unknown Amazon purchase</t>
  </si>
  <si>
    <t>textbooks</t>
  </si>
  <si>
    <t>electronics other</t>
  </si>
  <si>
    <t>rent adjustment</t>
  </si>
  <si>
    <t>phoneix membership</t>
  </si>
  <si>
    <t>purchase return</t>
  </si>
  <si>
    <t>therapy</t>
  </si>
  <si>
    <t>takeout/restaurant</t>
  </si>
  <si>
    <t>computer software</t>
  </si>
  <si>
    <t>sub iobit mix</t>
  </si>
  <si>
    <t>sub shudder</t>
  </si>
  <si>
    <t>gift card</t>
  </si>
  <si>
    <t>credit payment</t>
  </si>
  <si>
    <t>self care misc.</t>
  </si>
  <si>
    <t>amazon purchase mix</t>
  </si>
  <si>
    <t>fall school school supplies</t>
  </si>
  <si>
    <t>unknown transaction</t>
  </si>
  <si>
    <t>home supplies misc.</t>
  </si>
  <si>
    <t>sub prime video ad-free</t>
  </si>
  <si>
    <t>CPAP machine</t>
  </si>
  <si>
    <t>Amazon Purchase mix</t>
  </si>
  <si>
    <t>mobility supplies/tools</t>
  </si>
  <si>
    <t>parking</t>
  </si>
  <si>
    <t>kitchen supplies/tools</t>
  </si>
  <si>
    <t>withdrawal</t>
  </si>
  <si>
    <t>service fee</t>
  </si>
  <si>
    <t>Sum of Amount</t>
  </si>
  <si>
    <t>Source</t>
  </si>
  <si>
    <t>bedding supplies</t>
  </si>
  <si>
    <t>games</t>
  </si>
  <si>
    <t>Acct. Name</t>
  </si>
  <si>
    <t>Acct. No.</t>
  </si>
  <si>
    <t>Beginning Balance:</t>
  </si>
  <si>
    <t>Balance Type:</t>
  </si>
  <si>
    <t>unknown government income</t>
  </si>
  <si>
    <t>Post Ref.</t>
  </si>
  <si>
    <t xml:space="preserve">Debit </t>
  </si>
  <si>
    <t>Other</t>
  </si>
  <si>
    <t>Federal (Sate Income Taxes)</t>
  </si>
  <si>
    <r>
      <rPr>
        <sz val="10"/>
        <color rgb="FF253734"/>
        <rFont val="Wingdings"/>
        <charset val="2"/>
      </rPr>
      <t>o</t>
    </r>
    <r>
      <rPr>
        <sz val="10"/>
        <color rgb="FF253734"/>
        <rFont val="Ebrima"/>
      </rPr>
      <t xml:space="preserve"> Yes       </t>
    </r>
    <r>
      <rPr>
        <sz val="10"/>
        <color rgb="FF253734"/>
        <rFont val="Wingdings"/>
        <charset val="2"/>
      </rPr>
      <t>þ</t>
    </r>
    <r>
      <rPr>
        <sz val="10"/>
        <color rgb="FF253734"/>
        <rFont val="Ebrima"/>
      </rPr>
      <t xml:space="preserve">  No</t>
    </r>
  </si>
  <si>
    <t>Ever declared Bankrupt?</t>
  </si>
  <si>
    <t>Legal Claims</t>
  </si>
  <si>
    <t>On Leases or Contracts</t>
  </si>
  <si>
    <t>Defendant in any Suits?</t>
  </si>
  <si>
    <t>As Endorses, Co-maker or Guarantor</t>
  </si>
  <si>
    <t>Are any Assets Pledged?</t>
  </si>
  <si>
    <t>CONTINGENT LIABILITIES</t>
  </si>
  <si>
    <t>GENERAL INFORMATION</t>
  </si>
  <si>
    <t>Total Estimated Annual Expenses</t>
  </si>
  <si>
    <t>Total Annual Income</t>
  </si>
  <si>
    <t>b)</t>
  </si>
  <si>
    <t>e)</t>
  </si>
  <si>
    <t>None</t>
  </si>
  <si>
    <t>a)</t>
  </si>
  <si>
    <t>d)</t>
  </si>
  <si>
    <t>Other Expenses</t>
  </si>
  <si>
    <t>Other Income</t>
  </si>
  <si>
    <t>ESTIMATED ANNUAL EXPENSES</t>
  </si>
  <si>
    <t>ANNUAL INCOME</t>
  </si>
  <si>
    <t>Total Liabilities &amp; Net Worth</t>
  </si>
  <si>
    <t>c)</t>
  </si>
  <si>
    <t>Other Assets:</t>
  </si>
  <si>
    <t>Other Debts:</t>
  </si>
  <si>
    <t>Total Current Liabilities</t>
  </si>
  <si>
    <t>Other Liabilities Due within 1 year</t>
  </si>
  <si>
    <t>Total Current Assets</t>
  </si>
  <si>
    <t>Other Assets Readily Convertible:</t>
  </si>
  <si>
    <t>Value</t>
  </si>
  <si>
    <t>LIABILITIES</t>
  </si>
  <si>
    <t>ASSETS</t>
  </si>
  <si>
    <t>&lt;No. Dependents&gt;</t>
  </si>
  <si>
    <t>Dependents:</t>
  </si>
  <si>
    <t>&lt;Telephone Number&gt;</t>
  </si>
  <si>
    <t>Home Tel. No.</t>
  </si>
  <si>
    <t>mm/dd/yyyy</t>
  </si>
  <si>
    <t>Birthday</t>
  </si>
  <si>
    <t>&lt;Address&gt;</t>
  </si>
  <si>
    <t>City. State, Zip</t>
  </si>
  <si>
    <t>&lt;SSN&gt;</t>
  </si>
  <si>
    <t>SSN</t>
  </si>
  <si>
    <t>Address</t>
  </si>
  <si>
    <t>Statement Date</t>
  </si>
  <si>
    <t>John Smith</t>
  </si>
  <si>
    <t>Name</t>
  </si>
  <si>
    <t>PERSONAL INFORMATION</t>
  </si>
  <si>
    <t>PERSONAL FINANCIAL STATEMENT</t>
  </si>
  <si>
    <t>Pers. State. ID</t>
  </si>
  <si>
    <t>ID</t>
  </si>
  <si>
    <t>Savings</t>
  </si>
  <si>
    <t>Cash, Chequing</t>
  </si>
  <si>
    <t>Home Expenses</t>
  </si>
  <si>
    <t>donation wikipedia</t>
  </si>
  <si>
    <t>donation yuumei</t>
  </si>
  <si>
    <t>life insurance expense</t>
  </si>
  <si>
    <t>Assets Misc.</t>
  </si>
  <si>
    <t>Accounts Receiveable- Personal</t>
  </si>
  <si>
    <t>Credit Card Payable</t>
  </si>
  <si>
    <t>Notes Payable Personal</t>
  </si>
  <si>
    <t>Loan OSAP</t>
  </si>
  <si>
    <t>Revenue Salary</t>
  </si>
  <si>
    <t>Utilities, Network</t>
  </si>
  <si>
    <t>Self-Care Mix</t>
  </si>
  <si>
    <t>Current Balance:</t>
  </si>
  <si>
    <t>(All)</t>
  </si>
  <si>
    <t>Planned</t>
  </si>
  <si>
    <t>Actual</t>
  </si>
  <si>
    <t>sub chatGPT</t>
  </si>
  <si>
    <t>nutrition/act out mixed</t>
  </si>
  <si>
    <t>Diff</t>
  </si>
  <si>
    <t>% Diff. &lt;1</t>
  </si>
  <si>
    <t>% Diff. &gt;1</t>
  </si>
  <si>
    <t>mom</t>
  </si>
  <si>
    <t>Income Planning</t>
  </si>
  <si>
    <t>Liability Planning</t>
  </si>
  <si>
    <t>Asset Planning</t>
  </si>
  <si>
    <t>loan osap</t>
  </si>
  <si>
    <t>jazz</t>
  </si>
  <si>
    <t>loan collection</t>
  </si>
  <si>
    <t>credit equalization</t>
  </si>
  <si>
    <t>sub paramount plus</t>
  </si>
  <si>
    <t>gift cash</t>
  </si>
  <si>
    <t>Inc_Plan</t>
  </si>
  <si>
    <t>Exp_Plan</t>
  </si>
  <si>
    <t>Lia_Plan</t>
  </si>
  <si>
    <t xml:space="preserve">  </t>
  </si>
  <si>
    <t>Accounts</t>
  </si>
  <si>
    <t>Over/Under</t>
  </si>
  <si>
    <t>Accounts/Items</t>
  </si>
  <si>
    <t>Append_Journal</t>
  </si>
  <si>
    <t>Account_Type</t>
  </si>
  <si>
    <t>Key Indicators</t>
  </si>
  <si>
    <t>Cash Equivalent</t>
  </si>
  <si>
    <t>Short-Term Debt</t>
  </si>
  <si>
    <t>Account Payable - Home Depot</t>
  </si>
  <si>
    <t>School Loans</t>
  </si>
  <si>
    <t>Income Salary</t>
  </si>
  <si>
    <t>Income Other</t>
  </si>
  <si>
    <t>Nutrition</t>
  </si>
  <si>
    <t>Act Out</t>
  </si>
  <si>
    <t>Education</t>
  </si>
  <si>
    <t>Transportation</t>
  </si>
  <si>
    <t>Investments</t>
  </si>
  <si>
    <t>Assets Prepaid</t>
  </si>
  <si>
    <t>sub coursera</t>
  </si>
  <si>
    <t>Subs &amp; Donations</t>
  </si>
  <si>
    <t>KPI</t>
  </si>
  <si>
    <t>All Accounts</t>
  </si>
  <si>
    <t>Detail</t>
  </si>
  <si>
    <t>Account Type</t>
  </si>
  <si>
    <t>Budget</t>
  </si>
  <si>
    <t>Totals:</t>
  </si>
  <si>
    <t>Account/Items</t>
  </si>
  <si>
    <t>Aggregated Accounts</t>
  </si>
  <si>
    <t>blank</t>
  </si>
  <si>
    <t>list of accounts</t>
  </si>
  <si>
    <t>list of items</t>
  </si>
  <si>
    <t>list of aggregated accounts</t>
  </si>
  <si>
    <t>Account Types</t>
  </si>
  <si>
    <t>Select by Item</t>
  </si>
  <si>
    <t>Select by Account</t>
  </si>
  <si>
    <t>Select by Account Type</t>
  </si>
  <si>
    <t>Aggregated Account</t>
  </si>
  <si>
    <t>Account_Types</t>
  </si>
  <si>
    <t>account types</t>
  </si>
  <si>
    <t>aggregated accoutns</t>
  </si>
  <si>
    <t>list of accoutns</t>
  </si>
  <si>
    <t xml:space="preserve">blank </t>
  </si>
  <si>
    <t>AggAcctName</t>
  </si>
  <si>
    <t>Select by Aggregated Accounts</t>
  </si>
  <si>
    <t>Net Profit Subtotal:</t>
  </si>
  <si>
    <t>batteries</t>
  </si>
  <si>
    <t>Choose 'Select by Item'</t>
  </si>
  <si>
    <t>KPI Summary</t>
  </si>
  <si>
    <t>Table of Contents</t>
  </si>
  <si>
    <t>Summary</t>
  </si>
  <si>
    <t>Month Analysis</t>
  </si>
  <si>
    <t xml:space="preserve">Yearly Analysis </t>
  </si>
  <si>
    <t>Agg. Acct Name</t>
  </si>
  <si>
    <t>Property</t>
  </si>
  <si>
    <t>Long-Term Debt</t>
  </si>
  <si>
    <t>Transportation Expenses</t>
  </si>
  <si>
    <t>Act Out Expenses</t>
  </si>
  <si>
    <t>Self-Care Expenses</t>
  </si>
  <si>
    <t>Aggregated Accounts (DashBoard)</t>
  </si>
  <si>
    <t>AggActDash</t>
  </si>
  <si>
    <t>AggActFinState</t>
  </si>
  <si>
    <t>Aggregated Accounts (Financial Statement)</t>
  </si>
  <si>
    <t>Short-Term Debt Other</t>
  </si>
  <si>
    <t>Short-Term Debt Credit</t>
  </si>
  <si>
    <t>Expenses Other</t>
  </si>
  <si>
    <t>Expenses</t>
  </si>
  <si>
    <t>Assets:</t>
  </si>
  <si>
    <t>Choose an Option:</t>
  </si>
  <si>
    <t>retro expense payments</t>
  </si>
  <si>
    <t>Actual Differnce (Cash Equivalents):</t>
  </si>
  <si>
    <t>Sub Total (Cash Equivalent)</t>
  </si>
  <si>
    <t>Aggregated Items</t>
  </si>
  <si>
    <t>AggItemID</t>
  </si>
  <si>
    <t>AggItem</t>
  </si>
  <si>
    <t>Total Revenue</t>
  </si>
  <si>
    <t>Net Profit</t>
  </si>
  <si>
    <t>Total Contra Assets</t>
  </si>
  <si>
    <t>Total Capital</t>
  </si>
  <si>
    <t>Current Ratio</t>
  </si>
  <si>
    <t>END</t>
  </si>
  <si>
    <t>quick ratio</t>
  </si>
  <si>
    <t>sum of cash equivalents</t>
  </si>
  <si>
    <t>initializing</t>
  </si>
  <si>
    <t>sum of shorter term debt</t>
  </si>
  <si>
    <t>Sub Total</t>
  </si>
  <si>
    <t>Amount Remaining</t>
  </si>
  <si>
    <t>Actual Cash Equivalent</t>
  </si>
  <si>
    <t>List of KPI's</t>
  </si>
  <si>
    <t>planned</t>
  </si>
  <si>
    <t>actu</t>
  </si>
  <si>
    <t>diff</t>
  </si>
  <si>
    <t>Timeline Pivot Table</t>
  </si>
  <si>
    <t>Timeline Data (choice of 3 and KPI's)</t>
  </si>
  <si>
    <t>unknown revenue</t>
  </si>
  <si>
    <t>personal sales</t>
  </si>
  <si>
    <t>Account Actual</t>
  </si>
  <si>
    <t>Account Budget</t>
  </si>
  <si>
    <t>Item Actual</t>
  </si>
  <si>
    <t>Item Budget</t>
  </si>
  <si>
    <t>1,4,5</t>
  </si>
  <si>
    <t>1,3,5</t>
  </si>
  <si>
    <t>1,5,6</t>
  </si>
  <si>
    <t>1,4,6</t>
  </si>
  <si>
    <t>Income:</t>
  </si>
  <si>
    <t>Liabilities:</t>
  </si>
  <si>
    <t>Expenses:</t>
  </si>
  <si>
    <t>balancing credit card</t>
  </si>
  <si>
    <t>dentist</t>
  </si>
  <si>
    <t>Timeline</t>
  </si>
  <si>
    <t>Lists</t>
  </si>
  <si>
    <t>My Dashboard</t>
  </si>
  <si>
    <t>(1-3: Custom, 4-10: KPI's)</t>
  </si>
  <si>
    <t>pest control</t>
  </si>
  <si>
    <t>Robbie</t>
  </si>
  <si>
    <t>food mixed</t>
  </si>
  <si>
    <t>phone parts</t>
  </si>
  <si>
    <t>sub tinder</t>
  </si>
  <si>
    <t>balancing account</t>
  </si>
  <si>
    <t>chequing</t>
  </si>
  <si>
    <t>credit card 1739</t>
  </si>
  <si>
    <t>revenue interest</t>
  </si>
  <si>
    <t>Sub Total (Non-Cash Equivalent):</t>
  </si>
  <si>
    <t>cash</t>
  </si>
  <si>
    <t>balacing account</t>
  </si>
  <si>
    <t/>
  </si>
  <si>
    <t>Account Payable - School</t>
  </si>
  <si>
    <t>misc school fees</t>
  </si>
  <si>
    <t>breakdown for loan</t>
  </si>
  <si>
    <t>grant</t>
  </si>
  <si>
    <t>loan</t>
  </si>
  <si>
    <t>fall</t>
  </si>
  <si>
    <t>deposited amount</t>
  </si>
  <si>
    <t>chequing adjustment</t>
  </si>
  <si>
    <t>Unknown Revenue</t>
  </si>
  <si>
    <t>grant revenue</t>
  </si>
  <si>
    <t>advanced payment of rent</t>
  </si>
  <si>
    <t>advanced payment of bill internet</t>
  </si>
  <si>
    <t>nutritional supplements</t>
  </si>
  <si>
    <t>My Budget</t>
  </si>
  <si>
    <t>Planners</t>
  </si>
  <si>
    <t>Revenue/Income</t>
  </si>
  <si>
    <t xml:space="preserve">Shopping List </t>
  </si>
  <si>
    <t xml:space="preserve">Expenses </t>
  </si>
  <si>
    <t>medication</t>
  </si>
  <si>
    <t>sub disney+</t>
  </si>
  <si>
    <t>sub adobe</t>
  </si>
  <si>
    <t>Debt Expense</t>
  </si>
  <si>
    <t>mix receivable/personl</t>
  </si>
  <si>
    <t>Receivable Expense</t>
  </si>
  <si>
    <t>uber escort</t>
  </si>
  <si>
    <t>Misc Expense</t>
  </si>
  <si>
    <t>revenue misc</t>
  </si>
  <si>
    <t>Income Statement Calculations</t>
  </si>
  <si>
    <t>Revenue Accounts</t>
  </si>
  <si>
    <t>Expense Accounts</t>
  </si>
  <si>
    <t>Asset Accounts</t>
  </si>
  <si>
    <t>Revenues</t>
  </si>
  <si>
    <t>Balance Sheet Calculations</t>
  </si>
  <si>
    <t>Assets</t>
  </si>
  <si>
    <t>Current Assets</t>
  </si>
  <si>
    <t>Non-current Assests</t>
  </si>
  <si>
    <t>Total Non-current Assets</t>
  </si>
  <si>
    <t>Total Assests</t>
  </si>
  <si>
    <t>Liabilities</t>
  </si>
  <si>
    <t>Current Liabilities</t>
  </si>
  <si>
    <t>Non-Current Liabilities</t>
  </si>
  <si>
    <t>Shareholders Equaity</t>
  </si>
  <si>
    <t>Retained Earnings</t>
  </si>
  <si>
    <t>Total Equity</t>
  </si>
  <si>
    <t>Total Liabilities and Equity</t>
  </si>
  <si>
    <t>AccountType</t>
  </si>
  <si>
    <t>TransNo</t>
  </si>
  <si>
    <t>TransType</t>
  </si>
  <si>
    <t>CAA membership</t>
  </si>
  <si>
    <t xml:space="preserve">Hello, and welcome to MyBudget. This is a tool that can plan, track, analyze expenses, income, and savings. 
</t>
  </si>
  <si>
    <t>Contains all the account ledger names and items tracked</t>
  </si>
  <si>
    <t>sub apple tv</t>
  </si>
  <si>
    <t>There are a variety of tools to help you get better control over your fiances, so feel free to use some of the quick links provided or</t>
  </si>
  <si>
    <t xml:space="preserve"> refer to the overview to give a more detailed explanation of how things work</t>
  </si>
  <si>
    <t>January 2, 2026</t>
  </si>
  <si>
    <t>January 3, 2026</t>
  </si>
  <si>
    <t>January 1, 2026</t>
  </si>
  <si>
    <t>January 5, 2026</t>
  </si>
  <si>
    <t>January 8, 2026</t>
  </si>
  <si>
    <t>January 10, 2026</t>
  </si>
  <si>
    <t>January 6, 2026</t>
  </si>
  <si>
    <t>January 7, 2026</t>
  </si>
  <si>
    <t>January 12, 2026</t>
  </si>
  <si>
    <t>January 14, 2026</t>
  </si>
  <si>
    <t>January 20, 2026</t>
  </si>
  <si>
    <t>January 4, 2026</t>
  </si>
  <si>
    <t>January 13, 2026</t>
  </si>
  <si>
    <t>January 26, 2026</t>
  </si>
  <si>
    <t>January 11, 2026</t>
  </si>
  <si>
    <t>January 18, 2026</t>
  </si>
  <si>
    <t>January 23, 2026</t>
  </si>
  <si>
    <t>January 9, 2026</t>
  </si>
  <si>
    <t>January 15, 2026</t>
  </si>
  <si>
    <t>January 19, 2026</t>
  </si>
  <si>
    <t>January 22, 2026</t>
  </si>
  <si>
    <t>January 28, 2026</t>
  </si>
  <si>
    <t>January 17, 2026</t>
  </si>
  <si>
    <t>January 21, 2026</t>
  </si>
  <si>
    <t>January 29, 2026</t>
  </si>
  <si>
    <t>January 16, 2026</t>
  </si>
  <si>
    <t>January 24, 2026</t>
  </si>
  <si>
    <t>January 27, 2026</t>
  </si>
  <si>
    <t>January 25, 2026</t>
  </si>
  <si>
    <t>January 30, 2026</t>
  </si>
  <si>
    <t>January 31, 2026</t>
  </si>
  <si>
    <t>streaming rental</t>
  </si>
  <si>
    <t>concert tickets</t>
  </si>
  <si>
    <t>Entertainment Expense</t>
  </si>
  <si>
    <t>Credit Amount</t>
  </si>
  <si>
    <t>Debit Amount</t>
  </si>
  <si>
    <t>date</t>
  </si>
  <si>
    <t>Quick Summary and Notes</t>
  </si>
  <si>
    <t>How To Use Asset Plan</t>
  </si>
  <si>
    <t>1. Select "Type". Either Budget or Actual</t>
  </si>
  <si>
    <t>2. Excel will auto calculate Net Profit from either summary of Journal or Planning Sheets, depending on selection</t>
  </si>
  <si>
    <t>To see instructions on how to use asset plan, open the closed group by clicking on the "+" sign at the top of the sheet.</t>
  </si>
  <si>
    <t>3. Split the Net Profit up by placing the appropriate amount into each account.</t>
  </si>
  <si>
    <t>The primary tracker where transactions are recorded</t>
  </si>
  <si>
    <t>Dynamic list where you can see all transactions for a given account</t>
  </si>
  <si>
    <t>Gives the trial balance for each account.</t>
  </si>
  <si>
    <t>Worksheet that acts as a staging area for Trial Balances</t>
  </si>
  <si>
    <t>Plans total assets based on budgeted or actual income, expenses and liabilities</t>
  </si>
  <si>
    <t>Planner used for liabilities</t>
  </si>
  <si>
    <t>Used to plan revenue</t>
  </si>
  <si>
    <t>Used to plan expenses</t>
  </si>
  <si>
    <t>Companion planner with expenses. Tracks specific, one-time items, rather than monthly expenses</t>
  </si>
  <si>
    <t>source</t>
  </si>
  <si>
    <t>item</t>
  </si>
  <si>
    <t>account_type</t>
  </si>
  <si>
    <t>account_name</t>
  </si>
  <si>
    <t>amount</t>
  </si>
  <si>
    <t>The best place to start is the Table of Contents. Links to all the pages can be found there.</t>
  </si>
  <si>
    <t>name</t>
  </si>
  <si>
    <t>debit increase</t>
  </si>
  <si>
    <t>credit increase</t>
  </si>
  <si>
    <t>Data Validation Lists</t>
  </si>
  <si>
    <t>List Name</t>
  </si>
  <si>
    <t>Account Names</t>
  </si>
  <si>
    <t># rows in source</t>
  </si>
  <si>
    <t># rows in unique</t>
  </si>
  <si>
    <t>Row Difference</t>
  </si>
  <si>
    <t>Item Name</t>
  </si>
  <si>
    <t>item_acct_name</t>
  </si>
  <si>
    <t>acct</t>
  </si>
  <si>
    <t>Subscription Items</t>
  </si>
  <si>
    <t>Aggregated Account Names = Dashboard</t>
  </si>
  <si>
    <t>Account Numbers</t>
  </si>
  <si>
    <t>Balance Type</t>
  </si>
  <si>
    <t>actual</t>
  </si>
  <si>
    <t>inc_plan</t>
  </si>
  <si>
    <t>exp_plan</t>
  </si>
  <si>
    <t>shop_list</t>
  </si>
  <si>
    <t>asset_plan</t>
  </si>
  <si>
    <t>Source Types</t>
  </si>
  <si>
    <t>src_name</t>
  </si>
  <si>
    <t>lia_plan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</si>
</sst>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43" formatCode="_(* #,##0.00_);_(* \(#,##0.00\);_(* &quot;-&quot;??_);_(@_)"/>
    <numFmt numFmtId="164" formatCode="mmm/dd/yy"/>
    <numFmt numFmtId="165" formatCode="&quot;$&quot;#,##0.00"/>
    <numFmt numFmtId="166" formatCode="mmm\ dd\,\ yy"/>
    <numFmt numFmtId="167" formatCode="dd//mmm/yy"/>
    <numFmt numFmtId="168" formatCode="yyyy"/>
    <numFmt numFmtId="169" formatCode="mmm"/>
    <numFmt numFmtId="170" formatCode="_-&quot;$&quot;* #,##0.00_-;\-&quot;$&quot;* #,##0.00_-;_-&quot;$&quot;* &quot;-&quot;??_-;_-@_-"/>
    <numFmt numFmtId="171" formatCode="dd/mmm/yy"/>
  </numFmts>
  <fonts count="61" x14ac:knownFonts="1">
    <font>
      <sz val="11"/>
      <color theme="1"/>
      <name val="Aptos Narrow"/>
      <family val="2"/>
      <scheme val="minor"/>
    </font>
    <font>
      <b/>
      <sz val="11"/>
      <color theme="1"/>
      <name val="Aptos Narrow"/>
      <family val="2"/>
      <scheme val="minor"/>
    </font>
    <font>
      <sz val="11"/>
      <color theme="1"/>
      <name val="Calibri"/>
      <family val="2"/>
    </font>
    <font>
      <b/>
      <i/>
      <sz val="11"/>
      <color theme="1"/>
      <name val="Aptos Narrow"/>
      <family val="2"/>
      <scheme val="minor"/>
    </font>
    <font>
      <b/>
      <sz val="12"/>
      <color theme="1"/>
      <name val="Aptos Narrow"/>
      <family val="2"/>
      <scheme val="minor"/>
    </font>
    <font>
      <u/>
      <sz val="11"/>
      <color theme="10"/>
      <name val="Aptos Narrow"/>
      <family val="2"/>
      <scheme val="minor"/>
    </font>
    <font>
      <b/>
      <u/>
      <sz val="16"/>
      <color theme="1"/>
      <name val="Aptos Narrow"/>
      <family val="2"/>
      <scheme val="minor"/>
    </font>
    <font>
      <sz val="18"/>
      <color theme="1"/>
      <name val="Aptos Narrow"/>
      <family val="2"/>
      <scheme val="minor"/>
    </font>
    <font>
      <sz val="12"/>
      <color theme="1"/>
      <name val="Aptos Narrow"/>
      <family val="2"/>
      <scheme val="minor"/>
    </font>
    <font>
      <b/>
      <u/>
      <sz val="12"/>
      <color theme="1"/>
      <name val="Aptos Narrow"/>
      <family val="2"/>
      <scheme val="minor"/>
    </font>
    <font>
      <sz val="11"/>
      <name val="Aptos Narrow"/>
      <family val="2"/>
      <scheme val="minor"/>
    </font>
    <font>
      <b/>
      <sz val="18"/>
      <color theme="1"/>
      <name val="Aptos Narrow"/>
      <family val="2"/>
      <scheme val="minor"/>
    </font>
    <font>
      <b/>
      <u/>
      <sz val="11"/>
      <color theme="1"/>
      <name val="Aptos Narrow"/>
      <family val="2"/>
      <scheme val="minor"/>
    </font>
    <font>
      <sz val="11"/>
      <color theme="3" tint="0.249977111117893"/>
      <name val="Aptos Narrow"/>
      <family val="2"/>
      <scheme val="minor"/>
    </font>
    <font>
      <i/>
      <sz val="11"/>
      <color theme="1"/>
      <name val="Aptos Narrow"/>
      <family val="2"/>
      <scheme val="minor"/>
    </font>
    <font>
      <i/>
      <u/>
      <sz val="11"/>
      <color theme="1"/>
      <name val="Aptos Narrow"/>
      <family val="2"/>
      <scheme val="minor"/>
    </font>
    <font>
      <sz val="11"/>
      <color theme="0"/>
      <name val="Aptos Narrow"/>
      <family val="2"/>
      <scheme val="minor"/>
    </font>
    <font>
      <b/>
      <u/>
      <sz val="12"/>
      <color theme="9" tint="-0.249977111117893"/>
      <name val="Aptos Narrow"/>
      <family val="2"/>
      <scheme val="minor"/>
    </font>
    <font>
      <sz val="18"/>
      <name val="Aptos Narrow"/>
      <family val="2"/>
      <scheme val="minor"/>
    </font>
    <font>
      <sz val="11"/>
      <color theme="1"/>
      <name val="Aptos Narrow"/>
      <family val="2"/>
      <scheme val="minor"/>
    </font>
    <font>
      <sz val="11"/>
      <color rgb="FF000000"/>
      <name val="Aptos Narrow"/>
      <family val="2"/>
      <scheme val="minor"/>
    </font>
    <font>
      <b/>
      <sz val="12"/>
      <color theme="0"/>
      <name val="Aptos Narrow"/>
      <family val="2"/>
      <scheme val="minor"/>
    </font>
    <font>
      <b/>
      <sz val="24"/>
      <color theme="0"/>
      <name val="Aptos Narrow"/>
      <family val="2"/>
      <scheme val="minor"/>
    </font>
    <font>
      <b/>
      <i/>
      <u/>
      <sz val="11"/>
      <color theme="1"/>
      <name val="Aptos Narrow"/>
      <family val="2"/>
      <scheme val="minor"/>
    </font>
    <font>
      <sz val="10"/>
      <color theme="1"/>
      <name val="Ebrima"/>
    </font>
    <font>
      <sz val="10"/>
      <color rgb="FF253734"/>
      <name val="Ebrima"/>
    </font>
    <font>
      <sz val="10"/>
      <color rgb="FF253734"/>
      <name val="Wingdings"/>
      <charset val="2"/>
    </font>
    <font>
      <sz val="10"/>
      <color theme="0"/>
      <name val="Ebrima"/>
    </font>
    <font>
      <b/>
      <sz val="10"/>
      <color theme="0"/>
      <name val="Ebrima"/>
    </font>
    <font>
      <b/>
      <sz val="10"/>
      <color theme="1"/>
      <name val="Ebrima"/>
    </font>
    <font>
      <b/>
      <sz val="10"/>
      <color rgb="FF253734"/>
      <name val="Ebrima"/>
    </font>
    <font>
      <sz val="18"/>
      <color theme="0"/>
      <name val="Ebrima"/>
    </font>
    <font>
      <sz val="8"/>
      <name val="Aptos Narrow"/>
      <family val="2"/>
      <scheme val="minor"/>
    </font>
    <font>
      <b/>
      <i/>
      <u/>
      <sz val="12"/>
      <color theme="1"/>
      <name val="Aptos Narrow"/>
      <family val="2"/>
      <scheme val="minor"/>
    </font>
    <font>
      <b/>
      <sz val="14"/>
      <color theme="1"/>
      <name val="Aptos Narrow"/>
      <family val="2"/>
      <scheme val="minor"/>
    </font>
    <font>
      <b/>
      <i/>
      <sz val="12"/>
      <color theme="1"/>
      <name val="Aptos Narrow"/>
      <family val="2"/>
      <scheme val="minor"/>
    </font>
    <font>
      <sz val="11"/>
      <color theme="0" tint="-4.9989318521683403E-2"/>
      <name val="Aptos Narrow"/>
      <family val="2"/>
      <scheme val="minor"/>
    </font>
    <font>
      <b/>
      <i/>
      <sz val="14"/>
      <color theme="1"/>
      <name val="Aptos Narrow"/>
      <family val="2"/>
      <scheme val="minor"/>
    </font>
    <font>
      <b/>
      <i/>
      <sz val="10"/>
      <color theme="1"/>
      <name val="Aptos Narrow"/>
      <family val="2"/>
      <scheme val="minor"/>
    </font>
    <font>
      <b/>
      <i/>
      <sz val="11"/>
      <name val="Aptos Narrow"/>
      <family val="2"/>
      <scheme val="minor"/>
    </font>
    <font>
      <b/>
      <sz val="16"/>
      <color theme="1"/>
      <name val="Aptos Narrow"/>
      <family val="2"/>
      <scheme val="minor"/>
    </font>
    <font>
      <sz val="22"/>
      <color theme="8" tint="-0.499984740745262"/>
      <name val="Aptos Narrow"/>
      <family val="2"/>
      <scheme val="minor"/>
    </font>
    <font>
      <sz val="11"/>
      <color rgb="FF00B050"/>
      <name val="Aptos Narrow"/>
      <family val="2"/>
      <scheme val="minor"/>
    </font>
    <font>
      <sz val="11"/>
      <color rgb="FF000000"/>
      <name val="Aptos Narrow"/>
      <family val="2"/>
    </font>
    <font>
      <sz val="26"/>
      <color theme="8" tint="-0.499984740745262"/>
      <name val="Aptos Narrow"/>
      <family val="2"/>
      <scheme val="minor"/>
    </font>
    <font>
      <sz val="10"/>
      <color theme="1"/>
      <name val="Aptos Narrow"/>
      <family val="2"/>
      <scheme val="minor"/>
    </font>
    <font>
      <b/>
      <u/>
      <sz val="24"/>
      <color theme="1"/>
      <name val="Georgia"/>
      <family val="1"/>
    </font>
    <font>
      <sz val="14"/>
      <color theme="1"/>
      <name val="Aptos Narrow"/>
      <family val="2"/>
      <scheme val="minor"/>
    </font>
    <font>
      <sz val="11"/>
      <color theme="10"/>
      <name val="Aptos Narrow"/>
      <family val="2"/>
      <scheme val="minor"/>
    </font>
    <font>
      <sz val="16"/>
      <color theme="1"/>
      <name val="Calibri"/>
      <family val="2"/>
    </font>
    <font>
      <b/>
      <i/>
      <u/>
      <sz val="20"/>
      <color theme="1"/>
      <name val="Aptos Narrow"/>
      <family val="2"/>
      <scheme val="minor"/>
    </font>
    <font>
      <b/>
      <sz val="11"/>
      <color rgb="FFFFFFFF"/>
      <name val="Calibri"/>
      <family val="2"/>
    </font>
    <font>
      <sz val="12"/>
      <color theme="1"/>
      <name val="Calibri"/>
      <family val="2"/>
    </font>
    <font>
      <sz val="18"/>
      <color theme="1"/>
      <name val="Calibri"/>
      <family val="2"/>
    </font>
    <font>
      <b/>
      <sz val="14"/>
      <color theme="1"/>
      <name val="Calibri"/>
      <family val="2"/>
    </font>
    <font>
      <b/>
      <u/>
      <sz val="14"/>
      <color theme="1"/>
      <name val="Aptos Narrow"/>
      <family val="2"/>
      <scheme val="minor"/>
    </font>
    <font>
      <b/>
      <sz val="20"/>
      <color theme="0"/>
      <name val="Aptos Narrow"/>
      <family val="2"/>
      <scheme val="minor"/>
    </font>
    <font>
      <b/>
      <u/>
      <sz val="22"/>
      <color theme="0"/>
      <name val="Aptos Narrow"/>
      <family val="2"/>
      <scheme val="minor"/>
    </font>
    <font>
      <i/>
      <sz val="12"/>
      <color theme="1"/>
      <name val="Aptos Narrow"/>
      <family val="2"/>
      <scheme val="minor"/>
    </font>
    <font>
      <b/>
      <u/>
      <sz val="16"/>
      <color theme="10"/>
      <name val="Aptos Narrow"/>
      <family val="2"/>
      <scheme val="minor"/>
    </font>
    <font>
      <b/>
      <u/>
      <sz val="20"/>
      <color theme="1"/>
      <name val="Aptos Narrow"/>
      <family val="2"/>
      <scheme val="minor"/>
    </font>
  </fonts>
  <fills count="34">
    <fill>
      <patternFill patternType="none"/>
    </fill>
    <fill>
      <patternFill patternType="gray125"/>
    </fill>
    <fill>
      <patternFill patternType="solid">
        <fgColor theme="0" tint="-0.14999847407452621"/>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3C07C1"/>
        <bgColor indexed="64"/>
      </patternFill>
    </fill>
    <fill>
      <patternFill patternType="solid">
        <fgColor rgb="FF8A897C"/>
        <bgColor indexed="64"/>
      </patternFill>
    </fill>
    <fill>
      <patternFill patternType="solid">
        <fgColor rgb="FF515049"/>
        <bgColor indexed="64"/>
      </patternFill>
    </fill>
    <fill>
      <patternFill patternType="solid">
        <fgColor theme="4" tint="-0.249977111117893"/>
        <bgColor indexed="64"/>
      </patternFill>
    </fill>
    <fill>
      <patternFill patternType="solid">
        <fgColor theme="3" tint="0.89999084444715716"/>
        <bgColor indexed="64"/>
      </patternFill>
    </fill>
    <fill>
      <patternFill patternType="solid">
        <fgColor rgb="FFFFFCFB"/>
        <bgColor indexed="64"/>
      </patternFill>
    </fill>
    <fill>
      <patternFill patternType="solid">
        <fgColor theme="8" tint="0.39997558519241921"/>
        <bgColor indexed="64"/>
      </patternFill>
    </fill>
    <fill>
      <patternFill patternType="solid">
        <fgColor theme="8" tint="-0.499984740745262"/>
        <bgColor indexed="64"/>
      </patternFill>
    </fill>
    <fill>
      <patternFill patternType="solid">
        <fgColor rgb="FFF5F9FD"/>
        <bgColor indexed="64"/>
      </patternFill>
    </fill>
    <fill>
      <patternFill patternType="solid">
        <fgColor rgb="FFFFF7F7"/>
        <bgColor indexed="64"/>
      </patternFill>
    </fill>
    <fill>
      <patternFill patternType="solid">
        <fgColor rgb="FFFFEEB9"/>
        <bgColor indexed="64"/>
      </patternFill>
    </fill>
    <fill>
      <patternFill patternType="solid">
        <fgColor rgb="FFFFF9E7"/>
        <bgColor indexed="64"/>
      </patternFill>
    </fill>
    <fill>
      <patternFill patternType="solid">
        <fgColor rgb="FFF5FCF2"/>
        <bgColor indexed="64"/>
      </patternFill>
    </fill>
    <fill>
      <patternFill patternType="solid">
        <fgColor rgb="FFFFD1D1"/>
        <bgColor indexed="64"/>
      </patternFill>
    </fill>
    <fill>
      <patternFill patternType="solid">
        <fgColor theme="7" tint="-0.499984740745262"/>
        <bgColor indexed="64"/>
      </patternFill>
    </fill>
    <fill>
      <patternFill patternType="solid">
        <fgColor rgb="FF4F81BD"/>
      </patternFill>
    </fill>
  </fills>
  <borders count="80">
    <border>
      <left/>
      <right/>
      <top/>
      <bottom/>
      <diagonal/>
    </border>
    <border>
      <left/>
      <right/>
      <top/>
      <bottom style="thin">
        <color indexed="64"/>
      </bottom>
      <diagonal/>
    </border>
    <border>
      <left/>
      <right/>
      <top style="medium">
        <color theme="3" tint="0.24994659260841701"/>
      </top>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diagonal/>
    </border>
    <border>
      <left/>
      <right style="thin">
        <color indexed="64"/>
      </right>
      <top/>
      <bottom style="thin">
        <color indexed="64"/>
      </bottom>
      <diagonal/>
    </border>
    <border>
      <left style="medium">
        <color theme="4" tint="-0.24994659260841701"/>
      </left>
      <right/>
      <top style="medium">
        <color theme="3" tint="0.24994659260841701"/>
      </top>
      <bottom/>
      <diagonal/>
    </border>
    <border>
      <left/>
      <right style="medium">
        <color theme="4" tint="-0.24994659260841701"/>
      </right>
      <top style="medium">
        <color theme="3" tint="0.24994659260841701"/>
      </top>
      <bottom/>
      <diagonal/>
    </border>
    <border>
      <left style="medium">
        <color theme="4" tint="-0.24994659260841701"/>
      </left>
      <right/>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medium">
        <color theme="4" tint="0.79998168889431442"/>
      </left>
      <right/>
      <top style="medium">
        <color theme="3" tint="0.24994659260841701"/>
      </top>
      <bottom/>
      <diagonal/>
    </border>
    <border>
      <left style="medium">
        <color theme="4" tint="0.79998168889431442"/>
      </left>
      <right/>
      <top/>
      <bottom style="medium">
        <color theme="4" tint="-0.24994659260841701"/>
      </bottom>
      <diagonal/>
    </border>
    <border>
      <left style="medium">
        <color theme="4" tint="0.79998168889431442"/>
      </left>
      <right/>
      <top/>
      <bottom/>
      <diagonal/>
    </border>
    <border>
      <left/>
      <right style="medium">
        <color theme="4" tint="-0.24994659260841701"/>
      </right>
      <top/>
      <bottom/>
      <diagonal/>
    </border>
    <border>
      <left style="medium">
        <color theme="4" tint="0.79998168889431442"/>
      </left>
      <right/>
      <top/>
      <bottom style="medium">
        <color theme="4" tint="0.79995117038483843"/>
      </bottom>
      <diagonal/>
    </border>
    <border>
      <left/>
      <right/>
      <top/>
      <bottom style="medium">
        <color theme="4" tint="0.79995117038483843"/>
      </bottom>
      <diagonal/>
    </border>
    <border>
      <left/>
      <right style="medium">
        <color theme="4" tint="-0.24994659260841701"/>
      </right>
      <top/>
      <bottom style="medium">
        <color theme="4" tint="0.79995117038483843"/>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diagonal/>
    </border>
    <border>
      <left/>
      <right style="thin">
        <color theme="4" tint="0.39994506668294322"/>
      </right>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theme="8"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theme="8" tint="-0.249977111117893"/>
      </bottom>
      <diagonal/>
    </border>
    <border>
      <left style="thick">
        <color rgb="FF00B050"/>
      </left>
      <right/>
      <top/>
      <bottom style="thick">
        <color rgb="FF00B050"/>
      </bottom>
      <diagonal/>
    </border>
    <border>
      <left/>
      <right/>
      <top/>
      <bottom style="thick">
        <color rgb="FF00B050"/>
      </bottom>
      <diagonal/>
    </border>
    <border>
      <left style="thick">
        <color rgb="FFFF0000"/>
      </left>
      <right/>
      <top/>
      <bottom style="thick">
        <color rgb="FFFF0000"/>
      </bottom>
      <diagonal/>
    </border>
    <border>
      <left/>
      <right/>
      <top/>
      <bottom style="thick">
        <color rgb="FFFF0000"/>
      </bottom>
      <diagonal/>
    </border>
    <border>
      <left style="thick">
        <color theme="3" tint="0.499984740745262"/>
      </left>
      <right/>
      <top/>
      <bottom style="thick">
        <color theme="3" tint="0.499984740745262"/>
      </bottom>
      <diagonal/>
    </border>
    <border>
      <left/>
      <right/>
      <top/>
      <bottom style="thick">
        <color theme="3" tint="0.499984740745262"/>
      </bottom>
      <diagonal/>
    </border>
    <border>
      <left style="thick">
        <color rgb="FFFFC000"/>
      </left>
      <right/>
      <top style="thick">
        <color rgb="FFFFC000"/>
      </top>
      <bottom style="thick">
        <color rgb="FFFFC000"/>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ck">
        <color theme="3" tint="0.499984740745262"/>
      </left>
      <right/>
      <top/>
      <bottom/>
      <diagonal/>
    </border>
    <border>
      <left/>
      <right style="thick">
        <color theme="3" tint="0.499984740745262"/>
      </right>
      <top/>
      <bottom/>
      <diagonal/>
    </border>
    <border>
      <left/>
      <right style="thick">
        <color theme="3" tint="0.499984740745262"/>
      </right>
      <top/>
      <bottom style="thick">
        <color theme="3" tint="0.499984740745262"/>
      </bottom>
      <diagonal/>
    </border>
    <border>
      <left style="thick">
        <color rgb="FFFF0000"/>
      </left>
      <right/>
      <top/>
      <bottom/>
      <diagonal/>
    </border>
    <border>
      <left/>
      <right style="thick">
        <color rgb="FFFF0000"/>
      </right>
      <top/>
      <bottom/>
      <diagonal/>
    </border>
    <border>
      <left/>
      <right style="thick">
        <color rgb="FFFF0000"/>
      </right>
      <top/>
      <bottom style="thick">
        <color rgb="FFFF0000"/>
      </bottom>
      <diagonal/>
    </border>
    <border>
      <left/>
      <right/>
      <top/>
      <bottom style="thick">
        <color theme="8" tint="-0.24994659260841701"/>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top/>
      <bottom style="thick">
        <color rgb="FFFFC000"/>
      </bottom>
      <diagonal/>
    </border>
    <border>
      <left/>
      <right style="thick">
        <color rgb="FFFFC000"/>
      </right>
      <top/>
      <bottom style="thick">
        <color rgb="FFFFC000"/>
      </bottom>
      <diagonal/>
    </border>
    <border>
      <left style="thick">
        <color rgb="FF00B050"/>
      </left>
      <right/>
      <top/>
      <bottom/>
      <diagonal/>
    </border>
    <border>
      <left/>
      <right style="thick">
        <color rgb="FF00B050"/>
      </right>
      <top/>
      <bottom/>
      <diagonal/>
    </border>
    <border>
      <left/>
      <right style="thick">
        <color rgb="FF00B050"/>
      </right>
      <top/>
      <bottom style="thick">
        <color rgb="FF00B05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style="thick">
        <color theme="0" tint="-0.14993743705557422"/>
      </left>
      <right/>
      <top/>
      <bottom style="medium">
        <color theme="0" tint="-0.14993743705557422"/>
      </bottom>
      <diagonal/>
    </border>
    <border>
      <left/>
      <right/>
      <top/>
      <bottom style="medium">
        <color theme="0" tint="-0.14993743705557422"/>
      </bottom>
      <diagonal/>
    </border>
    <border>
      <left style="thick">
        <color theme="0" tint="-0.14993743705557422"/>
      </left>
      <right/>
      <top style="medium">
        <color theme="0" tint="-0.14993743705557422"/>
      </top>
      <bottom style="medium">
        <color theme="0" tint="-0.14993743705557422"/>
      </bottom>
      <diagonal/>
    </border>
    <border>
      <left/>
      <right/>
      <top style="medium">
        <color theme="0" tint="-0.14993743705557422"/>
      </top>
      <bottom style="medium">
        <color theme="0" tint="-0.14993743705557422"/>
      </bottom>
      <diagonal/>
    </border>
    <border>
      <left/>
      <right/>
      <top/>
      <bottom style="thick">
        <color rgb="FF7030A0"/>
      </bottom>
      <diagonal/>
    </border>
    <border>
      <left/>
      <right/>
      <top/>
      <bottom style="thick">
        <color theme="8" tint="-0.499984740745262"/>
      </bottom>
      <diagonal/>
    </border>
    <border>
      <left/>
      <right/>
      <top style="thick">
        <color theme="0" tint="-0.149967955565050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ck">
        <color theme="4" tint="-0.499984740745262"/>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FFC000"/>
      </left>
      <right style="thick">
        <color rgb="FFFFC000"/>
      </right>
      <top/>
      <bottom style="thick">
        <color rgb="FFFFC000"/>
      </bottom>
      <diagonal/>
    </border>
  </borders>
  <cellStyleXfs count="4">
    <xf numFmtId="0" fontId="0" fillId="0" borderId="0"/>
    <xf numFmtId="0" fontId="5" fillId="0" borderId="0" applyNumberFormat="0" applyFill="0" applyBorder="0" applyAlignment="0" applyProtection="0"/>
    <xf numFmtId="43" fontId="19" fillId="0" borderId="0" applyFont="0" applyFill="0" applyBorder="0" applyAlignment="0" applyProtection="0"/>
    <xf numFmtId="0" fontId="5" fillId="0" borderId="0" applyNumberFormat="0" applyFill="0" applyBorder="0" applyAlignment="0" applyProtection="0"/>
  </cellStyleXfs>
  <cellXfs count="367">
    <xf numFmtId="0" fontId="0" fillId="0" borderId="0" xfId="0"/>
    <xf numFmtId="44" fontId="0" fillId="0" borderId="0" xfId="0" applyNumberFormat="1"/>
    <xf numFmtId="164" fontId="0" fillId="0" borderId="0" xfId="0" applyNumberFormat="1"/>
    <xf numFmtId="0" fontId="2" fillId="0" borderId="0" xfId="0" applyFont="1"/>
    <xf numFmtId="0" fontId="2" fillId="0" borderId="0" xfId="0" applyFont="1" applyAlignment="1">
      <alignment horizontal="left" vertical="center"/>
    </xf>
    <xf numFmtId="0" fontId="1" fillId="0" borderId="0" xfId="0" applyFont="1"/>
    <xf numFmtId="0" fontId="3" fillId="0" borderId="0" xfId="0" applyFont="1"/>
    <xf numFmtId="0" fontId="1" fillId="0" borderId="1" xfId="0" applyFont="1" applyBorder="1"/>
    <xf numFmtId="164" fontId="0" fillId="0" borderId="1" xfId="0" applyNumberFormat="1" applyBorder="1"/>
    <xf numFmtId="0" fontId="0" fillId="0" borderId="0" xfId="0" applyAlignment="1">
      <alignment horizontal="centerContinuous"/>
    </xf>
    <xf numFmtId="0" fontId="4" fillId="0" borderId="0" xfId="0" applyFont="1" applyAlignment="1">
      <alignment horizontal="centerContinuous"/>
    </xf>
    <xf numFmtId="0" fontId="0" fillId="0" borderId="0" xfId="0" applyAlignment="1">
      <alignment horizontal="center"/>
    </xf>
    <xf numFmtId="0" fontId="5" fillId="0" borderId="0" xfId="1"/>
    <xf numFmtId="0" fontId="6" fillId="0" borderId="0" xfId="0" applyFont="1" applyAlignment="1">
      <alignment horizontal="centerContinuous"/>
    </xf>
    <xf numFmtId="0" fontId="5" fillId="0" borderId="0" xfId="1" applyAlignment="1">
      <alignment horizontal="right"/>
    </xf>
    <xf numFmtId="0" fontId="4" fillId="0" borderId="0" xfId="0" applyFont="1"/>
    <xf numFmtId="0" fontId="7" fillId="0" borderId="0" xfId="0" applyFont="1"/>
    <xf numFmtId="0" fontId="7" fillId="0" borderId="0" xfId="0" applyFont="1" applyAlignment="1">
      <alignment horizontal="centerContinuous"/>
    </xf>
    <xf numFmtId="0" fontId="8" fillId="0" borderId="0" xfId="0" applyFont="1"/>
    <xf numFmtId="0" fontId="8" fillId="0" borderId="0" xfId="0" applyFont="1" applyAlignment="1">
      <alignment vertical="top" wrapText="1"/>
    </xf>
    <xf numFmtId="0" fontId="8" fillId="0" borderId="0" xfId="0" applyFont="1" applyAlignment="1">
      <alignment wrapText="1"/>
    </xf>
    <xf numFmtId="0" fontId="0" fillId="0" borderId="0" xfId="0" applyAlignment="1">
      <alignment horizontal="right"/>
    </xf>
    <xf numFmtId="0" fontId="9" fillId="0" borderId="0" xfId="0" applyFont="1" applyAlignment="1">
      <alignment horizontal="center"/>
    </xf>
    <xf numFmtId="0" fontId="0" fillId="2" borderId="0" xfId="0" applyFill="1"/>
    <xf numFmtId="0" fontId="0" fillId="3" borderId="0" xfId="0" applyFill="1"/>
    <xf numFmtId="44" fontId="0" fillId="4" borderId="0" xfId="0" applyNumberFormat="1"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10" fillId="10" borderId="0" xfId="0" applyFont="1" applyFill="1"/>
    <xf numFmtId="0" fontId="10" fillId="11" borderId="0" xfId="0" applyFont="1" applyFill="1"/>
    <xf numFmtId="0" fontId="10" fillId="12" borderId="0" xfId="0" applyFont="1"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11" fillId="0" borderId="0" xfId="0" applyFont="1"/>
    <xf numFmtId="165" fontId="0" fillId="0" borderId="0" xfId="0" applyNumberFormat="1"/>
    <xf numFmtId="0" fontId="0" fillId="0" borderId="0" xfId="0" applyAlignment="1">
      <alignment horizontal="left"/>
    </xf>
    <xf numFmtId="0" fontId="5" fillId="0" borderId="0" xfId="1" applyAlignment="1">
      <alignment horizontal="center"/>
    </xf>
    <xf numFmtId="14" fontId="0" fillId="0" borderId="0" xfId="0" applyNumberFormat="1"/>
    <xf numFmtId="166" fontId="0" fillId="0" borderId="0" xfId="0" applyNumberFormat="1"/>
    <xf numFmtId="0" fontId="10" fillId="0" borderId="0" xfId="0" applyFont="1"/>
    <xf numFmtId="0" fontId="13" fillId="0" borderId="0" xfId="0" applyFont="1"/>
    <xf numFmtId="0" fontId="9" fillId="0" borderId="0" xfId="0" applyFont="1" applyAlignment="1">
      <alignment horizontal="centerContinuous"/>
    </xf>
    <xf numFmtId="0" fontId="8" fillId="0" borderId="0" xfId="0" applyFont="1" applyAlignment="1">
      <alignment horizontal="left"/>
    </xf>
    <xf numFmtId="0" fontId="14" fillId="0" borderId="0" xfId="0" applyFont="1" applyAlignment="1">
      <alignment horizontal="left"/>
    </xf>
    <xf numFmtId="0" fontId="0" fillId="0" borderId="0" xfId="0" pivotButton="1"/>
    <xf numFmtId="0" fontId="17" fillId="0" borderId="0" xfId="0" applyFont="1" applyAlignment="1">
      <alignment horizontal="centerContinuous"/>
    </xf>
    <xf numFmtId="0" fontId="18" fillId="0" borderId="0" xfId="0" applyFont="1"/>
    <xf numFmtId="167" fontId="0" fillId="0" borderId="0" xfId="0" applyNumberFormat="1"/>
    <xf numFmtId="2" fontId="0" fillId="0" borderId="0" xfId="0" applyNumberFormat="1"/>
    <xf numFmtId="2" fontId="0" fillId="0" borderId="0" xfId="0" applyNumberFormat="1" applyAlignment="1">
      <alignment horizontal="center"/>
    </xf>
    <xf numFmtId="44" fontId="1" fillId="0" borderId="0" xfId="0" applyNumberFormat="1" applyFont="1"/>
    <xf numFmtId="168" fontId="0" fillId="0" borderId="0" xfId="0" applyNumberFormat="1"/>
    <xf numFmtId="44" fontId="4" fillId="0" borderId="0" xfId="0" applyNumberFormat="1" applyFont="1" applyAlignment="1">
      <alignment horizontal="center"/>
    </xf>
    <xf numFmtId="169" fontId="0" fillId="0" borderId="0" xfId="0" applyNumberFormat="1"/>
    <xf numFmtId="168" fontId="4" fillId="0" borderId="0" xfId="0" applyNumberFormat="1" applyFont="1"/>
    <xf numFmtId="169" fontId="4" fillId="0" borderId="0" xfId="0" applyNumberFormat="1" applyFont="1" applyAlignment="1">
      <alignment horizontal="left"/>
    </xf>
    <xf numFmtId="169" fontId="4" fillId="0" borderId="0" xfId="0" applyNumberFormat="1" applyFont="1" applyAlignment="1">
      <alignment horizontal="center"/>
    </xf>
    <xf numFmtId="0" fontId="4" fillId="0" borderId="0" xfId="0" applyFont="1" applyAlignment="1">
      <alignment horizontal="center"/>
    </xf>
    <xf numFmtId="0" fontId="0" fillId="0" borderId="0" xfId="0" applyAlignment="1">
      <alignment horizontal="left" vertical="top"/>
    </xf>
    <xf numFmtId="165" fontId="4" fillId="0" borderId="0" xfId="0" applyNumberFormat="1" applyFont="1" applyAlignment="1">
      <alignment horizontal="center"/>
    </xf>
    <xf numFmtId="169" fontId="8" fillId="0" borderId="0" xfId="0" applyNumberFormat="1" applyFont="1" applyAlignment="1">
      <alignment horizontal="left" vertical="top"/>
    </xf>
    <xf numFmtId="0" fontId="8" fillId="0" borderId="0" xfId="0" applyFont="1" applyAlignment="1">
      <alignment horizontal="left" vertical="top"/>
    </xf>
    <xf numFmtId="0" fontId="21" fillId="0" borderId="0" xfId="0" applyFont="1" applyAlignment="1">
      <alignment horizontal="center"/>
    </xf>
    <xf numFmtId="169" fontId="21" fillId="0" borderId="0" xfId="0" applyNumberFormat="1" applyFont="1" applyAlignment="1">
      <alignment horizontal="left"/>
    </xf>
    <xf numFmtId="0" fontId="21" fillId="0" borderId="0" xfId="0" applyFont="1" applyAlignment="1">
      <alignment horizontal="left"/>
    </xf>
    <xf numFmtId="0" fontId="0" fillId="18" borderId="0" xfId="0" applyFill="1"/>
    <xf numFmtId="0" fontId="0" fillId="18" borderId="0" xfId="0" applyFill="1" applyAlignment="1">
      <alignment horizontal="left" indent="1"/>
    </xf>
    <xf numFmtId="0" fontId="22" fillId="18" borderId="0" xfId="0" applyFont="1" applyFill="1"/>
    <xf numFmtId="0" fontId="16" fillId="0" borderId="0" xfId="0" applyFont="1"/>
    <xf numFmtId="0" fontId="20" fillId="0" borderId="0" xfId="0" applyFont="1" applyAlignment="1">
      <alignment horizontal="center"/>
    </xf>
    <xf numFmtId="0" fontId="0" fillId="0" borderId="2" xfId="0" applyBorder="1"/>
    <xf numFmtId="0" fontId="3" fillId="0" borderId="2" xfId="0" applyFont="1" applyBorder="1" applyAlignment="1">
      <alignment horizontal="right"/>
    </xf>
    <xf numFmtId="0" fontId="11" fillId="0" borderId="0" xfId="0" applyFont="1" applyAlignment="1">
      <alignment horizontal="center"/>
    </xf>
    <xf numFmtId="166" fontId="0" fillId="0" borderId="0" xfId="0" applyNumberFormat="1" applyAlignment="1">
      <alignment horizontal="center"/>
    </xf>
    <xf numFmtId="49" fontId="5" fillId="0" borderId="0" xfId="1" applyNumberFormat="1" applyAlignment="1">
      <alignment horizontal="right"/>
    </xf>
    <xf numFmtId="49" fontId="0" fillId="0" borderId="0" xfId="0" applyNumberFormat="1" applyAlignment="1">
      <alignment horizontal="right"/>
    </xf>
    <xf numFmtId="49" fontId="0" fillId="0" borderId="0" xfId="0" applyNumberFormat="1"/>
    <xf numFmtId="165" fontId="0" fillId="0" borderId="0" xfId="0" applyNumberFormat="1" applyAlignment="1">
      <alignment horizontal="center"/>
    </xf>
    <xf numFmtId="0" fontId="1" fillId="0" borderId="0" xfId="0" applyFont="1" applyAlignment="1">
      <alignment horizontal="center"/>
    </xf>
    <xf numFmtId="166" fontId="1" fillId="0" borderId="0" xfId="0" applyNumberFormat="1" applyFont="1" applyAlignment="1">
      <alignment horizontal="center"/>
    </xf>
    <xf numFmtId="0" fontId="24" fillId="0" borderId="0" xfId="0" applyFont="1"/>
    <xf numFmtId="0" fontId="24" fillId="0" borderId="0" xfId="0" applyFont="1" applyAlignment="1">
      <alignment horizontal="left"/>
    </xf>
    <xf numFmtId="0" fontId="25" fillId="0" borderId="0" xfId="0" applyFont="1" applyAlignment="1">
      <alignment horizontal="center" vertical="center"/>
    </xf>
    <xf numFmtId="0" fontId="25" fillId="0" borderId="0" xfId="0" applyFont="1" applyAlignment="1">
      <alignment horizontal="left" vertical="center"/>
    </xf>
    <xf numFmtId="38" fontId="24" fillId="0" borderId="3" xfId="0" applyNumberFormat="1" applyFont="1" applyBorder="1"/>
    <xf numFmtId="38" fontId="24" fillId="0" borderId="4" xfId="0" applyNumberFormat="1" applyFont="1" applyBorder="1"/>
    <xf numFmtId="0" fontId="27" fillId="19" borderId="0" xfId="0" applyFont="1" applyFill="1"/>
    <xf numFmtId="0" fontId="28" fillId="19" borderId="0" xfId="0" applyFont="1" applyFill="1"/>
    <xf numFmtId="0" fontId="27" fillId="19" borderId="0" xfId="0" applyFont="1" applyFill="1" applyAlignment="1">
      <alignment horizontal="center" vertical="center"/>
    </xf>
    <xf numFmtId="0" fontId="27" fillId="19" borderId="0" xfId="0" applyFont="1" applyFill="1" applyAlignment="1">
      <alignment horizontal="left" vertical="center"/>
    </xf>
    <xf numFmtId="0" fontId="28" fillId="19" borderId="0" xfId="0" applyFont="1" applyFill="1" applyAlignment="1">
      <alignment horizontal="left" vertical="center"/>
    </xf>
    <xf numFmtId="38" fontId="29" fillId="0" borderId="0" xfId="0" applyNumberFormat="1" applyFont="1"/>
    <xf numFmtId="0" fontId="29" fillId="0" borderId="0" xfId="0" applyFont="1"/>
    <xf numFmtId="38" fontId="30" fillId="0" borderId="0" xfId="0" applyNumberFormat="1" applyFont="1" applyAlignment="1">
      <alignment horizontal="right" vertical="center"/>
    </xf>
    <xf numFmtId="0" fontId="30" fillId="0" borderId="0" xfId="0" applyFont="1" applyAlignment="1">
      <alignment horizontal="left" vertical="center"/>
    </xf>
    <xf numFmtId="38" fontId="25" fillId="0" borderId="3" xfId="0" applyNumberFormat="1" applyFont="1" applyBorder="1" applyAlignment="1">
      <alignment horizontal="right" vertical="center"/>
    </xf>
    <xf numFmtId="0" fontId="29" fillId="0" borderId="0" xfId="0" applyFont="1" applyAlignment="1">
      <alignment horizontal="left"/>
    </xf>
    <xf numFmtId="38" fontId="25" fillId="0" borderId="4" xfId="0" applyNumberFormat="1" applyFont="1" applyBorder="1" applyAlignment="1">
      <alignment horizontal="right" vertical="center"/>
    </xf>
    <xf numFmtId="0" fontId="24" fillId="0" borderId="0" xfId="0" applyFont="1" applyAlignment="1">
      <alignment vertical="center"/>
    </xf>
    <xf numFmtId="38" fontId="29" fillId="0" borderId="3" xfId="0" applyNumberFormat="1" applyFont="1" applyBorder="1"/>
    <xf numFmtId="38" fontId="30" fillId="0" borderId="3" xfId="0" applyNumberFormat="1" applyFont="1" applyBorder="1" applyAlignment="1">
      <alignment horizontal="right" vertical="center"/>
    </xf>
    <xf numFmtId="38" fontId="29" fillId="0" borderId="5" xfId="0" applyNumberFormat="1" applyFont="1" applyBorder="1"/>
    <xf numFmtId="38" fontId="30" fillId="0" borderId="5" xfId="0" applyNumberFormat="1" applyFont="1" applyBorder="1" applyAlignment="1">
      <alignment horizontal="right" vertical="center"/>
    </xf>
    <xf numFmtId="0" fontId="8" fillId="0" borderId="0" xfId="0" applyFont="1" applyAlignment="1">
      <alignment horizontal="right"/>
    </xf>
    <xf numFmtId="166" fontId="0" fillId="0" borderId="0" xfId="0" applyNumberFormat="1" applyAlignment="1">
      <alignment horizontal="left"/>
    </xf>
    <xf numFmtId="165" fontId="0" fillId="0" borderId="6" xfId="0" applyNumberFormat="1" applyBorder="1"/>
    <xf numFmtId="165" fontId="0" fillId="0" borderId="1" xfId="0" applyNumberFormat="1" applyBorder="1"/>
    <xf numFmtId="0" fontId="3" fillId="0" borderId="1" xfId="0" applyFont="1" applyBorder="1" applyAlignment="1">
      <alignment horizontal="right"/>
    </xf>
    <xf numFmtId="38" fontId="25" fillId="0" borderId="0" xfId="0" applyNumberFormat="1" applyFont="1" applyAlignment="1">
      <alignment horizontal="right" vertical="center"/>
    </xf>
    <xf numFmtId="10" fontId="0" fillId="0" borderId="0" xfId="0" applyNumberFormat="1"/>
    <xf numFmtId="0" fontId="24" fillId="0" borderId="0" xfId="0" applyFont="1" applyAlignment="1">
      <alignment horizontal="left" vertical="center"/>
    </xf>
    <xf numFmtId="0" fontId="29" fillId="0" borderId="0" xfId="0" applyFont="1" applyAlignment="1">
      <alignment horizontal="left" vertical="center"/>
    </xf>
    <xf numFmtId="0" fontId="27" fillId="0" borderId="0" xfId="0" applyFont="1" applyAlignment="1">
      <alignment horizontal="center" vertical="center"/>
    </xf>
    <xf numFmtId="0" fontId="27" fillId="0" borderId="0" xfId="0" applyFont="1"/>
    <xf numFmtId="38" fontId="24" fillId="0" borderId="0" xfId="0" applyNumberFormat="1" applyFont="1"/>
    <xf numFmtId="0" fontId="28" fillId="0" borderId="0" xfId="0" applyFont="1" applyAlignment="1">
      <alignment horizontal="left" vertical="center"/>
    </xf>
    <xf numFmtId="0" fontId="27" fillId="0" borderId="0" xfId="0" applyFont="1" applyAlignment="1">
      <alignment horizontal="left" vertical="center"/>
    </xf>
    <xf numFmtId="0" fontId="31" fillId="0" borderId="0" xfId="0" applyFont="1" applyAlignment="1">
      <alignment horizontal="center" vertical="center"/>
    </xf>
    <xf numFmtId="0" fontId="23" fillId="0" borderId="0" xfId="0" applyFont="1" applyAlignment="1">
      <alignment horizontal="right"/>
    </xf>
    <xf numFmtId="0" fontId="3" fillId="0" borderId="0" xfId="0" applyFont="1" applyAlignment="1">
      <alignment horizontal="right"/>
    </xf>
    <xf numFmtId="0" fontId="23" fillId="0" borderId="7" xfId="0" applyFont="1" applyBorder="1" applyAlignment="1">
      <alignment horizontal="center"/>
    </xf>
    <xf numFmtId="0" fontId="0" fillId="0" borderId="8" xfId="0" applyBorder="1"/>
    <xf numFmtId="0" fontId="1" fillId="0" borderId="9" xfId="0" applyFont="1" applyBorder="1" applyAlignment="1">
      <alignment horizontal="center"/>
    </xf>
    <xf numFmtId="0" fontId="0" fillId="0" borderId="9" xfId="0" applyBorder="1" applyAlignment="1">
      <alignment horizontal="center"/>
    </xf>
    <xf numFmtId="0" fontId="1" fillId="0" borderId="10" xfId="0" applyFont="1" applyBorder="1" applyAlignment="1">
      <alignment horizontal="center"/>
    </xf>
    <xf numFmtId="0" fontId="23" fillId="0" borderId="11" xfId="0" applyFont="1" applyBorder="1" applyAlignment="1">
      <alignment horizontal="right"/>
    </xf>
    <xf numFmtId="0" fontId="3" fillId="0" borderId="11" xfId="0" applyFont="1" applyBorder="1" applyAlignment="1">
      <alignment horizontal="right"/>
    </xf>
    <xf numFmtId="0" fontId="0" fillId="0" borderId="12" xfId="0" applyBorder="1"/>
    <xf numFmtId="0" fontId="23" fillId="0" borderId="13" xfId="0" applyFont="1" applyBorder="1" applyAlignment="1">
      <alignment horizontal="left"/>
    </xf>
    <xf numFmtId="0" fontId="4" fillId="0" borderId="14" xfId="0" applyFont="1" applyBorder="1" applyAlignment="1">
      <alignment horizontal="left"/>
    </xf>
    <xf numFmtId="0" fontId="33" fillId="0" borderId="15" xfId="0" applyFont="1" applyBorder="1" applyAlignment="1">
      <alignment horizontal="left"/>
    </xf>
    <xf numFmtId="0" fontId="0" fillId="0" borderId="16" xfId="0" applyBorder="1"/>
    <xf numFmtId="0" fontId="4" fillId="0" borderId="17" xfId="0" applyFont="1" applyBorder="1" applyAlignment="1">
      <alignment horizontal="left"/>
    </xf>
    <xf numFmtId="0" fontId="23" fillId="0" borderId="18" xfId="0" applyFont="1" applyBorder="1" applyAlignment="1">
      <alignment horizontal="right"/>
    </xf>
    <xf numFmtId="0" fontId="3" fillId="0" borderId="18" xfId="0" applyFont="1" applyBorder="1" applyAlignment="1">
      <alignment horizontal="right"/>
    </xf>
    <xf numFmtId="0" fontId="0" fillId="0" borderId="19" xfId="0" applyBorder="1"/>
    <xf numFmtId="0" fontId="0" fillId="21" borderId="0" xfId="0" applyFill="1" applyAlignment="1">
      <alignment horizontal="center"/>
    </xf>
    <xf numFmtId="0" fontId="0" fillId="21" borderId="0" xfId="0" applyFill="1" applyAlignment="1">
      <alignment horizontal="left"/>
    </xf>
    <xf numFmtId="0" fontId="0" fillId="21" borderId="0" xfId="0" applyFill="1"/>
    <xf numFmtId="0" fontId="0" fillId="21" borderId="0" xfId="0" applyFill="1" applyAlignment="1">
      <alignment horizontal="right"/>
    </xf>
    <xf numFmtId="166" fontId="0" fillId="21" borderId="0" xfId="0" applyNumberFormat="1" applyFill="1" applyAlignment="1">
      <alignment horizontal="center"/>
    </xf>
    <xf numFmtId="165" fontId="0" fillId="21" borderId="0" xfId="0" applyNumberFormat="1" applyFill="1"/>
    <xf numFmtId="0" fontId="12" fillId="21" borderId="0" xfId="0" applyFont="1" applyFill="1" applyAlignment="1">
      <alignment horizontal="centerContinuous" vertical="top"/>
    </xf>
    <xf numFmtId="165" fontId="0" fillId="21" borderId="0" xfId="0" applyNumberFormat="1" applyFill="1" applyAlignment="1">
      <alignment horizontal="centerContinuous"/>
    </xf>
    <xf numFmtId="49" fontId="5" fillId="0" borderId="20" xfId="1" applyNumberFormat="1" applyBorder="1"/>
    <xf numFmtId="0" fontId="0" fillId="0" borderId="21" xfId="0" applyBorder="1"/>
    <xf numFmtId="49" fontId="5" fillId="0" borderId="22" xfId="1" applyNumberFormat="1" applyBorder="1"/>
    <xf numFmtId="49" fontId="5" fillId="0" borderId="23" xfId="1" applyNumberFormat="1" applyBorder="1"/>
    <xf numFmtId="0" fontId="0" fillId="0" borderId="24" xfId="0" applyBorder="1"/>
    <xf numFmtId="49" fontId="5" fillId="0" borderId="25" xfId="1" applyNumberFormat="1" applyBorder="1"/>
    <xf numFmtId="0" fontId="8" fillId="0" borderId="26" xfId="0" applyFont="1" applyBorder="1"/>
    <xf numFmtId="0" fontId="0" fillId="0" borderId="27" xfId="0" applyBorder="1"/>
    <xf numFmtId="0" fontId="0" fillId="22" borderId="0" xfId="0" applyFill="1"/>
    <xf numFmtId="0" fontId="0" fillId="23" borderId="0" xfId="0" applyFill="1"/>
    <xf numFmtId="0" fontId="0" fillId="10" borderId="0" xfId="0" applyFill="1"/>
    <xf numFmtId="0" fontId="0" fillId="0" borderId="0" xfId="0" applyAlignment="1">
      <alignment horizontal="left" indent="1"/>
    </xf>
    <xf numFmtId="0" fontId="4" fillId="16" borderId="0" xfId="0" applyFont="1" applyFill="1" applyAlignment="1">
      <alignment horizontal="center"/>
    </xf>
    <xf numFmtId="0" fontId="34" fillId="0" borderId="1" xfId="0" applyFont="1" applyBorder="1" applyAlignment="1">
      <alignment horizontal="center"/>
    </xf>
    <xf numFmtId="0" fontId="35" fillId="0" borderId="0" xfId="0" applyFont="1" applyAlignment="1">
      <alignment horizontal="center"/>
    </xf>
    <xf numFmtId="0" fontId="0" fillId="0" borderId="0" xfId="0" applyAlignment="1">
      <alignment horizontal="left" indent="2"/>
    </xf>
    <xf numFmtId="0" fontId="34" fillId="24" borderId="0" xfId="0" applyFont="1" applyFill="1"/>
    <xf numFmtId="0" fontId="34" fillId="0" borderId="0" xfId="0" applyFont="1" applyAlignment="1">
      <alignment horizontal="center"/>
    </xf>
    <xf numFmtId="0" fontId="0" fillId="0" borderId="28" xfId="0" applyBorder="1"/>
    <xf numFmtId="16" fontId="4" fillId="0" borderId="0" xfId="0" applyNumberFormat="1" applyFont="1" applyAlignment="1">
      <alignment horizontal="center"/>
    </xf>
    <xf numFmtId="0" fontId="36" fillId="10" borderId="0" xfId="0" applyFont="1" applyFill="1"/>
    <xf numFmtId="0" fontId="35" fillId="0" borderId="0" xfId="0" applyFont="1" applyAlignment="1">
      <alignment horizontal="right"/>
    </xf>
    <xf numFmtId="2" fontId="8" fillId="0" borderId="0" xfId="0" applyNumberFormat="1" applyFont="1"/>
    <xf numFmtId="0" fontId="8" fillId="0" borderId="0" xfId="0" applyFont="1" applyAlignment="1">
      <alignment horizontal="center"/>
    </xf>
    <xf numFmtId="0" fontId="0" fillId="25" borderId="0" xfId="0" applyFill="1"/>
    <xf numFmtId="0" fontId="35" fillId="0" borderId="0" xfId="0" applyFont="1" applyAlignment="1">
      <alignment horizontal="left" indent="3"/>
    </xf>
    <xf numFmtId="0" fontId="35" fillId="0" borderId="0" xfId="0" applyFont="1"/>
    <xf numFmtId="0" fontId="10" fillId="0" borderId="0" xfId="0" applyFont="1" applyAlignment="1">
      <alignment horizontal="left" indent="3"/>
    </xf>
    <xf numFmtId="0" fontId="0" fillId="0" borderId="0" xfId="0" applyAlignment="1">
      <alignment horizontal="left" indent="3"/>
    </xf>
    <xf numFmtId="0" fontId="0" fillId="0" borderId="1" xfId="0" applyBorder="1" applyAlignment="1">
      <alignment horizontal="centerContinuous"/>
    </xf>
    <xf numFmtId="0" fontId="0" fillId="0" borderId="31" xfId="0" applyBorder="1"/>
    <xf numFmtId="0" fontId="0" fillId="0" borderId="32" xfId="0" applyBorder="1"/>
    <xf numFmtId="0" fontId="0" fillId="0" borderId="33" xfId="0" applyBorder="1"/>
    <xf numFmtId="0" fontId="0" fillId="0" borderId="36" xfId="0" applyBorder="1"/>
    <xf numFmtId="0" fontId="0" fillId="0" borderId="38" xfId="0" applyBorder="1"/>
    <xf numFmtId="0" fontId="37" fillId="0" borderId="34" xfId="0" applyFont="1" applyBorder="1" applyAlignment="1">
      <alignment horizontal="center" vertical="center"/>
    </xf>
    <xf numFmtId="0" fontId="0" fillId="25" borderId="30" xfId="0" applyFill="1" applyBorder="1"/>
    <xf numFmtId="0" fontId="4" fillId="0" borderId="41" xfId="0" applyFont="1" applyBorder="1"/>
    <xf numFmtId="0" fontId="35" fillId="6" borderId="0" xfId="0" applyFont="1" applyFill="1" applyAlignment="1">
      <alignment horizontal="center"/>
    </xf>
    <xf numFmtId="0" fontId="1" fillId="6" borderId="0" xfId="0" applyFont="1" applyFill="1" applyAlignment="1">
      <alignment horizontal="center"/>
    </xf>
    <xf numFmtId="0" fontId="8" fillId="6" borderId="6" xfId="0" applyFont="1" applyFill="1" applyBorder="1" applyAlignment="1">
      <alignment horizontal="center" vertical="center"/>
    </xf>
    <xf numFmtId="0" fontId="10" fillId="0" borderId="0" xfId="0" applyFont="1" applyAlignment="1">
      <alignment horizontal="center"/>
    </xf>
    <xf numFmtId="0" fontId="4" fillId="0" borderId="29" xfId="0" applyFont="1" applyBorder="1"/>
    <xf numFmtId="0" fontId="0" fillId="10" borderId="42" xfId="0" applyFill="1" applyBorder="1"/>
    <xf numFmtId="0" fontId="0" fillId="10" borderId="43" xfId="0" applyFill="1" applyBorder="1"/>
    <xf numFmtId="0" fontId="35" fillId="2" borderId="0" xfId="0" applyFont="1" applyFill="1" applyAlignment="1">
      <alignment horizontal="right"/>
    </xf>
    <xf numFmtId="44" fontId="4" fillId="2" borderId="0" xfId="0" applyNumberFormat="1" applyFont="1" applyFill="1" applyAlignment="1">
      <alignment horizontal="center"/>
    </xf>
    <xf numFmtId="0" fontId="35" fillId="2" borderId="44" xfId="0" applyFont="1" applyFill="1" applyBorder="1" applyAlignment="1">
      <alignment horizontal="left" vertical="top"/>
    </xf>
    <xf numFmtId="0" fontId="35" fillId="2" borderId="45" xfId="0" applyFont="1" applyFill="1" applyBorder="1"/>
    <xf numFmtId="169" fontId="35" fillId="2" borderId="46" xfId="0" applyNumberFormat="1" applyFont="1" applyFill="1" applyBorder="1" applyAlignment="1">
      <alignment horizontal="left" vertical="top"/>
    </xf>
    <xf numFmtId="0" fontId="35" fillId="2" borderId="47" xfId="0" applyFont="1" applyFill="1" applyBorder="1"/>
    <xf numFmtId="0" fontId="3" fillId="2" borderId="48" xfId="0" applyFont="1" applyFill="1" applyBorder="1" applyAlignment="1">
      <alignment horizontal="left" vertical="top"/>
    </xf>
    <xf numFmtId="0" fontId="35" fillId="2" borderId="49" xfId="0" applyFont="1" applyFill="1" applyBorder="1"/>
    <xf numFmtId="0" fontId="0" fillId="26" borderId="50" xfId="0" applyFill="1" applyBorder="1"/>
    <xf numFmtId="0" fontId="0" fillId="0" borderId="51" xfId="0" applyBorder="1"/>
    <xf numFmtId="0" fontId="0" fillId="26" borderId="39" xfId="0" applyFill="1" applyBorder="1"/>
    <xf numFmtId="0" fontId="0" fillId="0" borderId="40" xfId="0" applyBorder="1"/>
    <xf numFmtId="0" fontId="0" fillId="0" borderId="52" xfId="0" applyBorder="1"/>
    <xf numFmtId="0" fontId="0" fillId="27" borderId="53" xfId="0" applyFill="1" applyBorder="1"/>
    <xf numFmtId="0" fontId="0" fillId="0" borderId="54" xfId="0" applyBorder="1"/>
    <xf numFmtId="0" fontId="0" fillId="0" borderId="55" xfId="0" applyBorder="1"/>
    <xf numFmtId="0" fontId="0" fillId="27" borderId="37" xfId="0" applyFill="1" applyBorder="1"/>
    <xf numFmtId="0" fontId="10" fillId="0" borderId="1" xfId="0" applyFont="1" applyBorder="1"/>
    <xf numFmtId="0" fontId="38" fillId="0" borderId="0" xfId="0" applyFont="1" applyAlignment="1">
      <alignment horizontal="right"/>
    </xf>
    <xf numFmtId="0" fontId="39" fillId="0" borderId="0" xfId="0" applyFont="1" applyAlignment="1">
      <alignment horizontal="center"/>
    </xf>
    <xf numFmtId="0" fontId="0" fillId="27" borderId="53" xfId="0" applyFill="1" applyBorder="1" applyAlignment="1">
      <alignment wrapText="1"/>
    </xf>
    <xf numFmtId="0" fontId="35" fillId="22" borderId="0" xfId="0" applyFont="1" applyFill="1" applyAlignment="1">
      <alignment horizontal="center"/>
    </xf>
    <xf numFmtId="0" fontId="0" fillId="0" borderId="56" xfId="0" applyBorder="1"/>
    <xf numFmtId="0" fontId="7" fillId="0" borderId="56" xfId="0" applyFont="1" applyBorder="1"/>
    <xf numFmtId="0" fontId="0" fillId="29" borderId="57" xfId="0" applyFill="1" applyBorder="1" applyAlignment="1">
      <alignment wrapText="1"/>
    </xf>
    <xf numFmtId="0" fontId="0" fillId="29" borderId="59" xfId="0" applyFill="1" applyBorder="1" applyAlignment="1">
      <alignment wrapText="1"/>
    </xf>
    <xf numFmtId="0" fontId="0" fillId="0" borderId="58" xfId="0" applyBorder="1"/>
    <xf numFmtId="0" fontId="0" fillId="0" borderId="60" xfId="0" applyBorder="1"/>
    <xf numFmtId="0" fontId="0" fillId="0" borderId="61" xfId="0" applyBorder="1"/>
    <xf numFmtId="0" fontId="3" fillId="28" borderId="0" xfId="0" applyFont="1" applyFill="1" applyAlignment="1">
      <alignment horizontal="center"/>
    </xf>
    <xf numFmtId="0" fontId="3" fillId="22" borderId="0" xfId="0" applyFont="1" applyFill="1" applyAlignment="1">
      <alignment horizontal="center"/>
    </xf>
    <xf numFmtId="0" fontId="3" fillId="6" borderId="0" xfId="0" applyFont="1" applyFill="1" applyAlignment="1">
      <alignment horizontal="center"/>
    </xf>
    <xf numFmtId="0" fontId="0" fillId="30" borderId="62" xfId="0" applyFill="1" applyBorder="1"/>
    <xf numFmtId="0" fontId="0" fillId="0" borderId="63" xfId="0" applyBorder="1"/>
    <xf numFmtId="0" fontId="0" fillId="30" borderId="35" xfId="0" applyFill="1" applyBorder="1"/>
    <xf numFmtId="0" fontId="0" fillId="0" borderId="64" xfId="0" applyBorder="1"/>
    <xf numFmtId="0" fontId="35" fillId="31" borderId="0" xfId="0" applyFont="1" applyFill="1" applyAlignment="1">
      <alignment horizontal="center"/>
    </xf>
    <xf numFmtId="0" fontId="37" fillId="31" borderId="0" xfId="0" applyFont="1" applyFill="1" applyAlignment="1">
      <alignment horizontal="center"/>
    </xf>
    <xf numFmtId="0" fontId="37" fillId="28" borderId="0" xfId="0" applyFont="1" applyFill="1" applyAlignment="1">
      <alignment horizontal="center"/>
    </xf>
    <xf numFmtId="0" fontId="37" fillId="22" borderId="0" xfId="0" applyFont="1" applyFill="1" applyAlignment="1">
      <alignment horizontal="center"/>
    </xf>
    <xf numFmtId="0" fontId="37" fillId="6" borderId="0" xfId="0" applyFont="1" applyFill="1" applyAlignment="1">
      <alignment horizontal="center"/>
    </xf>
    <xf numFmtId="0" fontId="35" fillId="6" borderId="0" xfId="0" applyFont="1" applyFill="1" applyAlignment="1">
      <alignment horizontal="left"/>
    </xf>
    <xf numFmtId="0" fontId="0" fillId="29" borderId="0" xfId="0" applyFill="1" applyAlignment="1">
      <alignment wrapText="1"/>
    </xf>
    <xf numFmtId="0" fontId="0" fillId="29" borderId="60" xfId="0" applyFill="1" applyBorder="1" applyAlignment="1">
      <alignment wrapText="1"/>
    </xf>
    <xf numFmtId="0" fontId="0" fillId="27" borderId="0" xfId="0" applyFill="1"/>
    <xf numFmtId="0" fontId="0" fillId="27" borderId="0" xfId="0" applyFill="1" applyAlignment="1">
      <alignment wrapText="1"/>
    </xf>
    <xf numFmtId="0" fontId="0" fillId="27" borderId="38" xfId="0" applyFill="1" applyBorder="1"/>
    <xf numFmtId="0" fontId="0" fillId="0" borderId="65" xfId="0" applyBorder="1"/>
    <xf numFmtId="0" fontId="0" fillId="0" borderId="66" xfId="0" applyBorder="1"/>
    <xf numFmtId="0" fontId="0" fillId="0" borderId="67" xfId="0" applyBorder="1"/>
    <xf numFmtId="0" fontId="0" fillId="0" borderId="68" xfId="0" applyBorder="1" applyAlignment="1">
      <alignment horizontal="left"/>
    </xf>
    <xf numFmtId="0" fontId="0" fillId="0" borderId="69" xfId="0" applyBorder="1"/>
    <xf numFmtId="0" fontId="0" fillId="0" borderId="70" xfId="0" applyBorder="1"/>
    <xf numFmtId="0" fontId="0" fillId="0" borderId="70" xfId="0" applyBorder="1" applyAlignment="1">
      <alignment horizontal="left"/>
    </xf>
    <xf numFmtId="0" fontId="0" fillId="25" borderId="71" xfId="0" applyFill="1" applyBorder="1"/>
    <xf numFmtId="0" fontId="0" fillId="0" borderId="71" xfId="0" applyBorder="1"/>
    <xf numFmtId="0" fontId="40" fillId="0" borderId="1" xfId="0" applyFont="1" applyBorder="1"/>
    <xf numFmtId="0" fontId="0" fillId="0" borderId="1" xfId="0" applyBorder="1"/>
    <xf numFmtId="0" fontId="41" fillId="0" borderId="0" xfId="0" applyFont="1"/>
    <xf numFmtId="0" fontId="37" fillId="0" borderId="1" xfId="0" applyFont="1" applyBorder="1"/>
    <xf numFmtId="0" fontId="34" fillId="0" borderId="1" xfId="0" applyFont="1" applyBorder="1"/>
    <xf numFmtId="0" fontId="7" fillId="0" borderId="56" xfId="0" applyFont="1" applyBorder="1" applyAlignment="1">
      <alignment vertical="center"/>
    </xf>
    <xf numFmtId="0" fontId="35" fillId="0" borderId="72" xfId="0" applyFont="1" applyBorder="1"/>
    <xf numFmtId="0" fontId="0" fillId="0" borderId="72" xfId="0" applyBorder="1"/>
    <xf numFmtId="0" fontId="42" fillId="0" borderId="0" xfId="0" applyFont="1">
      <extLst>
        <ext xmlns:xfpb="http://schemas.microsoft.com/office/spreadsheetml/2022/featurepropertybag" uri="{C7286773-470A-42A8-94C5-96B5CB345126}">
          <xfpb:xfComplement i="0"/>
        </ext>
      </extLst>
    </xf>
    <xf numFmtId="0" fontId="42" fillId="0" borderId="73" xfId="0" applyFont="1" applyBorder="1">
      <extLst>
        <ext xmlns:xfpb="http://schemas.microsoft.com/office/spreadsheetml/2022/featurepropertybag" uri="{C7286773-470A-42A8-94C5-96B5CB345126}">
          <xfpb:xfComplement i="0"/>
        </ext>
      </extLst>
    </xf>
    <xf numFmtId="0" fontId="34" fillId="0" borderId="73" xfId="0" applyFont="1" applyBorder="1" applyAlignment="1">
      <alignment horizontal="center"/>
    </xf>
    <xf numFmtId="0" fontId="0" fillId="0" borderId="73" xfId="0" applyBorder="1"/>
    <xf numFmtId="0" fontId="10" fillId="0" borderId="73" xfId="0" applyFont="1" applyBorder="1"/>
    <xf numFmtId="0" fontId="0" fillId="0" borderId="75" xfId="0" applyBorder="1"/>
    <xf numFmtId="0" fontId="0" fillId="0" borderId="0" xfId="0" applyAlignment="1">
      <alignment horizontal="center" vertical="center"/>
    </xf>
    <xf numFmtId="14" fontId="0" fillId="0" borderId="0" xfId="0" applyNumberFormat="1" applyAlignment="1">
      <alignment horizontal="center"/>
    </xf>
    <xf numFmtId="166" fontId="0" fillId="0" borderId="74" xfId="0" applyNumberFormat="1" applyBorder="1"/>
    <xf numFmtId="15" fontId="0" fillId="0" borderId="75" xfId="0" applyNumberFormat="1" applyBorder="1"/>
    <xf numFmtId="44" fontId="0" fillId="0" borderId="75" xfId="0" applyNumberFormat="1" applyBorder="1"/>
    <xf numFmtId="22" fontId="0" fillId="0" borderId="0" xfId="0" applyNumberFormat="1"/>
    <xf numFmtId="0" fontId="10" fillId="32" borderId="0" xfId="0" applyFont="1" applyFill="1"/>
    <xf numFmtId="0" fontId="35" fillId="0" borderId="0" xfId="0" applyFont="1" applyAlignment="1">
      <alignment horizontal="left" vertical="center"/>
    </xf>
    <xf numFmtId="0" fontId="0" fillId="0" borderId="76" xfId="0" applyBorder="1"/>
    <xf numFmtId="0" fontId="44" fillId="0" borderId="76" xfId="0" applyFont="1" applyBorder="1"/>
    <xf numFmtId="0" fontId="45" fillId="0" borderId="0" xfId="0" applyFont="1" applyAlignment="1">
      <alignment horizontal="centerContinuous"/>
    </xf>
    <xf numFmtId="0" fontId="5" fillId="0" borderId="0" xfId="1" applyBorder="1" applyAlignment="1">
      <alignment horizontal="center"/>
    </xf>
    <xf numFmtId="0" fontId="8" fillId="0" borderId="0" xfId="0" applyFont="1" applyAlignment="1">
      <alignment horizontal="left" vertical="top" wrapText="1"/>
    </xf>
    <xf numFmtId="44" fontId="8" fillId="0" borderId="0" xfId="0" applyNumberFormat="1" applyFont="1"/>
    <xf numFmtId="0" fontId="5" fillId="21" borderId="0" xfId="1" applyFill="1" applyAlignment="1">
      <alignment horizontal="right"/>
    </xf>
    <xf numFmtId="0" fontId="8" fillId="0" borderId="0" xfId="0" applyFont="1" applyAlignment="1">
      <alignment vertical="top"/>
    </xf>
    <xf numFmtId="0" fontId="4" fillId="0" borderId="0" xfId="0" applyFont="1" applyAlignment="1">
      <alignment horizontal="center" vertical="top" wrapText="1"/>
    </xf>
    <xf numFmtId="0" fontId="8" fillId="0" borderId="0" xfId="0" applyFont="1" applyAlignment="1">
      <alignment horizontal="center" vertical="top" wrapText="1"/>
    </xf>
    <xf numFmtId="0" fontId="5" fillId="0" borderId="0" xfId="1" applyAlignment="1">
      <alignment horizontal="left"/>
    </xf>
    <xf numFmtId="0" fontId="5" fillId="0" borderId="0" xfId="1" applyFill="1" applyBorder="1" applyAlignment="1">
      <alignment horizontal="left"/>
    </xf>
    <xf numFmtId="0" fontId="0" fillId="0" borderId="0" xfId="0" applyAlignment="1">
      <alignment vertical="top" wrapText="1"/>
    </xf>
    <xf numFmtId="0" fontId="0" fillId="0" borderId="0" xfId="0" applyAlignment="1">
      <alignment horizontal="left" vertical="top" wrapText="1"/>
    </xf>
    <xf numFmtId="0" fontId="47" fillId="0" borderId="0" xfId="0" applyFont="1" applyAlignment="1">
      <alignment horizontal="center"/>
    </xf>
    <xf numFmtId="0" fontId="48" fillId="0" borderId="0" xfId="1" applyFont="1" applyAlignment="1">
      <alignment horizontal="left"/>
    </xf>
    <xf numFmtId="0" fontId="48" fillId="0" borderId="0" xfId="1" quotePrefix="1" applyFont="1" applyAlignment="1">
      <alignment horizontal="left"/>
    </xf>
    <xf numFmtId="0" fontId="48" fillId="0" borderId="0" xfId="1" applyFont="1" applyFill="1" applyBorder="1" applyAlignment="1">
      <alignment horizontal="left"/>
    </xf>
    <xf numFmtId="0" fontId="48" fillId="0" borderId="0" xfId="1" applyFont="1" applyFill="1" applyAlignment="1">
      <alignment horizontal="left"/>
    </xf>
    <xf numFmtId="0" fontId="48" fillId="0" borderId="0" xfId="1" applyFont="1" applyBorder="1" applyAlignment="1">
      <alignment horizontal="left"/>
    </xf>
    <xf numFmtId="0" fontId="11" fillId="21" borderId="0" xfId="0" applyFont="1" applyFill="1" applyAlignment="1">
      <alignment horizontal="center"/>
    </xf>
    <xf numFmtId="170" fontId="10" fillId="0" borderId="0" xfId="0" applyNumberFormat="1" applyFont="1"/>
    <xf numFmtId="171" fontId="0" fillId="0" borderId="0" xfId="0" applyNumberFormat="1"/>
    <xf numFmtId="171" fontId="10" fillId="0" borderId="0" xfId="0" applyNumberFormat="1" applyFont="1"/>
    <xf numFmtId="14" fontId="8" fillId="0" borderId="0" xfId="0" applyNumberFormat="1" applyFont="1" applyAlignment="1">
      <alignment horizontal="center"/>
    </xf>
    <xf numFmtId="0" fontId="5" fillId="21" borderId="0" xfId="1" applyFill="1" applyAlignment="1">
      <alignment horizontal="center"/>
    </xf>
    <xf numFmtId="0" fontId="46" fillId="0" borderId="0" xfId="0" applyFont="1" applyAlignment="1">
      <alignment horizontal="left"/>
    </xf>
    <xf numFmtId="0" fontId="6" fillId="0" borderId="0" xfId="0" applyFont="1" applyAlignment="1">
      <alignment horizontal="left"/>
    </xf>
    <xf numFmtId="0" fontId="35" fillId="0" borderId="0" xfId="0" applyFont="1" applyAlignment="1">
      <alignment horizontal="left"/>
    </xf>
    <xf numFmtId="0" fontId="49" fillId="0" borderId="0" xfId="0" applyFont="1" applyAlignment="1">
      <alignment horizontal="left" vertical="top"/>
    </xf>
    <xf numFmtId="0" fontId="50" fillId="0" borderId="0" xfId="0" applyFont="1"/>
    <xf numFmtId="0" fontId="10" fillId="21" borderId="0" xfId="0" applyFont="1" applyFill="1"/>
    <xf numFmtId="0" fontId="7" fillId="21" borderId="0" xfId="0" applyFont="1" applyFill="1"/>
    <xf numFmtId="4" fontId="0" fillId="0" borderId="0" xfId="0" applyNumberFormat="1"/>
    <xf numFmtId="0" fontId="51" fillId="33" borderId="0" xfId="0" applyFont="1" applyFill="1" applyAlignment="1">
      <alignment horizontal="center"/>
    </xf>
    <xf numFmtId="0" fontId="52" fillId="0" borderId="0" xfId="0" applyFont="1" applyAlignment="1">
      <alignment horizontal="center" vertical="top" wrapText="1"/>
    </xf>
    <xf numFmtId="0" fontId="52" fillId="0" borderId="0" xfId="0" applyFont="1" applyAlignment="1">
      <alignment vertical="top" wrapText="1"/>
    </xf>
    <xf numFmtId="0" fontId="52" fillId="0" borderId="0" xfId="0" applyFont="1" applyAlignment="1">
      <alignment horizontal="left"/>
    </xf>
    <xf numFmtId="0" fontId="52" fillId="0" borderId="0" xfId="0" applyFont="1" applyAlignment="1">
      <alignment horizontal="left" vertical="top" wrapText="1"/>
    </xf>
    <xf numFmtId="0" fontId="2" fillId="0" borderId="0" xfId="0" applyFont="1" applyAlignment="1">
      <alignment horizontal="left"/>
    </xf>
    <xf numFmtId="0" fontId="52" fillId="0" borderId="0" xfId="0" applyFont="1" applyAlignment="1">
      <alignment horizontal="left" wrapText="1"/>
    </xf>
    <xf numFmtId="0" fontId="2" fillId="0" borderId="0" xfId="0" applyFont="1" applyAlignment="1">
      <alignment horizontal="left" vertical="top" wrapText="1"/>
    </xf>
    <xf numFmtId="0" fontId="2" fillId="0" borderId="0" xfId="0" applyFont="1" applyAlignment="1">
      <alignment horizontal="left" vertical="top"/>
    </xf>
    <xf numFmtId="0" fontId="53" fillId="0" borderId="0" xfId="0" applyFont="1" applyAlignment="1">
      <alignment horizontal="left" vertical="top"/>
    </xf>
    <xf numFmtId="0" fontId="54" fillId="0" borderId="0" xfId="0" applyFont="1" applyAlignment="1">
      <alignment horizontal="left" wrapText="1"/>
    </xf>
    <xf numFmtId="0" fontId="55" fillId="0" borderId="0" xfId="0" applyFont="1" applyAlignment="1">
      <alignment horizontal="center" vertical="top"/>
    </xf>
    <xf numFmtId="0" fontId="0" fillId="0" borderId="0" xfId="0" applyAlignment="1">
      <alignment wrapText="1"/>
    </xf>
    <xf numFmtId="0" fontId="34" fillId="0" borderId="0" xfId="0" applyFont="1" applyAlignment="1">
      <alignment horizontal="right"/>
    </xf>
    <xf numFmtId="0" fontId="56" fillId="21" borderId="0" xfId="0" applyFont="1" applyFill="1" applyAlignment="1">
      <alignment horizontal="left" vertical="top"/>
    </xf>
    <xf numFmtId="0" fontId="0" fillId="32" borderId="0" xfId="0" applyFill="1"/>
    <xf numFmtId="0" fontId="0" fillId="32" borderId="0" xfId="0" applyFill="1" applyAlignment="1">
      <alignment horizontal="center"/>
    </xf>
    <xf numFmtId="0" fontId="5" fillId="32" borderId="0" xfId="1" applyFill="1"/>
    <xf numFmtId="0" fontId="5" fillId="32" borderId="0" xfId="1" applyFill="1" applyAlignment="1">
      <alignment horizontal="right"/>
    </xf>
    <xf numFmtId="0" fontId="22" fillId="32" borderId="0" xfId="0" applyFont="1" applyFill="1" applyAlignment="1">
      <alignment horizontal="left" vertical="top"/>
    </xf>
    <xf numFmtId="0" fontId="57" fillId="21" borderId="0" xfId="0" applyFont="1" applyFill="1" applyAlignment="1">
      <alignment vertical="top"/>
    </xf>
    <xf numFmtId="0" fontId="0" fillId="0" borderId="76" xfId="0" applyBorder="1" applyAlignment="1">
      <alignment wrapText="1"/>
    </xf>
    <xf numFmtId="0" fontId="37" fillId="0" borderId="0" xfId="0" applyFont="1" applyAlignment="1">
      <alignment horizontal="left" vertical="top"/>
    </xf>
    <xf numFmtId="44" fontId="4" fillId="0" borderId="0" xfId="0" applyNumberFormat="1" applyFont="1"/>
    <xf numFmtId="0" fontId="4" fillId="0" borderId="0" xfId="0" applyFont="1" applyAlignment="1">
      <alignment vertical="top" wrapText="1"/>
    </xf>
    <xf numFmtId="44" fontId="4" fillId="0" borderId="77" xfId="0" applyNumberFormat="1" applyFont="1" applyBorder="1"/>
    <xf numFmtId="44" fontId="4" fillId="0" borderId="78" xfId="0" applyNumberFormat="1" applyFont="1" applyBorder="1"/>
    <xf numFmtId="44" fontId="4" fillId="2" borderId="79" xfId="0" applyNumberFormat="1" applyFont="1" applyFill="1" applyBorder="1"/>
    <xf numFmtId="0" fontId="4" fillId="0" borderId="59" xfId="0" applyFont="1" applyBorder="1"/>
    <xf numFmtId="0" fontId="59" fillId="0" borderId="0" xfId="1" applyFont="1" applyAlignment="1">
      <alignment horizontal="left"/>
    </xf>
    <xf numFmtId="0" fontId="0" fillId="0" borderId="0" xfId="0" applyAlignment="1">
      <alignment vertical="top"/>
    </xf>
    <xf numFmtId="0" fontId="60" fillId="0" borderId="0" xfId="0" applyFont="1"/>
    <xf numFmtId="0" fontId="34" fillId="0" borderId="0" xfId="0" applyFont="1" applyAlignment="1">
      <alignment horizontal="left" vertical="top"/>
    </xf>
    <xf numFmtId="0" fontId="34" fillId="0" borderId="0" xfId="0" applyFont="1" applyAlignment="1">
      <alignment horizontal="left" vertical="top" wrapText="1"/>
    </xf>
    <xf numFmtId="0" fontId="34" fillId="0" borderId="0" xfId="0" applyFont="1" applyAlignment="1">
      <alignment vertical="top"/>
    </xf>
    <xf numFmtId="0" fontId="8" fillId="0" borderId="0" xfId="0" applyFont="1" applyAlignment="1">
      <alignment horizontal="left" vertical="top" wrapText="1"/>
    </xf>
    <xf numFmtId="0" fontId="58" fillId="0" borderId="0" xfId="0" applyFont="1" applyAlignment="1">
      <alignment horizontal="left" vertical="top" wrapText="1"/>
    </xf>
    <xf numFmtId="0" fontId="34" fillId="0" borderId="0" xfId="0" applyFont="1" applyAlignment="1">
      <alignment horizontal="center" wrapText="1"/>
    </xf>
    <xf numFmtId="0" fontId="47" fillId="0" borderId="0" xfId="0" applyFont="1" applyAlignment="1">
      <alignment horizontal="left" vertical="top"/>
    </xf>
    <xf numFmtId="0" fontId="47" fillId="0" borderId="0" xfId="0" applyFont="1" applyAlignment="1">
      <alignment horizontal="left" vertical="top" wrapText="1"/>
    </xf>
    <xf numFmtId="0" fontId="15" fillId="0" borderId="0" xfId="0" applyFont="1" applyAlignment="1">
      <alignment horizontal="center"/>
    </xf>
    <xf numFmtId="0" fontId="31" fillId="20" borderId="0" xfId="0" applyFont="1" applyFill="1" applyAlignment="1">
      <alignment horizontal="center" vertical="center"/>
    </xf>
    <xf numFmtId="0" fontId="27" fillId="19" borderId="0" xfId="0" applyFont="1" applyFill="1" applyAlignment="1">
      <alignment horizontal="left" vertical="center"/>
    </xf>
    <xf numFmtId="0" fontId="25" fillId="0" borderId="0" xfId="0" applyFont="1" applyAlignment="1">
      <alignment horizontal="left" vertical="center"/>
    </xf>
    <xf numFmtId="0" fontId="30" fillId="0" borderId="4" xfId="0" applyFont="1" applyBorder="1" applyAlignment="1">
      <alignment horizontal="left" vertical="center"/>
    </xf>
    <xf numFmtId="0" fontId="29" fillId="0" borderId="0" xfId="0" applyFont="1" applyAlignment="1">
      <alignment horizontal="left"/>
    </xf>
    <xf numFmtId="0" fontId="24" fillId="0" borderId="0" xfId="0" applyFont="1" applyAlignment="1">
      <alignment horizontal="left" vertical="center"/>
    </xf>
    <xf numFmtId="0" fontId="29" fillId="0" borderId="4" xfId="0" applyFont="1" applyBorder="1" applyAlignment="1">
      <alignment horizontal="left" vertical="center"/>
    </xf>
    <xf numFmtId="0" fontId="30" fillId="0" borderId="3" xfId="0" applyFont="1" applyBorder="1" applyAlignment="1">
      <alignment horizontal="left" vertical="center"/>
    </xf>
    <xf numFmtId="0" fontId="29" fillId="0" borderId="3" xfId="0" applyFont="1" applyBorder="1" applyAlignment="1">
      <alignment horizontal="left" vertical="center"/>
    </xf>
    <xf numFmtId="0" fontId="30" fillId="0" borderId="0" xfId="0" applyFont="1" applyAlignment="1">
      <alignment horizontal="left" vertical="center"/>
    </xf>
    <xf numFmtId="0" fontId="29" fillId="0" borderId="0" xfId="0" applyFont="1" applyAlignment="1">
      <alignment horizontal="left" vertical="center"/>
    </xf>
    <xf numFmtId="0" fontId="28" fillId="19" borderId="0" xfId="0" applyFont="1" applyFill="1" applyAlignment="1">
      <alignment horizontal="left" vertical="center"/>
    </xf>
    <xf numFmtId="0" fontId="25" fillId="0" borderId="4" xfId="0" applyFont="1" applyBorder="1" applyAlignment="1">
      <alignment horizontal="left" vertical="center"/>
    </xf>
    <xf numFmtId="0" fontId="25" fillId="0" borderId="3" xfId="0" applyFont="1" applyBorder="1" applyAlignment="1">
      <alignment horizontal="left" vertical="center"/>
    </xf>
    <xf numFmtId="0" fontId="24" fillId="0" borderId="0" xfId="0" applyFont="1" applyAlignment="1">
      <alignment horizontal="left"/>
    </xf>
    <xf numFmtId="0" fontId="24" fillId="0" borderId="3" xfId="0" applyFont="1" applyBorder="1" applyAlignment="1">
      <alignment horizontal="left"/>
    </xf>
    <xf numFmtId="0" fontId="24" fillId="0" borderId="4" xfId="0" applyFont="1" applyBorder="1" applyAlignment="1">
      <alignment horizontal="left"/>
    </xf>
    <xf numFmtId="0" fontId="25" fillId="0" borderId="0" xfId="0" applyFont="1" applyAlignment="1">
      <alignment horizontal="center" vertical="center"/>
    </xf>
    <xf numFmtId="0" fontId="4" fillId="0" borderId="0" xfId="0" applyFont="1" applyAlignment="1">
      <alignment horizontal="center"/>
    </xf>
  </cellXfs>
  <cellStyles count="4">
    <cellStyle name="Comma 2" xfId="2" xr:uid="{7909506A-6B0F-49D8-B9B9-0CDB208C3BB2}"/>
    <cellStyle name="Hyperlink" xfId="1" builtinId="8"/>
    <cellStyle name="Hyperlink 3" xfId="3" xr:uid="{C989C548-B037-412B-8BED-2583B388F05C}"/>
    <cellStyle name="Normal" xfId="0" builtinId="0"/>
  </cellStyles>
  <dxfs count="299">
    <dxf>
      <font>
        <color rgb="FF00B050"/>
      </font>
      <fill>
        <patternFill>
          <bgColor rgb="FF00B050"/>
        </patternFill>
      </fill>
    </dxf>
    <dxf>
      <font>
        <color rgb="FFFF0000"/>
      </font>
      <fill>
        <patternFill>
          <bgColor rgb="FFFF0000"/>
        </patternFill>
      </fill>
    </dxf>
    <dxf>
      <font>
        <b/>
        <i val="0"/>
        <color rgb="FFFF0000"/>
      </font>
    </dxf>
    <dxf>
      <font>
        <b/>
        <i/>
        <color rgb="FF00B050"/>
      </font>
    </dxf>
    <dxf>
      <font>
        <color theme="0"/>
      </font>
    </dxf>
    <dxf>
      <font>
        <color rgb="FFFF0000"/>
      </font>
    </dxf>
    <dxf>
      <font>
        <color rgb="FF00B050"/>
      </font>
    </dxf>
    <dxf>
      <font>
        <color theme="0" tint="-0.34998626667073579"/>
      </font>
    </dxf>
    <dxf>
      <fill>
        <patternFill>
          <bgColor theme="9" tint="0.79998168889431442"/>
        </patternFill>
      </fill>
    </dxf>
    <dxf>
      <font>
        <color rgb="FFFF0000"/>
      </font>
    </dxf>
    <dxf>
      <font>
        <color rgb="FF00B050"/>
      </font>
    </dxf>
    <dxf>
      <font>
        <color theme="0" tint="-0.34998626667073579"/>
      </font>
    </dxf>
    <dxf>
      <font>
        <color theme="0" tint="-0.24994659260841701"/>
      </font>
    </dxf>
    <dxf>
      <font>
        <color rgb="FFFF0000"/>
      </font>
    </dxf>
    <dxf>
      <fill>
        <patternFill>
          <bgColor theme="9" tint="0.79998168889431442"/>
        </patternFill>
      </fill>
    </dxf>
    <dxf>
      <font>
        <color theme="0" tint="-0.24994659260841701"/>
      </font>
    </dxf>
    <dxf>
      <font>
        <color rgb="FFFF0000"/>
      </font>
    </dxf>
    <dxf>
      <font>
        <color rgb="FFFF0000"/>
      </font>
    </dxf>
    <dxf>
      <font>
        <color rgb="FF00B050"/>
      </font>
    </dxf>
    <dxf>
      <font>
        <color theme="0" tint="-0.34998626667073579"/>
      </font>
    </dxf>
    <dxf>
      <fill>
        <patternFill>
          <bgColor theme="9" tint="0.79998168889431442"/>
        </patternFill>
      </fill>
    </dxf>
    <dxf>
      <font>
        <color theme="0" tint="-0.24994659260841701"/>
      </font>
    </dxf>
    <dxf>
      <font>
        <color rgb="FFFF0000"/>
      </font>
    </dxf>
    <dxf>
      <font>
        <color rgb="FFFF0000"/>
      </font>
    </dxf>
    <dxf>
      <font>
        <color rgb="FF00B050"/>
      </font>
    </dxf>
    <dxf>
      <font>
        <color theme="0" tint="-0.34998626667073579"/>
      </font>
    </dxf>
    <dxf>
      <fill>
        <patternFill>
          <bgColor theme="9" tint="0.79998168889431442"/>
        </patternFill>
      </fill>
    </dxf>
    <dxf>
      <font>
        <color theme="0" tint="-0.24994659260841701"/>
      </font>
    </dxf>
    <dxf>
      <font>
        <color theme="0" tint="-0.24994659260841701"/>
      </font>
    </dxf>
    <dxf>
      <font>
        <color theme="0" tint="-0.24994659260841701"/>
      </font>
    </dxf>
    <dxf>
      <fill>
        <patternFill>
          <bgColor rgb="FFFBEFFA"/>
        </patternFill>
      </fill>
    </dxf>
    <dxf>
      <font>
        <color theme="0" tint="-0.24994659260841701"/>
      </font>
    </dxf>
    <dxf>
      <font>
        <color rgb="FF00B050"/>
      </font>
      <fill>
        <patternFill>
          <bgColor rgb="FF00B050"/>
        </patternFill>
      </fill>
    </dxf>
    <dxf>
      <font>
        <color rgb="FFFF0000"/>
      </font>
      <fill>
        <patternFill>
          <bgColor rgb="FFFF0000"/>
        </patternFill>
      </fill>
    </dxf>
    <dxf>
      <font>
        <color rgb="FFFF0000"/>
      </font>
    </dxf>
    <dxf>
      <font>
        <color rgb="FF00B050"/>
      </font>
    </dxf>
    <dxf>
      <font>
        <b/>
        <i val="0"/>
        <color rgb="FFFF0000"/>
      </font>
    </dxf>
    <dxf>
      <font>
        <b/>
        <i/>
        <color rgb="FF00B050"/>
      </font>
    </dxf>
    <dxf>
      <font>
        <color rgb="FFFF0000"/>
      </font>
    </dxf>
    <dxf>
      <font>
        <color rgb="FF00B050"/>
      </font>
    </dxf>
    <dxf>
      <font>
        <color theme="0" tint="-0.34998626667073579"/>
      </font>
    </dxf>
    <dxf>
      <font>
        <color rgb="FFFF0000"/>
      </font>
      <fill>
        <patternFill patternType="none">
          <bgColor auto="1"/>
        </patternFill>
      </fill>
    </dxf>
    <dxf>
      <font>
        <color rgb="FFFF0000"/>
      </font>
    </dxf>
    <dxf>
      <font>
        <color theme="0" tint="-0.24994659260841701"/>
      </font>
    </dxf>
    <dxf>
      <font>
        <color rgb="FFFF0000"/>
      </font>
    </dxf>
    <dxf>
      <fill>
        <patternFill>
          <bgColor theme="9" tint="0.79998168889431442"/>
        </patternFill>
      </fill>
    </dxf>
    <dxf>
      <font>
        <color theme="0"/>
      </font>
    </dxf>
    <dxf>
      <font>
        <color rgb="FFFF0000"/>
      </font>
      <fill>
        <patternFill>
          <bgColor rgb="FFFF0000"/>
        </patternFill>
      </fill>
    </dxf>
    <dxf>
      <font>
        <color rgb="FF00B050"/>
      </font>
      <fill>
        <patternFill>
          <bgColor rgb="FF00B050"/>
        </patternFill>
      </fill>
    </dxf>
    <dxf>
      <font>
        <color theme="0"/>
      </font>
    </dxf>
    <dxf>
      <font>
        <color theme="0" tint="-0.499984740745262"/>
      </font>
      <fill>
        <patternFill>
          <bgColor theme="0" tint="-0.499984740745262"/>
        </patternFill>
      </fill>
    </dxf>
    <dxf>
      <font>
        <color theme="0"/>
      </font>
    </dxf>
    <dxf>
      <font>
        <color rgb="FFFF0000"/>
      </font>
    </dxf>
    <dxf>
      <font>
        <color theme="9" tint="-0.24994659260841701"/>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quot;$&quot;* #,##0.00_);_(&quot;$&quot;* \(#,##0.00\);_(&quot;$&quot;* &quot;-&quot;??_);_(@_)"/>
    </dxf>
    <dxf>
      <numFmt numFmtId="0" formatCode="General"/>
    </dxf>
    <dxf>
      <numFmt numFmtId="34" formatCode="_(&quot;$&quot;* #,##0.00_);_(&quot;$&quot;* \(#,##0.00\);_(&quot;$&quot;* &quot;-&quot;??_);_(@_)"/>
    </dxf>
    <dxf>
      <numFmt numFmtId="34" formatCode="_(&quot;$&quot;* #,##0.00_);_(&quot;$&quot;* \(#,##0.00\);_(&quot;$&quot;* &quot;-&quot;??_);_(@_)"/>
    </dxf>
    <dxf>
      <numFmt numFmtId="0" formatCode="General"/>
    </dxf>
    <dxf>
      <numFmt numFmtId="0" formatCode="Genera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fill>
        <patternFill patternType="none">
          <fgColor indexed="64"/>
          <bgColor indexed="65"/>
        </patternFill>
      </fill>
    </dxf>
    <dxf>
      <font>
        <strike val="0"/>
        <outline val="0"/>
        <shadow val="0"/>
        <u val="none"/>
        <vertAlign val="baseline"/>
        <sz val="12"/>
        <color theme="1"/>
        <name val="Aptos Narrow"/>
        <family val="2"/>
        <scheme val="minor"/>
      </font>
    </dxf>
    <dxf>
      <numFmt numFmtId="2" formatCode="0.00"/>
    </dxf>
    <dxf>
      <numFmt numFmtId="2" formatCode="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0" formatCode="General"/>
    </dxf>
    <dxf>
      <numFmt numFmtId="0" formatCode="General"/>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0" formatCode="General"/>
    </dxf>
    <dxf>
      <numFmt numFmtId="0" formatCode="General"/>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dxf>
    <dxf>
      <numFmt numFmtId="2" formatCode="0.00"/>
    </dxf>
    <dxf>
      <numFmt numFmtId="2" formatCode="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0" formatCode="General"/>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fill>
        <patternFill patternType="none">
          <fgColor indexed="64"/>
          <bgColor indexed="65"/>
        </patternFill>
      </fill>
    </dxf>
    <dxf>
      <font>
        <strike val="0"/>
        <outline val="0"/>
        <shadow val="0"/>
        <u val="none"/>
        <vertAlign val="baseline"/>
        <sz val="12"/>
        <color theme="1"/>
        <name val="Aptos Narrow"/>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2" formatCode="0.00"/>
    </dxf>
    <dxf>
      <numFmt numFmtId="2" formatCode="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sz val="12"/>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sz val="12"/>
      </font>
      <numFmt numFmtId="2" formatCode="0.00"/>
      <fill>
        <patternFill patternType="none">
          <fgColor indexed="64"/>
          <bgColor indexed="65"/>
        </patternFill>
      </fill>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0" formatCode="General"/>
    </dxf>
    <dxf>
      <font>
        <b val="0"/>
        <i val="0"/>
        <strike val="0"/>
        <condense val="0"/>
        <extend val="0"/>
        <outline val="0"/>
        <shadow val="0"/>
        <u val="none"/>
        <vertAlign val="baseline"/>
        <sz val="11"/>
        <color auto="1"/>
        <name val="Aptos Narrow"/>
        <family val="2"/>
        <scheme val="minor"/>
      </font>
      <numFmt numFmtId="170" formatCode="_-&quot;$&quot;* #,##0.00_-;\-&quot;$&quot;* #,##0.00_-;_-&quot;$&quot;* &quot;-&quot;??_-;_-@_-"/>
    </dxf>
    <dxf>
      <font>
        <b val="0"/>
        <i val="0"/>
        <strike val="0"/>
        <condense val="0"/>
        <extend val="0"/>
        <outline val="0"/>
        <shadow val="0"/>
        <u val="none"/>
        <vertAlign val="baseline"/>
        <sz val="11"/>
        <color theme="1"/>
        <name val="Aptos Narrow"/>
        <family val="2"/>
        <scheme val="minor"/>
      </font>
      <numFmt numFmtId="4" formatCode="#,##0.00"/>
    </dxf>
    <dxf>
      <font>
        <b val="0"/>
        <i val="0"/>
        <strike val="0"/>
        <condense val="0"/>
        <extend val="0"/>
        <outline val="0"/>
        <shadow val="0"/>
        <u val="none"/>
        <vertAlign val="baseline"/>
        <sz val="11"/>
        <color theme="1"/>
        <name val="Aptos Narrow"/>
        <family val="2"/>
        <scheme val="minor"/>
      </font>
      <numFmt numFmtId="4" formatCode="#,##0.00"/>
    </dxf>
    <dxf>
      <font>
        <b val="0"/>
        <i val="0"/>
        <strike val="0"/>
        <condense val="0"/>
        <extend val="0"/>
        <outline val="0"/>
        <shadow val="0"/>
        <u val="none"/>
        <vertAlign val="baseline"/>
        <sz val="11"/>
        <color theme="1"/>
        <name val="Aptos Narrow"/>
        <family val="2"/>
        <scheme val="minor"/>
      </font>
      <numFmt numFmtId="0" formatCode="General"/>
    </dxf>
    <dxf>
      <font>
        <b val="0"/>
        <i val="0"/>
        <strike val="0"/>
        <condense val="0"/>
        <extend val="0"/>
        <outline val="0"/>
        <shadow val="0"/>
        <u val="none"/>
        <vertAlign val="baseline"/>
        <sz val="11"/>
        <color theme="1"/>
        <name val="Aptos Narrow"/>
        <family val="2"/>
        <scheme val="minor"/>
      </font>
    </dxf>
    <dxf>
      <numFmt numFmtId="171" formatCode="dd/mmm/yy"/>
    </dxf>
    <dxf>
      <numFmt numFmtId="171" formatCode="dd/mmm/yy"/>
    </dxf>
    <dxf>
      <font>
        <b val="0"/>
        <i val="0"/>
        <strike val="0"/>
        <condense val="0"/>
        <extend val="0"/>
        <outline val="0"/>
        <shadow val="0"/>
        <u val="none"/>
        <vertAlign val="baseline"/>
        <sz val="11"/>
        <color theme="1"/>
        <name val="Aptos Narrow"/>
        <family val="2"/>
        <scheme val="minor"/>
      </font>
      <numFmt numFmtId="166" formatCode="mmm\ dd\,\ yy"/>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ill>
        <patternFill>
          <bgColor rgb="FFFEF5F0"/>
        </patternFill>
      </fill>
    </dxf>
    <dxf>
      <font>
        <b/>
        <i val="0"/>
        <color theme="0"/>
      </font>
      <fill>
        <patternFill>
          <fgColor rgb="FFFF8B8B"/>
          <bgColor rgb="FFFF0000"/>
        </patternFill>
      </fill>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2" defaultTableStyle="TableStyleMedium2" defaultPivotStyle="PivotStyleLight16">
    <tableStyle name="Expense Table 2" pivot="0" count="3" xr9:uid="{FE3DA424-13C8-4632-A384-DFC118709E23}">
      <tableStyleElement type="wholeTable" dxfId="298"/>
      <tableStyleElement type="headerRow" dxfId="297"/>
      <tableStyleElement type="firstRowStripe" dxfId="296"/>
    </tableStyle>
    <tableStyle name="Invisible" pivot="0" table="0" count="0" xr9:uid="{A3F2AD58-7256-4FC3-B12C-5F2519953388}"/>
  </tableStyles>
  <colors>
    <mruColors>
      <color rgb="FFFCF6FB"/>
      <color rgb="FFFFFFE7"/>
      <color rgb="FFF5FCF2"/>
      <color rgb="FFFF8181"/>
      <color rgb="FFFFD1D1"/>
      <color rgb="FFEAF8E4"/>
      <color rgb="FFFFF9E7"/>
      <color rgb="FFFFEEB9"/>
      <color rgb="FFFFF4D1"/>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39" Type="http://schemas.openxmlformats.org/officeDocument/2006/relationships/powerPivotData" Target="model/item.data"/><Relationship Id="rId21" Type="http://schemas.openxmlformats.org/officeDocument/2006/relationships/externalLink" Target="externalLinks/externalLink1.xml"/><Relationship Id="rId34" Type="http://schemas.openxmlformats.org/officeDocument/2006/relationships/theme" Target="theme/theme1.xml"/><Relationship Id="rId42" Type="http://schemas.openxmlformats.org/officeDocument/2006/relationships/calcChain" Target="calcChain.xml"/><Relationship Id="rId47" Type="http://schemas.openxmlformats.org/officeDocument/2006/relationships/customXml" Target="../customXml/item5.xml"/><Relationship Id="rId50" Type="http://schemas.openxmlformats.org/officeDocument/2006/relationships/customXml" Target="../customXml/item8.xml"/><Relationship Id="rId55" Type="http://schemas.openxmlformats.org/officeDocument/2006/relationships/customXml" Target="../customXml/item1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sharedStrings" Target="sharedStrings.xml"/><Relationship Id="rId40" Type="http://schemas.microsoft.com/office/2017/10/relationships/person" Target="persons/person.xml"/><Relationship Id="rId45" Type="http://schemas.openxmlformats.org/officeDocument/2006/relationships/customXml" Target="../customXml/item3.xml"/><Relationship Id="rId53" Type="http://schemas.openxmlformats.org/officeDocument/2006/relationships/customXml" Target="../customXml/item11.xml"/><Relationship Id="rId58" Type="http://schemas.openxmlformats.org/officeDocument/2006/relationships/customXml" Target="../customXml/item16.xml"/><Relationship Id="rId5" Type="http://schemas.openxmlformats.org/officeDocument/2006/relationships/worksheet" Target="worksheets/sheet5.xml"/><Relationship Id="rId61" Type="http://schemas.microsoft.com/office/2023/09/relationships/Python" Target="pytho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connections" Target="connections.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8" Type="http://schemas.openxmlformats.org/officeDocument/2006/relationships/worksheet" Target="worksheets/sheet8.xml"/><Relationship Id="rId51" Type="http://schemas.openxmlformats.org/officeDocument/2006/relationships/customXml" Target="../customXml/item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7/relationships/slicerCache" Target="slicerCaches/slicerCache11.xml"/><Relationship Id="rId38" Type="http://schemas.openxmlformats.org/officeDocument/2006/relationships/sheetMetadata" Target="metadata.xml"/><Relationship Id="rId46" Type="http://schemas.openxmlformats.org/officeDocument/2006/relationships/customXml" Target="../customXml/item4.xml"/><Relationship Id="rId59" Type="http://schemas.openxmlformats.org/officeDocument/2006/relationships/customXml" Target="../customXml/item17.xml"/><Relationship Id="rId20" Type="http://schemas.openxmlformats.org/officeDocument/2006/relationships/worksheet" Target="worksheets/sheet20.xml"/><Relationship Id="rId41" Type="http://schemas.microsoft.com/office/2022/11/relationships/FeaturePropertyBag" Target="featurePropertyBag/featurePropertyBag.xml"/><Relationship Id="rId54" Type="http://schemas.openxmlformats.org/officeDocument/2006/relationships/customXml" Target="../customXml/item12.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tyles" Target="styles.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worksheet" Target="worksheets/sheet10.xml"/><Relationship Id="rId31" Type="http://schemas.microsoft.com/office/2007/relationships/slicerCache" Target="slicerCaches/slicerCache9.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7.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9.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DashCalculations!$CE$10:$CG$10</c:f>
              <c:strCache>
                <c:ptCount val="3"/>
                <c:pt idx="0">
                  <c:v>Actual</c:v>
                </c:pt>
                <c:pt idx="1">
                  <c:v>takeout/restaurant</c:v>
                </c:pt>
                <c:pt idx="2">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DashCalculations!$CH$9:$CS$9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DashCalculations!$CH$10:$CS$10</c:f>
              <c:numCache>
                <c:formatCode>General</c:formatCode>
                <c:ptCount val="12"/>
                <c:pt idx="0">
                  <c:v>211.00000000000003</c:v>
                </c:pt>
                <c:pt idx="1">
                  <c:v>188.63</c:v>
                </c:pt>
                <c:pt idx="2">
                  <c:v>146.88</c:v>
                </c:pt>
                <c:pt idx="3">
                  <c:v>240.22</c:v>
                </c:pt>
                <c:pt idx="4">
                  <c:v>342.03</c:v>
                </c:pt>
                <c:pt idx="5">
                  <c:v>117.26</c:v>
                </c:pt>
                <c:pt idx="6">
                  <c:v>157.71</c:v>
                </c:pt>
                <c:pt idx="7">
                  <c:v>136.57</c:v>
                </c:pt>
                <c:pt idx="8">
                  <c:v>122.72</c:v>
                </c:pt>
                <c:pt idx="9">
                  <c:v>0</c:v>
                </c:pt>
                <c:pt idx="10">
                  <c:v>0</c:v>
                </c:pt>
                <c:pt idx="11">
                  <c:v>0</c:v>
                </c:pt>
              </c:numCache>
            </c:numRef>
          </c:val>
          <c:extLst>
            <c:ext xmlns:c16="http://schemas.microsoft.com/office/drawing/2014/chart" uri="{C3380CC4-5D6E-409C-BE32-E72D297353CC}">
              <c16:uniqueId val="{00000000-AFFB-49B7-8C92-05B0EED0824D}"/>
            </c:ext>
          </c:extLst>
        </c:ser>
        <c:ser>
          <c:idx val="1"/>
          <c:order val="1"/>
          <c:tx>
            <c:strRef>
              <c:f>DashCalculations!$CE$11:$CG$11</c:f>
              <c:strCache>
                <c:ptCount val="3"/>
                <c:pt idx="0">
                  <c:v>Actual</c:v>
                </c:pt>
                <c:pt idx="1">
                  <c:v>takeout/restaurant</c:v>
                </c:pt>
                <c:pt idx="2">
                  <c:v>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DashCalculations!$CH$9:$CS$9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DashCalculations!$CH$11:$CS$11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FFB-49B7-8C92-05B0EED0824D}"/>
            </c:ext>
          </c:extLst>
        </c:ser>
        <c:ser>
          <c:idx val="2"/>
          <c:order val="2"/>
          <c:tx>
            <c:strRef>
              <c:f>DashCalculations!$CE$12:$CG$12</c:f>
              <c:strCache>
                <c:ptCount val="3"/>
                <c:pt idx="0">
                  <c:v>Actual</c:v>
                </c:pt>
                <c:pt idx="1">
                  <c:v>takeout/restaurant</c:v>
                </c:pt>
                <c:pt idx="2">
                  <c:v>0</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DashCalculations!$CH$9:$CS$9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DashCalculations!$CH$12:$CS$12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AFFB-49B7-8C92-05B0EED0824D}"/>
            </c:ext>
          </c:extLst>
        </c:ser>
        <c:dLbls>
          <c:showLegendKey val="0"/>
          <c:showVal val="1"/>
          <c:showCatName val="0"/>
          <c:showSerName val="0"/>
          <c:showPercent val="0"/>
          <c:showBubbleSize val="0"/>
        </c:dLbls>
        <c:gapWidth val="150"/>
        <c:overlap val="-25"/>
        <c:axId val="1648521903"/>
        <c:axId val="1648530063"/>
      </c:barChart>
      <c:catAx>
        <c:axId val="1648521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8530063"/>
        <c:crosses val="autoZero"/>
        <c:auto val="1"/>
        <c:lblAlgn val="ctr"/>
        <c:lblOffset val="100"/>
        <c:noMultiLvlLbl val="0"/>
      </c:catAx>
      <c:valAx>
        <c:axId val="1648530063"/>
        <c:scaling>
          <c:orientation val="minMax"/>
        </c:scaling>
        <c:delete val="1"/>
        <c:axPos val="l"/>
        <c:numFmt formatCode="General" sourceLinked="1"/>
        <c:majorTickMark val="none"/>
        <c:minorTickMark val="none"/>
        <c:tickLblPos val="nextTo"/>
        <c:crossAx val="164852190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strRef>
          </c:tx>
          <c:cat>
            <c:multiLvlStrRef>
              <c:f>DashCalculations!$Q$9:$R$9</c:f>
            </c:multiLvlStrRef>
          </c:cat>
          <c:val>
            <c:numRef>
              <c:f>DashCalculations!$Q$10:$R$10</c:f>
            </c:numRef>
          </c:val>
          <c:extLst>
            <c:ext xmlns:c16="http://schemas.microsoft.com/office/drawing/2014/chart" uri="{C3380CC4-5D6E-409C-BE32-E72D297353CC}">
              <c16:uniqueId val="{0000047D-527A-4ADA-9BA5-34D635900E78}"/>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5A4-527A-4ADA-9BA5-34D635900E78}"/>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5A7-527A-4ADA-9BA5-34D635900E78}"/>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5AA-527A-4ADA-9BA5-34D635900E78}"/>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5AD-527A-4ADA-9BA5-34D635900E78}"/>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5B0-527A-4ADA-9BA5-34D635900E78}"/>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5B3-527A-4ADA-9BA5-34D635900E78}"/>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5B6-527A-4ADA-9BA5-34D635900E78}"/>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5B9-527A-4ADA-9BA5-34D635900E78}"/>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5BC-527A-4ADA-9BA5-34D635900E78}"/>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5BF-527A-4ADA-9BA5-34D635900E78}"/>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5C2-527A-4ADA-9BA5-34D635900E78}"/>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5C5-527A-4ADA-9BA5-34D635900E78}"/>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5C8-527A-4ADA-9BA5-34D635900E78}"/>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5CB-527A-4ADA-9BA5-34D635900E78}"/>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5CE-527A-4ADA-9BA5-34D635900E78}"/>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5D1-527A-4ADA-9BA5-34D635900E78}"/>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5D4-527A-4ADA-9BA5-34D635900E78}"/>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5D7-527A-4ADA-9BA5-34D635900E78}"/>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5DA-527A-4ADA-9BA5-34D635900E78}"/>
            </c:ext>
          </c:extLst>
        </c:ser>
        <c:ser>
          <c:idx val="20"/>
          <c:order val="20"/>
          <c:tx>
            <c:strRef>
              <c:f>DashCalculations!$P$30</c:f>
              <c:strCache>
                <c:ptCount val="1"/>
                <c:pt idx="0">
                  <c:v>sub paramount plus</c:v>
                </c:pt>
              </c:strCache>
              <c:extLst xmlns:c15="http://schemas.microsoft.com/office/drawing/2012/chart"/>
            </c:strRef>
          </c:tx>
          <c:cat>
            <c:multiLvlStrRef>
              <c:f>DashCalculations!$Q$9:$R$9</c:f>
            </c:multiLvlStrRef>
          </c:cat>
          <c:val>
            <c:numRef>
              <c:f>DashCalculations!$Q$30:$R$30</c:f>
              <c:extLst xmlns:c15="http://schemas.microsoft.com/office/drawing/2012/chart"/>
            </c:numRef>
          </c:val>
          <c:extLst xmlns:c15="http://schemas.microsoft.com/office/drawing/2012/chart">
            <c:ext xmlns:c16="http://schemas.microsoft.com/office/drawing/2014/chart" uri="{C3380CC4-5D6E-409C-BE32-E72D297353CC}">
              <c16:uniqueId val="{000005DD-527A-4ADA-9BA5-34D635900E78}"/>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5E0-527A-4ADA-9BA5-34D635900E78}"/>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5E3-527A-4ADA-9BA5-34D635900E78}"/>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5E6-527A-4ADA-9BA5-34D635900E78}"/>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5E9-527A-4ADA-9BA5-34D635900E78}"/>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5EC-527A-4ADA-9BA5-34D635900E78}"/>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5EF-527A-4ADA-9BA5-34D635900E78}"/>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5F2-527A-4ADA-9BA5-34D635900E78}"/>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5F5-527A-4ADA-9BA5-34D635900E78}"/>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5F8-527A-4ADA-9BA5-34D635900E78}"/>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5FB-527A-4ADA-9BA5-34D635900E78}"/>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5FE-527A-4ADA-9BA5-34D635900E78}"/>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601-527A-4ADA-9BA5-34D635900E78}"/>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604-527A-4ADA-9BA5-34D635900E78}"/>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607-527A-4ADA-9BA5-34D635900E78}"/>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60A-527A-4ADA-9BA5-34D635900E78}"/>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60D-527A-4ADA-9BA5-34D635900E78}"/>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610-527A-4ADA-9BA5-34D635900E78}"/>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613-527A-4ADA-9BA5-34D635900E78}"/>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616-527A-4ADA-9BA5-34D635900E78}"/>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619-527A-4ADA-9BA5-34D635900E78}"/>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61C-527A-4ADA-9BA5-34D635900E78}"/>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61F-527A-4ADA-9BA5-34D635900E78}"/>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622-527A-4ADA-9BA5-34D635900E78}"/>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625-527A-4ADA-9BA5-34D635900E78}"/>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628-527A-4ADA-9BA5-34D635900E78}"/>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62B-527A-4ADA-9BA5-34D635900E78}"/>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62E-527A-4ADA-9BA5-34D635900E78}"/>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631-527A-4ADA-9BA5-34D635900E78}"/>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634-527A-4ADA-9BA5-34D635900E78}"/>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ln>
      <a:solidFill>
        <a:schemeClr val="bg1">
          <a:lumMod val="85000"/>
        </a:schemeClr>
      </a:solidFill>
    </a:ln>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4-4F25-4E21-98AB-8FA866F6A480}"/>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540-F79E-46FB-98A5-A63B9160B20F}"/>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543-F79E-46FB-98A5-A63B9160B20F}"/>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546-F79E-46FB-98A5-A63B9160B20F}"/>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549-F79E-46FB-98A5-A63B9160B20F}"/>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54C-F79E-46FB-98A5-A63B9160B20F}"/>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54F-F79E-46FB-98A5-A63B9160B20F}"/>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552-F79E-46FB-98A5-A63B9160B20F}"/>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555-F79E-46FB-98A5-A63B9160B20F}"/>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558-F79E-46FB-98A5-A63B9160B20F}"/>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55B-F79E-46FB-98A5-A63B9160B20F}"/>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55E-F79E-46FB-98A5-A63B9160B20F}"/>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561-F79E-46FB-98A5-A63B9160B20F}"/>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564-F79E-46FB-98A5-A63B9160B20F}"/>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567-F79E-46FB-98A5-A63B9160B20F}"/>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56A-F79E-46FB-98A5-A63B9160B20F}"/>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56D-F79E-46FB-98A5-A63B9160B20F}"/>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570-F79E-46FB-98A5-A63B9160B20F}"/>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573-F79E-46FB-98A5-A63B9160B20F}"/>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576-F79E-46FB-98A5-A63B9160B20F}"/>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579-F79E-46FB-98A5-A63B9160B20F}"/>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57C-F79E-46FB-98A5-A63B9160B20F}"/>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57F-F79E-46FB-98A5-A63B9160B20F}"/>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582-F79E-46FB-98A5-A63B9160B20F}"/>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585-F79E-46FB-98A5-A63B9160B20F}"/>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588-F79E-46FB-98A5-A63B9160B20F}"/>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58B-F79E-46FB-98A5-A63B9160B20F}"/>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58E-F79E-46FB-98A5-A63B9160B20F}"/>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591-F79E-46FB-98A5-A63B9160B20F}"/>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594-F79E-46FB-98A5-A63B9160B20F}"/>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597-F79E-46FB-98A5-A63B9160B20F}"/>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59A-F79E-46FB-98A5-A63B9160B20F}"/>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59D-F79E-46FB-98A5-A63B9160B20F}"/>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5A0-F79E-46FB-98A5-A63B9160B20F}"/>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5A3-F79E-46FB-98A5-A63B9160B20F}"/>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5A6-F79E-46FB-98A5-A63B9160B20F}"/>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5A9-F79E-46FB-98A5-A63B9160B20F}"/>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5AC-F79E-46FB-98A5-A63B9160B20F}"/>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5AF-F79E-46FB-98A5-A63B9160B20F}"/>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5B2-F79E-46FB-98A5-A63B9160B20F}"/>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5B5-F79E-46FB-98A5-A63B9160B20F}"/>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5B8-F79E-46FB-98A5-A63B9160B20F}"/>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5BB-F79E-46FB-98A5-A63B9160B20F}"/>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5BE-F79E-46FB-98A5-A63B9160B20F}"/>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5C1-F79E-46FB-98A5-A63B9160B20F}"/>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5C4-F79E-46FB-98A5-A63B9160B20F}"/>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5C7-F79E-46FB-98A5-A63B9160B20F}"/>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5CA-F79E-46FB-98A5-A63B9160B20F}"/>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5CD-F79E-46FB-98A5-A63B9160B20F}"/>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5D0-F79E-46FB-98A5-A63B9160B20F}"/>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480-7A05-41EA-920D-55EED5785FFF}"/>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5A7-7A05-41EA-920D-55EED5785FFF}"/>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5AA-7A05-41EA-920D-55EED5785FFF}"/>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5AD-7A05-41EA-920D-55EED5785FFF}"/>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5B0-7A05-41EA-920D-55EED5785FFF}"/>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5B3-7A05-41EA-920D-55EED5785FFF}"/>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5B6-7A05-41EA-920D-55EED5785FFF}"/>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5B9-7A05-41EA-920D-55EED5785FFF}"/>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5BC-7A05-41EA-920D-55EED5785FFF}"/>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5BF-7A05-41EA-920D-55EED5785FFF}"/>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5C2-7A05-41EA-920D-55EED5785FFF}"/>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5C5-7A05-41EA-920D-55EED5785FFF}"/>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5C8-7A05-41EA-920D-55EED5785FFF}"/>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5CB-7A05-41EA-920D-55EED5785FFF}"/>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5CE-7A05-41EA-920D-55EED5785FFF}"/>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5D1-7A05-41EA-920D-55EED5785FFF}"/>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5D4-7A05-41EA-920D-55EED5785FFF}"/>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5D7-7A05-41EA-920D-55EED5785FFF}"/>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5DA-7A05-41EA-920D-55EED5785FFF}"/>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5DD-7A05-41EA-920D-55EED5785FFF}"/>
            </c:ext>
          </c:extLst>
        </c:ser>
        <c:ser>
          <c:idx val="20"/>
          <c:order val="20"/>
          <c:tx>
            <c:strRef>
              <c:f>DashCalculations!$P$30</c:f>
              <c:strCache>
                <c:ptCount val="1"/>
                <c:pt idx="0">
                  <c:v>sub paramount plus</c:v>
                </c:pt>
              </c:strCache>
              <c:extLst xmlns:c15="http://schemas.microsoft.com/office/drawing/2012/chart"/>
            </c:strRef>
          </c:tx>
          <c:cat>
            <c:multiLvlStrRef>
              <c:f>DashCalculations!$Q$9:$R$9</c:f>
            </c:multiLvlStrRef>
          </c:cat>
          <c:val>
            <c:numRef>
              <c:f>DashCalculations!$Q$30:$R$30</c:f>
              <c:extLst xmlns:c15="http://schemas.microsoft.com/office/drawing/2012/chart"/>
            </c:numRef>
          </c:val>
          <c:extLst xmlns:c15="http://schemas.microsoft.com/office/drawing/2012/chart">
            <c:ext xmlns:c16="http://schemas.microsoft.com/office/drawing/2014/chart" uri="{C3380CC4-5D6E-409C-BE32-E72D297353CC}">
              <c16:uniqueId val="{000005E0-7A05-41EA-920D-55EED5785FFF}"/>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5E3-7A05-41EA-920D-55EED5785FFF}"/>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5E6-7A05-41EA-920D-55EED5785FFF}"/>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5E9-7A05-41EA-920D-55EED5785FFF}"/>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5EC-7A05-41EA-920D-55EED5785FFF}"/>
            </c:ext>
          </c:extLst>
        </c:ser>
        <c:ser>
          <c:idx val="25"/>
          <c:order val="25"/>
          <c:tx>
            <c:strRef>
              <c:f>DashCalculations!$P$35</c:f>
              <c:strCache>
                <c:ptCount val="1"/>
                <c:pt idx="0">
                  <c:v>sub stack tv</c:v>
                </c:pt>
              </c:strCache>
            </c:strRef>
          </c:tx>
          <c:cat>
            <c:multiLvlStrRef>
              <c:f>DashCalculations!$Q$9:$R$9</c:f>
            </c:multiLvlStrRef>
          </c:cat>
          <c:val>
            <c:numRef>
              <c:f>DashCalculations!$Q$35:$R$35</c:f>
            </c:numRef>
          </c:val>
          <c:extLst>
            <c:ext xmlns:c16="http://schemas.microsoft.com/office/drawing/2014/chart" uri="{C3380CC4-5D6E-409C-BE32-E72D297353CC}">
              <c16:uniqueId val="{000005EF-7A05-41EA-920D-55EED5785FFF}"/>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5F2-7A05-41EA-920D-55EED5785FFF}"/>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5F5-7A05-41EA-920D-55EED5785FFF}"/>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5F8-7A05-41EA-920D-55EED5785FFF}"/>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5FB-7A05-41EA-920D-55EED5785FFF}"/>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5FE-7A05-41EA-920D-55EED5785FFF}"/>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601-7A05-41EA-920D-55EED5785FFF}"/>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604-7A05-41EA-920D-55EED5785FFF}"/>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607-7A05-41EA-920D-55EED5785FFF}"/>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60A-7A05-41EA-920D-55EED5785FFF}"/>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60D-7A05-41EA-920D-55EED5785FFF}"/>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610-7A05-41EA-920D-55EED5785FFF}"/>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613-7A05-41EA-920D-55EED5785FFF}"/>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616-7A05-41EA-920D-55EED5785FFF}"/>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619-7A05-41EA-920D-55EED5785FFF}"/>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61C-7A05-41EA-920D-55EED5785FFF}"/>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61F-7A05-41EA-920D-55EED5785FFF}"/>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622-7A05-41EA-920D-55EED5785FFF}"/>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625-7A05-41EA-920D-55EED5785FFF}"/>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628-7A05-41EA-920D-55EED5785FFF}"/>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62B-7A05-41EA-920D-55EED5785FFF}"/>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62E-7A05-41EA-920D-55EED5785FFF}"/>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631-7A05-41EA-920D-55EED5785FFF}"/>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634-7A05-41EA-920D-55EED5785FFF}"/>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637-7A05-41EA-920D-55EED5785FFF}"/>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ln w="9525">
      <a:solidFill>
        <a:schemeClr val="bg1">
          <a:lumMod val="85000"/>
        </a:schemeClr>
      </a:solidFill>
    </a:ln>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0"/>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4F25-4E21-98AB-8FA866F6A480}"/>
            </c:ext>
          </c:extLst>
        </c:ser>
        <c:ser>
          <c:idx val="1"/>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4F25-4E21-98AB-8FA866F6A480}"/>
            </c:ext>
          </c:extLst>
        </c:ser>
        <c:ser>
          <c:idx val="2"/>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4F25-4E21-98AB-8FA866F6A480}"/>
            </c:ext>
          </c:extLst>
        </c:ser>
        <c:ser>
          <c:idx val="3"/>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c:ext xmlns:c16="http://schemas.microsoft.com/office/drawing/2014/chart" uri="{C3380CC4-5D6E-409C-BE32-E72D297353CC}">
              <c16:uniqueId val="{00000004-4F25-4E21-98AB-8FA866F6A480}"/>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8-4F25-4E21-98AB-8FA866F6A480}"/>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1D-4F25-4E21-98AB-8FA866F6A480}"/>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2-4F25-4E21-98AB-8FA866F6A480}"/>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7-4F25-4E21-98AB-8FA866F6A480}"/>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2C-4F25-4E21-98AB-8FA866F6A480}"/>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1-4F25-4E21-98AB-8FA866F6A480}"/>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6-4F25-4E21-98AB-8FA866F6A480}"/>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3B-4F25-4E21-98AB-8FA866F6A480}"/>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0-4F25-4E21-98AB-8FA866F6A480}"/>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5-4F25-4E21-98AB-8FA866F6A480}"/>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A-4F25-4E21-98AB-8FA866F6A480}"/>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4F-4F25-4E21-98AB-8FA866F6A480}"/>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4-4F25-4E21-98AB-8FA866F6A480}"/>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9-4F25-4E21-98AB-8FA866F6A480}"/>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5E-4F25-4E21-98AB-8FA866F6A480}"/>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3-4F25-4E21-98AB-8FA866F6A480}"/>
            </c:ext>
          </c:extLst>
        </c:ser>
        <c:ser>
          <c:idx val="20"/>
          <c:order val="20"/>
          <c:tx>
            <c:strRef>
              <c:f>DashCalculations!$P$30</c:f>
              <c:strCache>
                <c:ptCount val="1"/>
                <c:pt idx="0">
                  <c:v>sub paramount plus</c:v>
                </c:pt>
              </c:strCache>
              <c:extLst xmlns:c15="http://schemas.microsoft.com/office/drawing/2012/chart"/>
            </c:strRef>
          </c:tx>
          <c:cat>
            <c:multiLvlStrRef>
              <c:f>DashCalculations!$Q$9:$R$9</c:f>
            </c:multiLvlStrRef>
          </c:cat>
          <c:val>
            <c:numRef>
              <c:f>DashCalculations!$Q$30:$R$30</c:f>
              <c:extLst xmlns:c15="http://schemas.microsoft.com/office/drawing/2012/chart"/>
            </c:numRef>
          </c:val>
          <c:extLst xmlns:c15="http://schemas.microsoft.com/office/drawing/2012/chart">
            <c:ext xmlns:c16="http://schemas.microsoft.com/office/drawing/2014/chart" uri="{C3380CC4-5D6E-409C-BE32-E72D297353CC}">
              <c16:uniqueId val="{00000068-4F25-4E21-98AB-8FA866F6A480}"/>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4F25-4E21-98AB-8FA866F6A480}"/>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4F25-4E21-98AB-8FA866F6A480}"/>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4F25-4E21-98AB-8FA866F6A480}"/>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4F25-4E21-98AB-8FA866F6A480}"/>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4F25-4E21-98AB-8FA866F6A480}"/>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4F25-4E21-98AB-8FA866F6A480}"/>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4F25-4E21-98AB-8FA866F6A480}"/>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4F25-4E21-98AB-8FA866F6A480}"/>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4F25-4E21-98AB-8FA866F6A480}"/>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4F25-4E21-98AB-8FA866F6A480}"/>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4F25-4E21-98AB-8FA866F6A480}"/>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4F25-4E21-98AB-8FA866F6A480}"/>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4F25-4E21-98AB-8FA866F6A480}"/>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4F25-4E21-98AB-8FA866F6A480}"/>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4F25-4E21-98AB-8FA866F6A480}"/>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4F25-4E21-98AB-8FA866F6A480}"/>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4F25-4E21-98AB-8FA866F6A480}"/>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4F25-4E21-98AB-8FA866F6A480}"/>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4F25-4E21-98AB-8FA866F6A480}"/>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4F25-4E21-98AB-8FA866F6A480}"/>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4F25-4E21-98AB-8FA866F6A480}"/>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4F25-4E21-98AB-8FA866F6A480}"/>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4F25-4E21-98AB-8FA866F6A480}"/>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4F25-4E21-98AB-8FA866F6A480}"/>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4F25-4E21-98AB-8FA866F6A480}"/>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4F25-4E21-98AB-8FA866F6A480}"/>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4F25-4E21-98AB-8FA866F6A480}"/>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4F25-4E21-98AB-8FA866F6A480}"/>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4F25-4E21-98AB-8FA866F6A480}"/>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FF-3E9C-479A-B0FD-B60EF0EEF3AF}"/>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226-3E9C-479A-B0FD-B60EF0EEF3AF}"/>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229-3E9C-479A-B0FD-B60EF0EEF3AF}"/>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22C-3E9C-479A-B0FD-B60EF0EEF3AF}"/>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22F-3E9C-479A-B0FD-B60EF0EEF3AF}"/>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232-3E9C-479A-B0FD-B60EF0EEF3AF}"/>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235-3E9C-479A-B0FD-B60EF0EEF3AF}"/>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238-3E9C-479A-B0FD-B60EF0EEF3AF}"/>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23B-3E9C-479A-B0FD-B60EF0EEF3AF}"/>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23E-3E9C-479A-B0FD-B60EF0EEF3AF}"/>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241-3E9C-479A-B0FD-B60EF0EEF3AF}"/>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244-3E9C-479A-B0FD-B60EF0EEF3AF}"/>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247-3E9C-479A-B0FD-B60EF0EEF3AF}"/>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24A-3E9C-479A-B0FD-B60EF0EEF3AF}"/>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24D-3E9C-479A-B0FD-B60EF0EEF3AF}"/>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250-3E9C-479A-B0FD-B60EF0EEF3AF}"/>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253-3E9C-479A-B0FD-B60EF0EEF3AF}"/>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256-3E9C-479A-B0FD-B60EF0EEF3AF}"/>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259-3E9C-479A-B0FD-B60EF0EEF3AF}"/>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25C-3E9C-479A-B0FD-B60EF0EEF3AF}"/>
            </c:ext>
          </c:extLst>
        </c:ser>
        <c:ser>
          <c:idx val="20"/>
          <c:order val="20"/>
          <c:tx>
            <c:strRef>
              <c:f>DashCalculations!$P$30</c:f>
              <c:strCache>
                <c:ptCount val="1"/>
                <c:pt idx="0">
                  <c:v>sub paramount plus</c:v>
                </c:pt>
              </c:strCache>
              <c:extLst xmlns:c15="http://schemas.microsoft.com/office/drawing/2012/chart"/>
            </c:strRef>
          </c:tx>
          <c:cat>
            <c:multiLvlStrRef>
              <c:f>DashCalculations!$Q$9:$R$9</c:f>
            </c:multiLvlStrRef>
          </c:cat>
          <c:val>
            <c:numRef>
              <c:f>DashCalculations!$Q$30:$R$30</c:f>
              <c:extLst xmlns:c15="http://schemas.microsoft.com/office/drawing/2012/chart"/>
            </c:numRef>
          </c:val>
          <c:extLst xmlns:c15="http://schemas.microsoft.com/office/drawing/2012/chart">
            <c:ext xmlns:c16="http://schemas.microsoft.com/office/drawing/2014/chart" uri="{C3380CC4-5D6E-409C-BE32-E72D297353CC}">
              <c16:uniqueId val="{0000025F-3E9C-479A-B0FD-B60EF0EEF3AF}"/>
            </c:ext>
          </c:extLst>
        </c:ser>
        <c:ser>
          <c:idx val="21"/>
          <c:order val="21"/>
          <c:tx>
            <c:strRef>
              <c:f>DashCalculations!$P$31</c:f>
              <c:strCache>
                <c:ptCount val="1"/>
                <c:pt idx="0">
                  <c:v>sub prime</c:v>
                </c:pt>
              </c:strCache>
            </c:strRef>
          </c:tx>
          <c:cat>
            <c:multiLvlStrRef>
              <c:f>DashCalculations!$Q$9:$R$9</c:f>
            </c:multiLvlStrRef>
          </c:cat>
          <c:val>
            <c:numRef>
              <c:f>DashCalculations!$Q$31:$R$31</c:f>
            </c:numRef>
          </c:val>
          <c:extLst>
            <c:ext xmlns:c16="http://schemas.microsoft.com/office/drawing/2014/chart" uri="{C3380CC4-5D6E-409C-BE32-E72D297353CC}">
              <c16:uniqueId val="{00000262-3E9C-479A-B0FD-B60EF0EEF3AF}"/>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265-3E9C-479A-B0FD-B60EF0EEF3AF}"/>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268-3E9C-479A-B0FD-B60EF0EEF3AF}"/>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26B-3E9C-479A-B0FD-B60EF0EEF3AF}"/>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26E-3E9C-479A-B0FD-B60EF0EEF3AF}"/>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271-3E9C-479A-B0FD-B60EF0EEF3AF}"/>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274-3E9C-479A-B0FD-B60EF0EEF3AF}"/>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277-3E9C-479A-B0FD-B60EF0EEF3AF}"/>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27A-3E9C-479A-B0FD-B60EF0EEF3AF}"/>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27D-3E9C-479A-B0FD-B60EF0EEF3AF}"/>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280-3E9C-479A-B0FD-B60EF0EEF3AF}"/>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283-3E9C-479A-B0FD-B60EF0EEF3AF}"/>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286-3E9C-479A-B0FD-B60EF0EEF3AF}"/>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289-3E9C-479A-B0FD-B60EF0EEF3AF}"/>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28C-3E9C-479A-B0FD-B60EF0EEF3AF}"/>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28F-3E9C-479A-B0FD-B60EF0EEF3AF}"/>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292-3E9C-479A-B0FD-B60EF0EEF3AF}"/>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295-3E9C-479A-B0FD-B60EF0EEF3AF}"/>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298-3E9C-479A-B0FD-B60EF0EEF3AF}"/>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29B-3E9C-479A-B0FD-B60EF0EEF3AF}"/>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29E-3E9C-479A-B0FD-B60EF0EEF3AF}"/>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2A1-3E9C-479A-B0FD-B60EF0EEF3AF}"/>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2A4-3E9C-479A-B0FD-B60EF0EEF3AF}"/>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2A7-3E9C-479A-B0FD-B60EF0EEF3AF}"/>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2AA-3E9C-479A-B0FD-B60EF0EEF3AF}"/>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2AD-3E9C-479A-B0FD-B60EF0EEF3AF}"/>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2B0-3E9C-479A-B0FD-B60EF0EEF3AF}"/>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2B3-3E9C-479A-B0FD-B60EF0EEF3AF}"/>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2B6-3E9C-479A-B0FD-B60EF0EEF3AF}"/>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ln w="9525">
      <a:solidFill>
        <a:schemeClr val="bg1">
          <a:lumMod val="85000"/>
        </a:schemeClr>
      </a:solidFill>
    </a:ln>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A7B3-4BCF-BCAB-A0CFA261FFD0}"/>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A7B3-4BCF-BCAB-A0CFA261FFD0}"/>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A7B3-4BCF-BCAB-A0CFA261FFD0}"/>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A7B3-4BCF-BCAB-A0CFA261FFD0}"/>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A7B3-4BCF-BCAB-A0CFA261FFD0}"/>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A7B3-4BCF-BCAB-A0CFA261FFD0}"/>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A7B3-4BCF-BCAB-A0CFA261FFD0}"/>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A7B3-4BCF-BCAB-A0CFA261FFD0}"/>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A7B3-4BCF-BCAB-A0CFA261FFD0}"/>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A7B3-4BCF-BCAB-A0CFA261FFD0}"/>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A7B3-4BCF-BCAB-A0CFA261FFD0}"/>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A7B3-4BCF-BCAB-A0CFA261FFD0}"/>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A7B3-4BCF-BCAB-A0CFA261FFD0}"/>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A7B3-4BCF-BCAB-A0CFA261FFD0}"/>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A7B3-4BCF-BCAB-A0CFA261FFD0}"/>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A7B3-4BCF-BCAB-A0CFA261FFD0}"/>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A7B3-4BCF-BCAB-A0CFA261FFD0}"/>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A7B3-4BCF-BCAB-A0CFA261FFD0}"/>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A7B3-4BCF-BCAB-A0CFA261FFD0}"/>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A7B3-4BCF-BCAB-A0CFA261FFD0}"/>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A7B3-4BCF-BCAB-A0CFA261FFD0}"/>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A7B3-4BCF-BCAB-A0CFA261FFD0}"/>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A7B3-4BCF-BCAB-A0CFA261FFD0}"/>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A7B3-4BCF-BCAB-A0CFA261FFD0}"/>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A7B3-4BCF-BCAB-A0CFA261FFD0}"/>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A7B3-4BCF-BCAB-A0CFA261FFD0}"/>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A7B3-4BCF-BCAB-A0CFA261FFD0}"/>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A7B3-4BCF-BCAB-A0CFA261FFD0}"/>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A7B3-4BCF-BCAB-A0CFA261FFD0}"/>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A7B3-4BCF-BCAB-A0CFA261FFD0}"/>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A7B3-4BCF-BCAB-A0CFA261FFD0}"/>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A7B3-4BCF-BCAB-A0CFA261FFD0}"/>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A7B3-4BCF-BCAB-A0CFA261FFD0}"/>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A7B3-4BCF-BCAB-A0CFA261FFD0}"/>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A7B3-4BCF-BCAB-A0CFA261FFD0}"/>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A7B3-4BCF-BCAB-A0CFA261FFD0}"/>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A7B3-4BCF-BCAB-A0CFA261FFD0}"/>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A7B3-4BCF-BCAB-A0CFA261FFD0}"/>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A7B3-4BCF-BCAB-A0CFA261FFD0}"/>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A7B3-4BCF-BCAB-A0CFA261FFD0}"/>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A7B3-4BCF-BCAB-A0CFA261FFD0}"/>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A7B3-4BCF-BCAB-A0CFA261FFD0}"/>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A7B3-4BCF-BCAB-A0CFA261FFD0}"/>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A7B3-4BCF-BCAB-A0CFA261FFD0}"/>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A7B3-4BCF-BCAB-A0CFA261FFD0}"/>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A7B3-4BCF-BCAB-A0CFA261FFD0}"/>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A7B3-4BCF-BCAB-A0CFA261FFD0}"/>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A7B3-4BCF-BCAB-A0CFA261FFD0}"/>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A7B3-4BCF-BCAB-A0CFA261FFD0}"/>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A7B3-4BCF-BCAB-A0CFA261FFD0}"/>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32D6-438E-95BE-A26B071E4278}"/>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32D6-438E-95BE-A26B071E4278}"/>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32D6-438E-95BE-A26B071E4278}"/>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32D6-438E-95BE-A26B071E4278}"/>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32D6-438E-95BE-A26B071E4278}"/>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32D6-438E-95BE-A26B071E4278}"/>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32D6-438E-95BE-A26B071E4278}"/>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32D6-438E-95BE-A26B071E4278}"/>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32D6-438E-95BE-A26B071E4278}"/>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32D6-438E-95BE-A26B071E4278}"/>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32D6-438E-95BE-A26B071E4278}"/>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32D6-438E-95BE-A26B071E4278}"/>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32D6-438E-95BE-A26B071E4278}"/>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32D6-438E-95BE-A26B071E4278}"/>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32D6-438E-95BE-A26B071E4278}"/>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32D6-438E-95BE-A26B071E4278}"/>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32D6-438E-95BE-A26B071E4278}"/>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32D6-438E-95BE-A26B071E4278}"/>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32D6-438E-95BE-A26B071E4278}"/>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32D6-438E-95BE-A26B071E4278}"/>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32D6-438E-95BE-A26B071E4278}"/>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32D6-438E-95BE-A26B071E4278}"/>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32D6-438E-95BE-A26B071E4278}"/>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32D6-438E-95BE-A26B071E4278}"/>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32D6-438E-95BE-A26B071E4278}"/>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32D6-438E-95BE-A26B071E4278}"/>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32D6-438E-95BE-A26B071E4278}"/>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32D6-438E-95BE-A26B071E4278}"/>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32D6-438E-95BE-A26B071E4278}"/>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32D6-438E-95BE-A26B071E4278}"/>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32D6-438E-95BE-A26B071E4278}"/>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32D6-438E-95BE-A26B071E4278}"/>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32D6-438E-95BE-A26B071E4278}"/>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32D6-438E-95BE-A26B071E4278}"/>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32D6-438E-95BE-A26B071E4278}"/>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32D6-438E-95BE-A26B071E4278}"/>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32D6-438E-95BE-A26B071E4278}"/>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32D6-438E-95BE-A26B071E4278}"/>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32D6-438E-95BE-A26B071E4278}"/>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32D6-438E-95BE-A26B071E4278}"/>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32D6-438E-95BE-A26B071E4278}"/>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32D6-438E-95BE-A26B071E4278}"/>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32D6-438E-95BE-A26B071E4278}"/>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32D6-438E-95BE-A26B071E4278}"/>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32D6-438E-95BE-A26B071E4278}"/>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32D6-438E-95BE-A26B071E4278}"/>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32D6-438E-95BE-A26B071E4278}"/>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32D6-438E-95BE-A26B071E4278}"/>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32D6-438E-95BE-A26B071E4278}"/>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32D6-438E-95BE-A26B071E4278}"/>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665F-443B-BF27-D878A820C88B}"/>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665F-443B-BF27-D878A820C88B}"/>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665F-443B-BF27-D878A820C88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665F-443B-BF27-D878A820C88B}"/>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665F-443B-BF27-D878A820C88B}"/>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665F-443B-BF27-D878A820C88B}"/>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665F-443B-BF27-D878A820C88B}"/>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665F-443B-BF27-D878A820C88B}"/>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665F-443B-BF27-D878A820C88B}"/>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665F-443B-BF27-D878A820C88B}"/>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665F-443B-BF27-D878A820C88B}"/>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665F-443B-BF27-D878A820C88B}"/>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665F-443B-BF27-D878A820C88B}"/>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665F-443B-BF27-D878A820C88B}"/>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665F-443B-BF27-D878A820C88B}"/>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665F-443B-BF27-D878A820C88B}"/>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665F-443B-BF27-D878A820C88B}"/>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665F-443B-BF27-D878A820C88B}"/>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665F-443B-BF27-D878A820C88B}"/>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665F-443B-BF27-D878A820C88B}"/>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665F-443B-BF27-D878A820C88B}"/>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665F-443B-BF27-D878A820C88B}"/>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665F-443B-BF27-D878A820C88B}"/>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665F-443B-BF27-D878A820C88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665F-443B-BF27-D878A820C88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665F-443B-BF27-D878A820C88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665F-443B-BF27-D878A820C88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665F-443B-BF27-D878A820C88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665F-443B-BF27-D878A820C88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665F-443B-BF27-D878A820C88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665F-443B-BF27-D878A820C88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665F-443B-BF27-D878A820C88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665F-443B-BF27-D878A820C88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665F-443B-BF27-D878A820C88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665F-443B-BF27-D878A820C88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665F-443B-BF27-D878A820C88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665F-443B-BF27-D878A820C88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665F-443B-BF27-D878A820C88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665F-443B-BF27-D878A820C88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665F-443B-BF27-D878A820C88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665F-443B-BF27-D878A820C88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665F-443B-BF27-D878A820C88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665F-443B-BF27-D878A820C88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665F-443B-BF27-D878A820C88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665F-443B-BF27-D878A820C88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665F-443B-BF27-D878A820C88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665F-443B-BF27-D878A820C88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665F-443B-BF27-D878A820C88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665F-443B-BF27-D878A820C88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665F-443B-BF27-D878A820C88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54B9-4F77-AA7E-2256EDB895EC}"/>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54B9-4F77-AA7E-2256EDB895EC}"/>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54B9-4F77-AA7E-2256EDB895EC}"/>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54B9-4F77-AA7E-2256EDB895EC}"/>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54B9-4F77-AA7E-2256EDB895EC}"/>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54B9-4F77-AA7E-2256EDB895EC}"/>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54B9-4F77-AA7E-2256EDB895EC}"/>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54B9-4F77-AA7E-2256EDB895EC}"/>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54B9-4F77-AA7E-2256EDB895EC}"/>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54B9-4F77-AA7E-2256EDB895EC}"/>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54B9-4F77-AA7E-2256EDB895EC}"/>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54B9-4F77-AA7E-2256EDB895EC}"/>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54B9-4F77-AA7E-2256EDB895EC}"/>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54B9-4F77-AA7E-2256EDB895EC}"/>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54B9-4F77-AA7E-2256EDB895EC}"/>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54B9-4F77-AA7E-2256EDB895EC}"/>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54B9-4F77-AA7E-2256EDB895EC}"/>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54B9-4F77-AA7E-2256EDB895EC}"/>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54B9-4F77-AA7E-2256EDB895EC}"/>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54B9-4F77-AA7E-2256EDB895EC}"/>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54B9-4F77-AA7E-2256EDB895EC}"/>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54B9-4F77-AA7E-2256EDB895EC}"/>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54B9-4F77-AA7E-2256EDB895EC}"/>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54B9-4F77-AA7E-2256EDB895EC}"/>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54B9-4F77-AA7E-2256EDB895EC}"/>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54B9-4F77-AA7E-2256EDB895EC}"/>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54B9-4F77-AA7E-2256EDB895EC}"/>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54B9-4F77-AA7E-2256EDB895EC}"/>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54B9-4F77-AA7E-2256EDB895EC}"/>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54B9-4F77-AA7E-2256EDB895EC}"/>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54B9-4F77-AA7E-2256EDB895EC}"/>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54B9-4F77-AA7E-2256EDB895EC}"/>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54B9-4F77-AA7E-2256EDB895EC}"/>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54B9-4F77-AA7E-2256EDB895EC}"/>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54B9-4F77-AA7E-2256EDB895EC}"/>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54B9-4F77-AA7E-2256EDB895EC}"/>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54B9-4F77-AA7E-2256EDB895EC}"/>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54B9-4F77-AA7E-2256EDB895EC}"/>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54B9-4F77-AA7E-2256EDB895EC}"/>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54B9-4F77-AA7E-2256EDB895EC}"/>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54B9-4F77-AA7E-2256EDB895EC}"/>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54B9-4F77-AA7E-2256EDB895EC}"/>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54B9-4F77-AA7E-2256EDB895EC}"/>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54B9-4F77-AA7E-2256EDB895EC}"/>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54B9-4F77-AA7E-2256EDB895EC}"/>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54B9-4F77-AA7E-2256EDB895EC}"/>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54B9-4F77-AA7E-2256EDB895EC}"/>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54B9-4F77-AA7E-2256EDB895EC}"/>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54B9-4F77-AA7E-2256EDB895EC}"/>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54B9-4F77-AA7E-2256EDB895EC}"/>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0E1F-49F5-8A97-C4C246B80271}"/>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0E1F-49F5-8A97-C4C246B80271}"/>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0E1F-49F5-8A97-C4C246B80271}"/>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0E1F-49F5-8A97-C4C246B80271}"/>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0E1F-49F5-8A97-C4C246B80271}"/>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0E1F-49F5-8A97-C4C246B80271}"/>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0E1F-49F5-8A97-C4C246B80271}"/>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0E1F-49F5-8A97-C4C246B80271}"/>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0E1F-49F5-8A97-C4C246B80271}"/>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0E1F-49F5-8A97-C4C246B80271}"/>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0E1F-49F5-8A97-C4C246B80271}"/>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0E1F-49F5-8A97-C4C246B80271}"/>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0E1F-49F5-8A97-C4C246B80271}"/>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0E1F-49F5-8A97-C4C246B80271}"/>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0E1F-49F5-8A97-C4C246B80271}"/>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0E1F-49F5-8A97-C4C246B80271}"/>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0E1F-49F5-8A97-C4C246B80271}"/>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0E1F-49F5-8A97-C4C246B80271}"/>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0E1F-49F5-8A97-C4C246B80271}"/>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0E1F-49F5-8A97-C4C246B80271}"/>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0E1F-49F5-8A97-C4C246B80271}"/>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0E1F-49F5-8A97-C4C246B80271}"/>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0E1F-49F5-8A97-C4C246B80271}"/>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0E1F-49F5-8A97-C4C246B80271}"/>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0E1F-49F5-8A97-C4C246B80271}"/>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0E1F-49F5-8A97-C4C246B80271}"/>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0E1F-49F5-8A97-C4C246B80271}"/>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0E1F-49F5-8A97-C4C246B80271}"/>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0E1F-49F5-8A97-C4C246B80271}"/>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0E1F-49F5-8A97-C4C246B80271}"/>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0E1F-49F5-8A97-C4C246B80271}"/>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0E1F-49F5-8A97-C4C246B80271}"/>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0E1F-49F5-8A97-C4C246B80271}"/>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0E1F-49F5-8A97-C4C246B80271}"/>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0E1F-49F5-8A97-C4C246B80271}"/>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0E1F-49F5-8A97-C4C246B80271}"/>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0E1F-49F5-8A97-C4C246B80271}"/>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0E1F-49F5-8A97-C4C246B80271}"/>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0E1F-49F5-8A97-C4C246B80271}"/>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0E1F-49F5-8A97-C4C246B80271}"/>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0E1F-49F5-8A97-C4C246B80271}"/>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0E1F-49F5-8A97-C4C246B80271}"/>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0E1F-49F5-8A97-C4C246B80271}"/>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0E1F-49F5-8A97-C4C246B80271}"/>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0E1F-49F5-8A97-C4C246B80271}"/>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0E1F-49F5-8A97-C4C246B80271}"/>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0E1F-49F5-8A97-C4C246B80271}"/>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0E1F-49F5-8A97-C4C246B80271}"/>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0E1F-49F5-8A97-C4C246B80271}"/>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0E1F-49F5-8A97-C4C246B80271}"/>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1038-4E09-A57C-5692B259DD7B}"/>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1038-4E09-A57C-5692B259DD7B}"/>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1038-4E09-A57C-5692B259DD7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1038-4E09-A57C-5692B259DD7B}"/>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1038-4E09-A57C-5692B259DD7B}"/>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1038-4E09-A57C-5692B259DD7B}"/>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1038-4E09-A57C-5692B259DD7B}"/>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1038-4E09-A57C-5692B259DD7B}"/>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1038-4E09-A57C-5692B259DD7B}"/>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1038-4E09-A57C-5692B259DD7B}"/>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1038-4E09-A57C-5692B259DD7B}"/>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1038-4E09-A57C-5692B259DD7B}"/>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1038-4E09-A57C-5692B259DD7B}"/>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1038-4E09-A57C-5692B259DD7B}"/>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1038-4E09-A57C-5692B259DD7B}"/>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1038-4E09-A57C-5692B259DD7B}"/>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1038-4E09-A57C-5692B259DD7B}"/>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1038-4E09-A57C-5692B259DD7B}"/>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1038-4E09-A57C-5692B259DD7B}"/>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1038-4E09-A57C-5692B259DD7B}"/>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1038-4E09-A57C-5692B259DD7B}"/>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1038-4E09-A57C-5692B259DD7B}"/>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1038-4E09-A57C-5692B259DD7B}"/>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1038-4E09-A57C-5692B259DD7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1038-4E09-A57C-5692B259DD7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1038-4E09-A57C-5692B259DD7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1038-4E09-A57C-5692B259DD7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1038-4E09-A57C-5692B259DD7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1038-4E09-A57C-5692B259DD7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1038-4E09-A57C-5692B259DD7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1038-4E09-A57C-5692B259DD7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1038-4E09-A57C-5692B259DD7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1038-4E09-A57C-5692B259DD7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1038-4E09-A57C-5692B259DD7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1038-4E09-A57C-5692B259DD7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1038-4E09-A57C-5692B259DD7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1038-4E09-A57C-5692B259DD7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1038-4E09-A57C-5692B259DD7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1038-4E09-A57C-5692B259DD7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1038-4E09-A57C-5692B259DD7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1038-4E09-A57C-5692B259DD7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1038-4E09-A57C-5692B259DD7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1038-4E09-A57C-5692B259DD7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1038-4E09-A57C-5692B259DD7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1038-4E09-A57C-5692B259DD7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1038-4E09-A57C-5692B259DD7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1038-4E09-A57C-5692B259DD7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1038-4E09-A57C-5692B259DD7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1038-4E09-A57C-5692B259DD7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1038-4E09-A57C-5692B259DD7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71C9-4465-A6AA-3818092848CB}"/>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71C9-4465-A6AA-3818092848CB}"/>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71C9-4465-A6AA-3818092848C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71C9-4465-A6AA-3818092848CB}"/>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71C9-4465-A6AA-3818092848CB}"/>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71C9-4465-A6AA-3818092848CB}"/>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71C9-4465-A6AA-3818092848CB}"/>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71C9-4465-A6AA-3818092848CB}"/>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71C9-4465-A6AA-3818092848CB}"/>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71C9-4465-A6AA-3818092848CB}"/>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71C9-4465-A6AA-3818092848CB}"/>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71C9-4465-A6AA-3818092848CB}"/>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71C9-4465-A6AA-3818092848CB}"/>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71C9-4465-A6AA-3818092848CB}"/>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71C9-4465-A6AA-3818092848CB}"/>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71C9-4465-A6AA-3818092848CB}"/>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71C9-4465-A6AA-3818092848CB}"/>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71C9-4465-A6AA-3818092848CB}"/>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71C9-4465-A6AA-3818092848CB}"/>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71C9-4465-A6AA-3818092848CB}"/>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71C9-4465-A6AA-3818092848CB}"/>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71C9-4465-A6AA-3818092848CB}"/>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71C9-4465-A6AA-3818092848CB}"/>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71C9-4465-A6AA-3818092848C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71C9-4465-A6AA-3818092848C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71C9-4465-A6AA-3818092848C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71C9-4465-A6AA-3818092848C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71C9-4465-A6AA-3818092848C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71C9-4465-A6AA-3818092848C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71C9-4465-A6AA-3818092848C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71C9-4465-A6AA-3818092848C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71C9-4465-A6AA-3818092848C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71C9-4465-A6AA-3818092848C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71C9-4465-A6AA-3818092848C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71C9-4465-A6AA-3818092848C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71C9-4465-A6AA-3818092848C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71C9-4465-A6AA-3818092848C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71C9-4465-A6AA-3818092848C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71C9-4465-A6AA-3818092848C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71C9-4465-A6AA-3818092848C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71C9-4465-A6AA-3818092848C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71C9-4465-A6AA-3818092848C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71C9-4465-A6AA-3818092848C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71C9-4465-A6AA-3818092848C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71C9-4465-A6AA-3818092848C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71C9-4465-A6AA-3818092848C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71C9-4465-A6AA-3818092848C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71C9-4465-A6AA-3818092848C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71C9-4465-A6AA-3818092848C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71C9-4465-A6AA-3818092848C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0E5E-4DBC-BB74-D1CDF1D670D2}"/>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0E5E-4DBC-BB74-D1CDF1D670D2}"/>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0E5E-4DBC-BB74-D1CDF1D670D2}"/>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0E5E-4DBC-BB74-D1CDF1D670D2}"/>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0E5E-4DBC-BB74-D1CDF1D670D2}"/>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0E5E-4DBC-BB74-D1CDF1D670D2}"/>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0E5E-4DBC-BB74-D1CDF1D670D2}"/>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0E5E-4DBC-BB74-D1CDF1D670D2}"/>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0E5E-4DBC-BB74-D1CDF1D670D2}"/>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0E5E-4DBC-BB74-D1CDF1D670D2}"/>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0E5E-4DBC-BB74-D1CDF1D670D2}"/>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0E5E-4DBC-BB74-D1CDF1D670D2}"/>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0E5E-4DBC-BB74-D1CDF1D670D2}"/>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0E5E-4DBC-BB74-D1CDF1D670D2}"/>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0E5E-4DBC-BB74-D1CDF1D670D2}"/>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0E5E-4DBC-BB74-D1CDF1D670D2}"/>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0E5E-4DBC-BB74-D1CDF1D670D2}"/>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0E5E-4DBC-BB74-D1CDF1D670D2}"/>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0E5E-4DBC-BB74-D1CDF1D670D2}"/>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0E5E-4DBC-BB74-D1CDF1D670D2}"/>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0E5E-4DBC-BB74-D1CDF1D670D2}"/>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0E5E-4DBC-BB74-D1CDF1D670D2}"/>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0E5E-4DBC-BB74-D1CDF1D670D2}"/>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0E5E-4DBC-BB74-D1CDF1D670D2}"/>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0E5E-4DBC-BB74-D1CDF1D670D2}"/>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0E5E-4DBC-BB74-D1CDF1D670D2}"/>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0E5E-4DBC-BB74-D1CDF1D670D2}"/>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0E5E-4DBC-BB74-D1CDF1D670D2}"/>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0E5E-4DBC-BB74-D1CDF1D670D2}"/>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0E5E-4DBC-BB74-D1CDF1D670D2}"/>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0E5E-4DBC-BB74-D1CDF1D670D2}"/>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0E5E-4DBC-BB74-D1CDF1D670D2}"/>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0E5E-4DBC-BB74-D1CDF1D670D2}"/>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0E5E-4DBC-BB74-D1CDF1D670D2}"/>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0E5E-4DBC-BB74-D1CDF1D670D2}"/>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0E5E-4DBC-BB74-D1CDF1D670D2}"/>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0E5E-4DBC-BB74-D1CDF1D670D2}"/>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0E5E-4DBC-BB74-D1CDF1D670D2}"/>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0E5E-4DBC-BB74-D1CDF1D670D2}"/>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0E5E-4DBC-BB74-D1CDF1D670D2}"/>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0E5E-4DBC-BB74-D1CDF1D670D2}"/>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0E5E-4DBC-BB74-D1CDF1D670D2}"/>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0E5E-4DBC-BB74-D1CDF1D670D2}"/>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0E5E-4DBC-BB74-D1CDF1D670D2}"/>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0E5E-4DBC-BB74-D1CDF1D670D2}"/>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0E5E-4DBC-BB74-D1CDF1D670D2}"/>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0E5E-4DBC-BB74-D1CDF1D670D2}"/>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0E5E-4DBC-BB74-D1CDF1D670D2}"/>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0E5E-4DBC-BB74-D1CDF1D670D2}"/>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0E5E-4DBC-BB74-D1CDF1D670D2}"/>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A019-4132-A931-746B42FC6A9A}"/>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A019-4132-A931-746B42FC6A9A}"/>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A019-4132-A931-746B42FC6A9A}"/>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A019-4132-A931-746B42FC6A9A}"/>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A019-4132-A931-746B42FC6A9A}"/>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A019-4132-A931-746B42FC6A9A}"/>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A019-4132-A931-746B42FC6A9A}"/>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A019-4132-A931-746B42FC6A9A}"/>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A019-4132-A931-746B42FC6A9A}"/>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A019-4132-A931-746B42FC6A9A}"/>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A019-4132-A931-746B42FC6A9A}"/>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A019-4132-A931-746B42FC6A9A}"/>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A019-4132-A931-746B42FC6A9A}"/>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A019-4132-A931-746B42FC6A9A}"/>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A019-4132-A931-746B42FC6A9A}"/>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A019-4132-A931-746B42FC6A9A}"/>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A019-4132-A931-746B42FC6A9A}"/>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A019-4132-A931-746B42FC6A9A}"/>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A019-4132-A931-746B42FC6A9A}"/>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A019-4132-A931-746B42FC6A9A}"/>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A019-4132-A931-746B42FC6A9A}"/>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A019-4132-A931-746B42FC6A9A}"/>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A019-4132-A931-746B42FC6A9A}"/>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A019-4132-A931-746B42FC6A9A}"/>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A019-4132-A931-746B42FC6A9A}"/>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A019-4132-A931-746B42FC6A9A}"/>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A019-4132-A931-746B42FC6A9A}"/>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A019-4132-A931-746B42FC6A9A}"/>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A019-4132-A931-746B42FC6A9A}"/>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A019-4132-A931-746B42FC6A9A}"/>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A019-4132-A931-746B42FC6A9A}"/>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A019-4132-A931-746B42FC6A9A}"/>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A019-4132-A931-746B42FC6A9A}"/>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A019-4132-A931-746B42FC6A9A}"/>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A019-4132-A931-746B42FC6A9A}"/>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A019-4132-A931-746B42FC6A9A}"/>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A019-4132-A931-746B42FC6A9A}"/>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A019-4132-A931-746B42FC6A9A}"/>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A019-4132-A931-746B42FC6A9A}"/>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A019-4132-A931-746B42FC6A9A}"/>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A019-4132-A931-746B42FC6A9A}"/>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A019-4132-A931-746B42FC6A9A}"/>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A019-4132-A931-746B42FC6A9A}"/>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A019-4132-A931-746B42FC6A9A}"/>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A019-4132-A931-746B42FC6A9A}"/>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A019-4132-A931-746B42FC6A9A}"/>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A019-4132-A931-746B42FC6A9A}"/>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A019-4132-A931-746B42FC6A9A}"/>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A019-4132-A931-746B42FC6A9A}"/>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A019-4132-A931-746B42FC6A9A}"/>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37AA-469E-BDF8-1F9EA5D6B4F3}"/>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37AA-469E-BDF8-1F9EA5D6B4F3}"/>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37AA-469E-BDF8-1F9EA5D6B4F3}"/>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37AA-469E-BDF8-1F9EA5D6B4F3}"/>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37AA-469E-BDF8-1F9EA5D6B4F3}"/>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37AA-469E-BDF8-1F9EA5D6B4F3}"/>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37AA-469E-BDF8-1F9EA5D6B4F3}"/>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37AA-469E-BDF8-1F9EA5D6B4F3}"/>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37AA-469E-BDF8-1F9EA5D6B4F3}"/>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37AA-469E-BDF8-1F9EA5D6B4F3}"/>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37AA-469E-BDF8-1F9EA5D6B4F3}"/>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37AA-469E-BDF8-1F9EA5D6B4F3}"/>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37AA-469E-BDF8-1F9EA5D6B4F3}"/>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37AA-469E-BDF8-1F9EA5D6B4F3}"/>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37AA-469E-BDF8-1F9EA5D6B4F3}"/>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37AA-469E-BDF8-1F9EA5D6B4F3}"/>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37AA-469E-BDF8-1F9EA5D6B4F3}"/>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37AA-469E-BDF8-1F9EA5D6B4F3}"/>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37AA-469E-BDF8-1F9EA5D6B4F3}"/>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37AA-469E-BDF8-1F9EA5D6B4F3}"/>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37AA-469E-BDF8-1F9EA5D6B4F3}"/>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37AA-469E-BDF8-1F9EA5D6B4F3}"/>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37AA-469E-BDF8-1F9EA5D6B4F3}"/>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37AA-469E-BDF8-1F9EA5D6B4F3}"/>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37AA-469E-BDF8-1F9EA5D6B4F3}"/>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37AA-469E-BDF8-1F9EA5D6B4F3}"/>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37AA-469E-BDF8-1F9EA5D6B4F3}"/>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37AA-469E-BDF8-1F9EA5D6B4F3}"/>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37AA-469E-BDF8-1F9EA5D6B4F3}"/>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37AA-469E-BDF8-1F9EA5D6B4F3}"/>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37AA-469E-BDF8-1F9EA5D6B4F3}"/>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37AA-469E-BDF8-1F9EA5D6B4F3}"/>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37AA-469E-BDF8-1F9EA5D6B4F3}"/>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37AA-469E-BDF8-1F9EA5D6B4F3}"/>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37AA-469E-BDF8-1F9EA5D6B4F3}"/>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37AA-469E-BDF8-1F9EA5D6B4F3}"/>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37AA-469E-BDF8-1F9EA5D6B4F3}"/>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37AA-469E-BDF8-1F9EA5D6B4F3}"/>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37AA-469E-BDF8-1F9EA5D6B4F3}"/>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37AA-469E-BDF8-1F9EA5D6B4F3}"/>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37AA-469E-BDF8-1F9EA5D6B4F3}"/>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37AA-469E-BDF8-1F9EA5D6B4F3}"/>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37AA-469E-BDF8-1F9EA5D6B4F3}"/>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37AA-469E-BDF8-1F9EA5D6B4F3}"/>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37AA-469E-BDF8-1F9EA5D6B4F3}"/>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37AA-469E-BDF8-1F9EA5D6B4F3}"/>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37AA-469E-BDF8-1F9EA5D6B4F3}"/>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37AA-469E-BDF8-1F9EA5D6B4F3}"/>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37AA-469E-BDF8-1F9EA5D6B4F3}"/>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37AA-469E-BDF8-1F9EA5D6B4F3}"/>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8BF4-4C2F-B9B4-15DAF606015F}"/>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8BF4-4C2F-B9B4-15DAF606015F}"/>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8BF4-4C2F-B9B4-15DAF606015F}"/>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8BF4-4C2F-B9B4-15DAF606015F}"/>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8BF4-4C2F-B9B4-15DAF606015F}"/>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8BF4-4C2F-B9B4-15DAF606015F}"/>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8BF4-4C2F-B9B4-15DAF606015F}"/>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8BF4-4C2F-B9B4-15DAF606015F}"/>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8BF4-4C2F-B9B4-15DAF606015F}"/>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8BF4-4C2F-B9B4-15DAF606015F}"/>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8BF4-4C2F-B9B4-15DAF606015F}"/>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8BF4-4C2F-B9B4-15DAF606015F}"/>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8BF4-4C2F-B9B4-15DAF606015F}"/>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8BF4-4C2F-B9B4-15DAF606015F}"/>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8BF4-4C2F-B9B4-15DAF606015F}"/>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8BF4-4C2F-B9B4-15DAF606015F}"/>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8BF4-4C2F-B9B4-15DAF606015F}"/>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8BF4-4C2F-B9B4-15DAF606015F}"/>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8BF4-4C2F-B9B4-15DAF606015F}"/>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8BF4-4C2F-B9B4-15DAF606015F}"/>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8BF4-4C2F-B9B4-15DAF606015F}"/>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8BF4-4C2F-B9B4-15DAF606015F}"/>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8BF4-4C2F-B9B4-15DAF606015F}"/>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8BF4-4C2F-B9B4-15DAF606015F}"/>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8BF4-4C2F-B9B4-15DAF606015F}"/>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8BF4-4C2F-B9B4-15DAF606015F}"/>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8BF4-4C2F-B9B4-15DAF606015F}"/>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8BF4-4C2F-B9B4-15DAF606015F}"/>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8BF4-4C2F-B9B4-15DAF606015F}"/>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8BF4-4C2F-B9B4-15DAF606015F}"/>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8BF4-4C2F-B9B4-15DAF606015F}"/>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8BF4-4C2F-B9B4-15DAF606015F}"/>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8BF4-4C2F-B9B4-15DAF606015F}"/>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8BF4-4C2F-B9B4-15DAF606015F}"/>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8BF4-4C2F-B9B4-15DAF606015F}"/>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8BF4-4C2F-B9B4-15DAF606015F}"/>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8BF4-4C2F-B9B4-15DAF606015F}"/>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8BF4-4C2F-B9B4-15DAF606015F}"/>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8BF4-4C2F-B9B4-15DAF606015F}"/>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8BF4-4C2F-B9B4-15DAF606015F}"/>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8BF4-4C2F-B9B4-15DAF606015F}"/>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8BF4-4C2F-B9B4-15DAF606015F}"/>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8BF4-4C2F-B9B4-15DAF606015F}"/>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8BF4-4C2F-B9B4-15DAF606015F}"/>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8BF4-4C2F-B9B4-15DAF606015F}"/>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8BF4-4C2F-B9B4-15DAF606015F}"/>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8BF4-4C2F-B9B4-15DAF606015F}"/>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8BF4-4C2F-B9B4-15DAF606015F}"/>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8BF4-4C2F-B9B4-15DAF606015F}"/>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8BF4-4C2F-B9B4-15DAF606015F}"/>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E668-4203-96AE-4589A0C4E7EA}"/>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E668-4203-96AE-4589A0C4E7EA}"/>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E668-4203-96AE-4589A0C4E7EA}"/>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E668-4203-96AE-4589A0C4E7EA}"/>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E668-4203-96AE-4589A0C4E7EA}"/>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E668-4203-96AE-4589A0C4E7EA}"/>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E668-4203-96AE-4589A0C4E7EA}"/>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E668-4203-96AE-4589A0C4E7EA}"/>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E668-4203-96AE-4589A0C4E7EA}"/>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E668-4203-96AE-4589A0C4E7EA}"/>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E668-4203-96AE-4589A0C4E7EA}"/>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E668-4203-96AE-4589A0C4E7EA}"/>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E668-4203-96AE-4589A0C4E7EA}"/>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E668-4203-96AE-4589A0C4E7EA}"/>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E668-4203-96AE-4589A0C4E7EA}"/>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E668-4203-96AE-4589A0C4E7EA}"/>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E668-4203-96AE-4589A0C4E7EA}"/>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E668-4203-96AE-4589A0C4E7EA}"/>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E668-4203-96AE-4589A0C4E7EA}"/>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E668-4203-96AE-4589A0C4E7EA}"/>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E668-4203-96AE-4589A0C4E7EA}"/>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E668-4203-96AE-4589A0C4E7EA}"/>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E668-4203-96AE-4589A0C4E7EA}"/>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E668-4203-96AE-4589A0C4E7EA}"/>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E668-4203-96AE-4589A0C4E7EA}"/>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E668-4203-96AE-4589A0C4E7EA}"/>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E668-4203-96AE-4589A0C4E7EA}"/>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E668-4203-96AE-4589A0C4E7EA}"/>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E668-4203-96AE-4589A0C4E7EA}"/>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E668-4203-96AE-4589A0C4E7EA}"/>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E668-4203-96AE-4589A0C4E7EA}"/>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E668-4203-96AE-4589A0C4E7EA}"/>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E668-4203-96AE-4589A0C4E7EA}"/>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E668-4203-96AE-4589A0C4E7EA}"/>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E668-4203-96AE-4589A0C4E7EA}"/>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E668-4203-96AE-4589A0C4E7EA}"/>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E668-4203-96AE-4589A0C4E7EA}"/>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E668-4203-96AE-4589A0C4E7EA}"/>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E668-4203-96AE-4589A0C4E7EA}"/>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E668-4203-96AE-4589A0C4E7EA}"/>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E668-4203-96AE-4589A0C4E7EA}"/>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E668-4203-96AE-4589A0C4E7EA}"/>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E668-4203-96AE-4589A0C4E7EA}"/>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E668-4203-96AE-4589A0C4E7EA}"/>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E668-4203-96AE-4589A0C4E7EA}"/>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E668-4203-96AE-4589A0C4E7EA}"/>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E668-4203-96AE-4589A0C4E7EA}"/>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E668-4203-96AE-4589A0C4E7EA}"/>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E668-4203-96AE-4589A0C4E7EA}"/>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E668-4203-96AE-4589A0C4E7EA}"/>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4D94-49FE-9BE0-B971B0AE118B}"/>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4D94-49FE-9BE0-B971B0AE118B}"/>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4D94-49FE-9BE0-B971B0AE118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4D94-49FE-9BE0-B971B0AE118B}"/>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4D94-49FE-9BE0-B971B0AE118B}"/>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4D94-49FE-9BE0-B971B0AE118B}"/>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4D94-49FE-9BE0-B971B0AE118B}"/>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4D94-49FE-9BE0-B971B0AE118B}"/>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4D94-49FE-9BE0-B971B0AE118B}"/>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4D94-49FE-9BE0-B971B0AE118B}"/>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4D94-49FE-9BE0-B971B0AE118B}"/>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4D94-49FE-9BE0-B971B0AE118B}"/>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4D94-49FE-9BE0-B971B0AE118B}"/>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4D94-49FE-9BE0-B971B0AE118B}"/>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4D94-49FE-9BE0-B971B0AE118B}"/>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4D94-49FE-9BE0-B971B0AE118B}"/>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4D94-49FE-9BE0-B971B0AE118B}"/>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4D94-49FE-9BE0-B971B0AE118B}"/>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4D94-49FE-9BE0-B971B0AE118B}"/>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4D94-49FE-9BE0-B971B0AE118B}"/>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4D94-49FE-9BE0-B971B0AE118B}"/>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4D94-49FE-9BE0-B971B0AE118B}"/>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4D94-49FE-9BE0-B971B0AE118B}"/>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4D94-49FE-9BE0-B971B0AE118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4D94-49FE-9BE0-B971B0AE118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4D94-49FE-9BE0-B971B0AE118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4D94-49FE-9BE0-B971B0AE118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4D94-49FE-9BE0-B971B0AE118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4D94-49FE-9BE0-B971B0AE118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4D94-49FE-9BE0-B971B0AE118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4D94-49FE-9BE0-B971B0AE118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4D94-49FE-9BE0-B971B0AE118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4D94-49FE-9BE0-B971B0AE118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4D94-49FE-9BE0-B971B0AE118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4D94-49FE-9BE0-B971B0AE118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4D94-49FE-9BE0-B971B0AE118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4D94-49FE-9BE0-B971B0AE118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4D94-49FE-9BE0-B971B0AE118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4D94-49FE-9BE0-B971B0AE118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4D94-49FE-9BE0-B971B0AE118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4D94-49FE-9BE0-B971B0AE118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4D94-49FE-9BE0-B971B0AE118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4D94-49FE-9BE0-B971B0AE118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4D94-49FE-9BE0-B971B0AE118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4D94-49FE-9BE0-B971B0AE118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4D94-49FE-9BE0-B971B0AE118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4D94-49FE-9BE0-B971B0AE118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4D94-49FE-9BE0-B971B0AE118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4D94-49FE-9BE0-B971B0AE118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4D94-49FE-9BE0-B971B0AE118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BDF7-42A4-B929-33768A85AA4D}"/>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BDF7-42A4-B929-33768A85AA4D}"/>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BDF7-42A4-B929-33768A85AA4D}"/>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BDF7-42A4-B929-33768A85AA4D}"/>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BDF7-42A4-B929-33768A85AA4D}"/>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BDF7-42A4-B929-33768A85AA4D}"/>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BDF7-42A4-B929-33768A85AA4D}"/>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BDF7-42A4-B929-33768A85AA4D}"/>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BDF7-42A4-B929-33768A85AA4D}"/>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BDF7-42A4-B929-33768A85AA4D}"/>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BDF7-42A4-B929-33768A85AA4D}"/>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BDF7-42A4-B929-33768A85AA4D}"/>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BDF7-42A4-B929-33768A85AA4D}"/>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BDF7-42A4-B929-33768A85AA4D}"/>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BDF7-42A4-B929-33768A85AA4D}"/>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BDF7-42A4-B929-33768A85AA4D}"/>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BDF7-42A4-B929-33768A85AA4D}"/>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BDF7-42A4-B929-33768A85AA4D}"/>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BDF7-42A4-B929-33768A85AA4D}"/>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BDF7-42A4-B929-33768A85AA4D}"/>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BDF7-42A4-B929-33768A85AA4D}"/>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BDF7-42A4-B929-33768A85AA4D}"/>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BDF7-42A4-B929-33768A85AA4D}"/>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BDF7-42A4-B929-33768A85AA4D}"/>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BDF7-42A4-B929-33768A85AA4D}"/>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BDF7-42A4-B929-33768A85AA4D}"/>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BDF7-42A4-B929-33768A85AA4D}"/>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BDF7-42A4-B929-33768A85AA4D}"/>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BDF7-42A4-B929-33768A85AA4D}"/>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BDF7-42A4-B929-33768A85AA4D}"/>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BDF7-42A4-B929-33768A85AA4D}"/>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BDF7-42A4-B929-33768A85AA4D}"/>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BDF7-42A4-B929-33768A85AA4D}"/>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BDF7-42A4-B929-33768A85AA4D}"/>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BDF7-42A4-B929-33768A85AA4D}"/>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BDF7-42A4-B929-33768A85AA4D}"/>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BDF7-42A4-B929-33768A85AA4D}"/>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BDF7-42A4-B929-33768A85AA4D}"/>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BDF7-42A4-B929-33768A85AA4D}"/>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BDF7-42A4-B929-33768A85AA4D}"/>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BDF7-42A4-B929-33768A85AA4D}"/>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BDF7-42A4-B929-33768A85AA4D}"/>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BDF7-42A4-B929-33768A85AA4D}"/>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BDF7-42A4-B929-33768A85AA4D}"/>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BDF7-42A4-B929-33768A85AA4D}"/>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BDF7-42A4-B929-33768A85AA4D}"/>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BDF7-42A4-B929-33768A85AA4D}"/>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BDF7-42A4-B929-33768A85AA4D}"/>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BDF7-42A4-B929-33768A85AA4D}"/>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BDF7-42A4-B929-33768A85AA4D}"/>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B3A1-401B-8B71-131CD85F5781}"/>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B3A1-401B-8B71-131CD85F5781}"/>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B3A1-401B-8B71-131CD85F5781}"/>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B3A1-401B-8B71-131CD85F5781}"/>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B3A1-401B-8B71-131CD85F5781}"/>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B3A1-401B-8B71-131CD85F5781}"/>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B3A1-401B-8B71-131CD85F5781}"/>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B3A1-401B-8B71-131CD85F5781}"/>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B3A1-401B-8B71-131CD85F5781}"/>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B3A1-401B-8B71-131CD85F5781}"/>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B3A1-401B-8B71-131CD85F5781}"/>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B3A1-401B-8B71-131CD85F5781}"/>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B3A1-401B-8B71-131CD85F5781}"/>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B3A1-401B-8B71-131CD85F5781}"/>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B3A1-401B-8B71-131CD85F5781}"/>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B3A1-401B-8B71-131CD85F5781}"/>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B3A1-401B-8B71-131CD85F5781}"/>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B3A1-401B-8B71-131CD85F5781}"/>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B3A1-401B-8B71-131CD85F5781}"/>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B3A1-401B-8B71-131CD85F5781}"/>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B3A1-401B-8B71-131CD85F5781}"/>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B3A1-401B-8B71-131CD85F5781}"/>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B3A1-401B-8B71-131CD85F5781}"/>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B3A1-401B-8B71-131CD85F5781}"/>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B3A1-401B-8B71-131CD85F5781}"/>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B3A1-401B-8B71-131CD85F5781}"/>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B3A1-401B-8B71-131CD85F5781}"/>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B3A1-401B-8B71-131CD85F5781}"/>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B3A1-401B-8B71-131CD85F5781}"/>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B3A1-401B-8B71-131CD85F5781}"/>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B3A1-401B-8B71-131CD85F5781}"/>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B3A1-401B-8B71-131CD85F5781}"/>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B3A1-401B-8B71-131CD85F5781}"/>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B3A1-401B-8B71-131CD85F5781}"/>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B3A1-401B-8B71-131CD85F5781}"/>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B3A1-401B-8B71-131CD85F5781}"/>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B3A1-401B-8B71-131CD85F5781}"/>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B3A1-401B-8B71-131CD85F5781}"/>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B3A1-401B-8B71-131CD85F5781}"/>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B3A1-401B-8B71-131CD85F5781}"/>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B3A1-401B-8B71-131CD85F5781}"/>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B3A1-401B-8B71-131CD85F5781}"/>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B3A1-401B-8B71-131CD85F5781}"/>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B3A1-401B-8B71-131CD85F5781}"/>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B3A1-401B-8B71-131CD85F5781}"/>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B3A1-401B-8B71-131CD85F5781}"/>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B3A1-401B-8B71-131CD85F5781}"/>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B3A1-401B-8B71-131CD85F5781}"/>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B3A1-401B-8B71-131CD85F5781}"/>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B3A1-401B-8B71-131CD85F5781}"/>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7182-4CC3-B80A-ABE795D3B05B}"/>
            </c:ext>
          </c:extLst>
        </c:ser>
        <c:ser>
          <c:idx val="0"/>
          <c:order val="1"/>
          <c:tx>
            <c:strRef>
              <c:f>DashCalculations!$P$11</c:f>
              <c:strCache>
                <c:ptCount val="1"/>
                <c:pt idx="0">
                  <c:v>sub coursera</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7182-4CC3-B80A-ABE795D3B05B}"/>
            </c:ext>
          </c:extLst>
        </c:ser>
        <c:ser>
          <c:idx val="1"/>
          <c:order val="2"/>
          <c:tx>
            <c:strRef>
              <c:f>DashCalculations!$P$12</c:f>
              <c:strCache>
                <c:ptCount val="1"/>
                <c:pt idx="0">
                  <c:v>sub skillshare</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7182-4CC3-B80A-ABE795D3B05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7182-4CC3-B80A-ABE795D3B05B}"/>
            </c:ext>
          </c:extLst>
        </c:ser>
        <c:ser>
          <c:idx val="4"/>
          <c:order val="4"/>
          <c:tx>
            <c:strRef>
              <c:f>DashCalculations!$P$14</c:f>
              <c:strCache>
                <c:ptCount val="1"/>
                <c:pt idx="0">
                  <c:v>sub chatGPT</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7182-4CC3-B80A-ABE795D3B05B}"/>
            </c:ext>
          </c:extLst>
        </c:ser>
        <c:ser>
          <c:idx val="5"/>
          <c:order val="5"/>
          <c:tx>
            <c:strRef>
              <c:f>DashCalculations!$P$15</c:f>
              <c:strCache>
                <c:ptCount val="1"/>
                <c:pt idx="0">
                  <c:v>sub Github</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7182-4CC3-B80A-ABE795D3B05B}"/>
            </c:ext>
          </c:extLst>
        </c:ser>
        <c:ser>
          <c:idx val="6"/>
          <c:order val="6"/>
          <c:tx>
            <c:strRef>
              <c:f>DashCalculations!$P$16</c:f>
              <c:strCache>
                <c:ptCount val="1"/>
                <c:pt idx="0">
                  <c:v>sub iobit driver booster </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7182-4CC3-B80A-ABE795D3B05B}"/>
            </c:ext>
          </c:extLst>
        </c:ser>
        <c:ser>
          <c:idx val="7"/>
          <c:order val="7"/>
          <c:tx>
            <c:strRef>
              <c:f>DashCalculations!$P$17</c:f>
              <c:strCache>
                <c:ptCount val="1"/>
                <c:pt idx="0">
                  <c:v>sub iobit mix</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7182-4CC3-B80A-ABE795D3B05B}"/>
            </c:ext>
          </c:extLst>
        </c:ser>
        <c:ser>
          <c:idx val="8"/>
          <c:order val="8"/>
          <c:tx>
            <c:strRef>
              <c:f>DashCalculations!$P$18</c:f>
              <c:strCache>
                <c:ptCount val="1"/>
                <c:pt idx="0">
                  <c:v>sub iobit system care </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7182-4CC3-B80A-ABE795D3B05B}"/>
            </c:ext>
          </c:extLst>
        </c:ser>
        <c:ser>
          <c:idx val="9"/>
          <c:order val="9"/>
          <c:tx>
            <c:strRef>
              <c:f>DashCalculations!$P$19</c:f>
              <c:strCache>
                <c:ptCount val="1"/>
                <c:pt idx="0">
                  <c:v>sub iobit uninstaller </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7182-4CC3-B80A-ABE795D3B05B}"/>
            </c:ext>
          </c:extLst>
        </c:ser>
        <c:ser>
          <c:idx val="10"/>
          <c:order val="10"/>
          <c:tx>
            <c:strRef>
              <c:f>DashCalculations!$P$20</c:f>
              <c:strCache>
                <c:ptCount val="1"/>
                <c:pt idx="0">
                  <c:v>sub office 365</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7182-4CC3-B80A-ABE795D3B05B}"/>
            </c:ext>
          </c:extLst>
        </c:ser>
        <c:ser>
          <c:idx val="11"/>
          <c:order val="11"/>
          <c:tx>
            <c:strRef>
              <c:f>DashCalculations!$P$21</c:f>
              <c:strCache>
                <c:ptCount val="1"/>
                <c:pt idx="0">
                  <c:v>donation yuumei</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7182-4CC3-B80A-ABE795D3B05B}"/>
            </c:ext>
          </c:extLst>
        </c:ser>
        <c:ser>
          <c:idx val="12"/>
          <c:order val="12"/>
          <c:tx>
            <c:strRef>
              <c:f>DashCalculations!$P$22</c:f>
              <c:strCache>
                <c:ptCount val="1"/>
                <c:pt idx="0">
                  <c:v>phoneix membership</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7182-4CC3-B80A-ABE795D3B05B}"/>
            </c:ext>
          </c:extLst>
        </c:ser>
        <c:ser>
          <c:idx val="13"/>
          <c:order val="13"/>
          <c:tx>
            <c:strRef>
              <c:f>DashCalculations!$P$23</c:f>
              <c:strCache>
                <c:ptCount val="1"/>
                <c:pt idx="0">
                  <c:v>sub amazon music</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7182-4CC3-B80A-ABE795D3B05B}"/>
            </c:ext>
          </c:extLst>
        </c:ser>
        <c:ser>
          <c:idx val="14"/>
          <c:order val="14"/>
          <c:tx>
            <c:strRef>
              <c:f>DashCalculations!$P$24</c:f>
              <c:strCache>
                <c:ptCount val="1"/>
                <c:pt idx="0">
                  <c:v>sub creative fabrica</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7182-4CC3-B80A-ABE795D3B05B}"/>
            </c:ext>
          </c:extLst>
        </c:ser>
        <c:ser>
          <c:idx val="15"/>
          <c:order val="15"/>
          <c:tx>
            <c:strRef>
              <c:f>DashCalculations!$P$25</c:f>
              <c:strCache>
                <c:ptCount val="1"/>
                <c:pt idx="0">
                  <c:v>sub deviant art</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7182-4CC3-B80A-ABE795D3B05B}"/>
            </c:ext>
          </c:extLst>
        </c:ser>
        <c:ser>
          <c:idx val="16"/>
          <c:order val="16"/>
          <c:tx>
            <c:strRef>
              <c:f>DashCalculations!$P$26</c:f>
              <c:strCache>
                <c:ptCount val="1"/>
                <c:pt idx="0">
                  <c:v>sub dropout TV</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7182-4CC3-B80A-ABE795D3B05B}"/>
            </c:ext>
          </c:extLst>
        </c:ser>
        <c:ser>
          <c:idx val="17"/>
          <c:order val="17"/>
          <c:tx>
            <c:strRef>
              <c:f>DashCalculations!$P$27</c:f>
              <c:strCache>
                <c:ptCount val="1"/>
                <c:pt idx="0">
                  <c:v>sub guardian</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7182-4CC3-B80A-ABE795D3B05B}"/>
            </c:ext>
          </c:extLst>
        </c:ser>
        <c:ser>
          <c:idx val="18"/>
          <c:order val="18"/>
          <c:tx>
            <c:strRef>
              <c:f>DashCalculations!$P$28</c:f>
              <c:strCache>
                <c:ptCount val="1"/>
                <c:pt idx="0">
                  <c:v>sub kindle</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7182-4CC3-B80A-ABE795D3B05B}"/>
            </c:ext>
          </c:extLst>
        </c:ser>
        <c:ser>
          <c:idx val="19"/>
          <c:order val="19"/>
          <c:tx>
            <c:strRef>
              <c:f>DashCalculations!$P$29</c:f>
              <c:strCache>
                <c:ptCount val="1"/>
                <c:pt idx="0">
                  <c:v>sub netflix</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7182-4CC3-B80A-ABE795D3B05B}"/>
            </c:ext>
          </c:extLst>
        </c:ser>
        <c:ser>
          <c:idx val="20"/>
          <c:order val="20"/>
          <c:tx>
            <c:strRef>
              <c:f>DashCalculations!$P$30</c:f>
              <c:strCache>
                <c:ptCount val="1"/>
                <c:pt idx="0">
                  <c:v>sub paramount plus</c:v>
                </c:pt>
              </c:strCache>
            </c:strRef>
          </c:tx>
          <c:cat>
            <c:multiLvlStrRef>
              <c:f>DashCalculations!$Q$9:$R$9</c:f>
            </c:multiLvlStrRef>
          </c:cat>
          <c:val>
            <c:numRef>
              <c:f>DashCalculations!$Q$30:$R$30</c:f>
            </c:numRef>
          </c:val>
          <c:extLst>
            <c:ext xmlns:c16="http://schemas.microsoft.com/office/drawing/2014/chart" uri="{C3380CC4-5D6E-409C-BE32-E72D297353CC}">
              <c16:uniqueId val="{00000004-7182-4CC3-B80A-ABE795D3B05B}"/>
            </c:ext>
          </c:extLst>
        </c:ser>
        <c:ser>
          <c:idx val="21"/>
          <c:order val="21"/>
          <c:tx>
            <c:strRef>
              <c:f>DashCalculations!$P$31</c:f>
              <c:strCache>
                <c:ptCount val="1"/>
                <c:pt idx="0">
                  <c:v>sub prime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7182-4CC3-B80A-ABE795D3B05B}"/>
            </c:ext>
          </c:extLst>
        </c:ser>
        <c:ser>
          <c:idx val="22"/>
          <c:order val="22"/>
          <c:tx>
            <c:strRef>
              <c:f>DashCalculations!$P$32</c:f>
              <c:strCache>
                <c:ptCount val="1"/>
                <c:pt idx="0">
                  <c:v>sub prime video ad-free</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7182-4CC3-B80A-ABE795D3B05B}"/>
            </c:ext>
          </c:extLst>
        </c:ser>
        <c:ser>
          <c:idx val="23"/>
          <c:order val="23"/>
          <c:tx>
            <c:strRef>
              <c:f>DashCalculations!$P$33</c:f>
              <c:strCache>
                <c:ptCount val="1"/>
                <c:pt idx="0">
                  <c:v>sub shudder</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7182-4CC3-B80A-ABE795D3B05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7182-4CC3-B80A-ABE795D3B05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7182-4CC3-B80A-ABE795D3B05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7182-4CC3-B80A-ABE795D3B05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7182-4CC3-B80A-ABE795D3B05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7182-4CC3-B80A-ABE795D3B05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7182-4CC3-B80A-ABE795D3B05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7182-4CC3-B80A-ABE795D3B05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7182-4CC3-B80A-ABE795D3B05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7182-4CC3-B80A-ABE795D3B05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7182-4CC3-B80A-ABE795D3B05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7182-4CC3-B80A-ABE795D3B05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7182-4CC3-B80A-ABE795D3B05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7182-4CC3-B80A-ABE795D3B05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7182-4CC3-B80A-ABE795D3B05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7182-4CC3-B80A-ABE795D3B05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7182-4CC3-B80A-ABE795D3B05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7182-4CC3-B80A-ABE795D3B05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7182-4CC3-B80A-ABE795D3B05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7182-4CC3-B80A-ABE795D3B05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7182-4CC3-B80A-ABE795D3B05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7182-4CC3-B80A-ABE795D3B05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7182-4CC3-B80A-ABE795D3B05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7182-4CC3-B80A-ABE795D3B05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7182-4CC3-B80A-ABE795D3B05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7182-4CC3-B80A-ABE795D3B05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7182-4CC3-B80A-ABE795D3B05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ome_Planning!A1"/><Relationship Id="rId3" Type="http://schemas.openxmlformats.org/officeDocument/2006/relationships/hyperlink" Target="#Journal!A1"/><Relationship Id="rId7" Type="http://schemas.openxmlformats.org/officeDocument/2006/relationships/hyperlink" Target="#'Asset Planning'!A1"/><Relationship Id="rId2" Type="http://schemas.openxmlformats.org/officeDocument/2006/relationships/hyperlink" Target="#AcctRef!A1"/><Relationship Id="rId1" Type="http://schemas.openxmlformats.org/officeDocument/2006/relationships/hyperlink" Target="#TitlePage!A1"/><Relationship Id="rId6" Type="http://schemas.openxmlformats.org/officeDocument/2006/relationships/hyperlink" Target="#BalanceCalc!A1"/><Relationship Id="rId11" Type="http://schemas.openxmlformats.org/officeDocument/2006/relationships/hyperlink" Target="#'Shopping List'!A1"/><Relationship Id="rId5" Type="http://schemas.openxmlformats.org/officeDocument/2006/relationships/hyperlink" Target="#Account_Ledgers!A1"/><Relationship Id="rId10" Type="http://schemas.openxmlformats.org/officeDocument/2006/relationships/hyperlink" Target="#'Expense Planning'!A1"/><Relationship Id="rId4" Type="http://schemas.openxmlformats.org/officeDocument/2006/relationships/hyperlink" Target="#'Trial Balance'!A1"/><Relationship Id="rId9" Type="http://schemas.openxmlformats.org/officeDocument/2006/relationships/hyperlink" Target="#Liability_Planning!A1"/></Relationships>
</file>

<file path=xl/drawings/_rels/drawing2.xml.rels><?xml version="1.0" encoding="UTF-8" standalone="yes"?>
<Relationships xmlns="http://schemas.openxmlformats.org/package/2006/relationships"><Relationship Id="rId3" Type="http://schemas.openxmlformats.org/officeDocument/2006/relationships/hyperlink" Target="#AcctRef!A1"/><Relationship Id="rId2" Type="http://schemas.openxmlformats.org/officeDocument/2006/relationships/hyperlink" Target="#'Trial Balance'!A1"/><Relationship Id="rId1" Type="http://schemas.openxmlformats.org/officeDocument/2006/relationships/hyperlink" Target="#'Table of Contents'!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3.xml.rels><?xml version="1.0" encoding="UTF-8" standalone="yes"?>
<Relationships xmlns="http://schemas.openxmlformats.org/package/2006/relationships"><Relationship Id="rId8" Type="http://schemas.openxmlformats.org/officeDocument/2006/relationships/hyperlink" Target="#Journal!A1"/><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Liability_Planning!A1"/><Relationship Id="rId4" Type="http://schemas.openxmlformats.org/officeDocument/2006/relationships/hyperlink" Target="#Account_Ledgers!A1"/></Relationships>
</file>

<file path=xl/drawings/_rels/drawing4.xml.rels><?xml version="1.0" encoding="UTF-8" standalone="yes"?>
<Relationships xmlns="http://schemas.openxmlformats.org/package/2006/relationships"><Relationship Id="rId3" Type="http://schemas.openxmlformats.org/officeDocument/2006/relationships/hyperlink" Target="#Account_Ledgers!A1"/><Relationship Id="rId2" Type="http://schemas.openxmlformats.org/officeDocument/2006/relationships/hyperlink" Target="#AcctRef!A1"/><Relationship Id="rId1" Type="http://schemas.openxmlformats.org/officeDocument/2006/relationships/hyperlink" Target="#'Table of Contents'!A1"/><Relationship Id="rId5" Type="http://schemas.openxmlformats.org/officeDocument/2006/relationships/hyperlink" Target="#Journal!A1"/><Relationship Id="rId4" Type="http://schemas.openxmlformats.org/officeDocument/2006/relationships/hyperlink" Target="#'Asset Planning'!A1"/></Relationships>
</file>

<file path=xl/drawings/_rels/drawing5.xml.rels><?xml version="1.0" encoding="UTF-8" standalone="yes"?>
<Relationships xmlns="http://schemas.openxmlformats.org/package/2006/relationships"><Relationship Id="rId3" Type="http://schemas.openxmlformats.org/officeDocument/2006/relationships/hyperlink" Target="#AcctRef!A1"/><Relationship Id="rId2" Type="http://schemas.openxmlformats.org/officeDocument/2006/relationships/hyperlink" Target="#'Trial Balance'!A1"/><Relationship Id="rId1" Type="http://schemas.openxmlformats.org/officeDocument/2006/relationships/hyperlink" Target="#'Table of Contents'!A1"/><Relationship Id="rId5" Type="http://schemas.openxmlformats.org/officeDocument/2006/relationships/hyperlink" Target="#Journal!A1"/><Relationship Id="rId4" Type="http://schemas.openxmlformats.org/officeDocument/2006/relationships/hyperlink" Target="#'Asset Planning'!A1"/></Relationships>
</file>

<file path=xl/drawings/_rels/drawing6.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3.xml"/><Relationship Id="rId21" Type="http://schemas.openxmlformats.org/officeDocument/2006/relationships/chart" Target="../charts/chart20.xml"/><Relationship Id="rId7" Type="http://schemas.openxmlformats.org/officeDocument/2006/relationships/hyperlink" Target="#DashSummary"/><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5" Type="http://schemas.openxmlformats.org/officeDocument/2006/relationships/chart" Target="../charts/chart14.xml"/><Relationship Id="rId23" Type="http://schemas.openxmlformats.org/officeDocument/2006/relationships/chart" Target="../charts/chart22.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s>
</file>

<file path=xl/drawings/_rels/drawing8.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9.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10.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11.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12.xml.rels><?xml version="1.0" encoding="UTF-8" standalone="yes"?>
<Relationships xmlns="http://schemas.openxmlformats.org/package/2006/relationships"><Relationship Id="rId3" Type="http://schemas.openxmlformats.org/officeDocument/2006/relationships/hyperlink" Target="#'Trial Balance'!A1"/><Relationship Id="rId2" Type="http://schemas.openxmlformats.org/officeDocument/2006/relationships/hyperlink" Target="#'Table of Contents'!A1"/><Relationship Id="rId1" Type="http://schemas.openxmlformats.org/officeDocument/2006/relationships/hyperlink" Target="#'Asset Planning'!A1"/><Relationship Id="rId5" Type="http://schemas.openxmlformats.org/officeDocument/2006/relationships/hyperlink" Target="#Journal!A1"/><Relationship Id="rId4" Type="http://schemas.openxmlformats.org/officeDocument/2006/relationships/hyperlink" Target="#Account_Ledgers!A1"/></Relationships>
</file>

<file path=xl/drawings/drawing1.xml><?xml version="1.0" encoding="utf-8"?>
<xdr:wsDr xmlns:xdr="http://schemas.openxmlformats.org/drawingml/2006/spreadsheetDrawing" xmlns:a="http://schemas.openxmlformats.org/drawingml/2006/main">
  <xdr:twoCellAnchor>
    <xdr:from>
      <xdr:col>3</xdr:col>
      <xdr:colOff>75552</xdr:colOff>
      <xdr:row>5</xdr:row>
      <xdr:rowOff>13138</xdr:rowOff>
    </xdr:from>
    <xdr:to>
      <xdr:col>4</xdr:col>
      <xdr:colOff>1191</xdr:colOff>
      <xdr:row>5</xdr:row>
      <xdr:rowOff>378898</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FC2883AC-C189-C0CB-1611-2F9A930AFA95}"/>
            </a:ext>
          </a:extLst>
        </xdr:cNvPr>
        <xdr:cNvSpPr/>
      </xdr:nvSpPr>
      <xdr:spPr>
        <a:xfrm>
          <a:off x="1028052" y="1228397"/>
          <a:ext cx="365760" cy="365760"/>
        </a:xfrm>
        <a:prstGeom prst="roundRect">
          <a:avLst/>
        </a:prstGeom>
        <a:solidFill>
          <a:schemeClr val="tx2">
            <a:lumMod val="50000"/>
            <a:lumOff val="5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7</xdr:row>
      <xdr:rowOff>19707</xdr:rowOff>
    </xdr:from>
    <xdr:to>
      <xdr:col>4</xdr:col>
      <xdr:colOff>1191</xdr:colOff>
      <xdr:row>8</xdr:row>
      <xdr:rowOff>4467</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948C4BAA-60D8-4366-A4D2-6A024F50DC5F}"/>
            </a:ext>
          </a:extLst>
        </xdr:cNvPr>
        <xdr:cNvSpPr/>
      </xdr:nvSpPr>
      <xdr:spPr>
        <a:xfrm>
          <a:off x="1028052" y="1813035"/>
          <a:ext cx="365760" cy="365760"/>
        </a:xfrm>
        <a:prstGeom prst="roundRect">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10</xdr:row>
      <xdr:rowOff>9196</xdr:rowOff>
    </xdr:from>
    <xdr:to>
      <xdr:col>4</xdr:col>
      <xdr:colOff>1191</xdr:colOff>
      <xdr:row>10</xdr:row>
      <xdr:rowOff>374956</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1017B1B6-CF87-43CB-AFC5-75AE7C7C7E83}"/>
            </a:ext>
          </a:extLst>
        </xdr:cNvPr>
        <xdr:cNvSpPr/>
      </xdr:nvSpPr>
      <xdr:spPr>
        <a:xfrm>
          <a:off x="1028052" y="2735317"/>
          <a:ext cx="365760" cy="365760"/>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12</xdr:row>
      <xdr:rowOff>118241</xdr:rowOff>
    </xdr:from>
    <xdr:to>
      <xdr:col>4</xdr:col>
      <xdr:colOff>1191</xdr:colOff>
      <xdr:row>13</xdr:row>
      <xdr:rowOff>359191</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972F98BF-2BA8-4A00-AA17-8CA0B409C733}"/>
            </a:ext>
          </a:extLst>
        </xdr:cNvPr>
        <xdr:cNvSpPr/>
      </xdr:nvSpPr>
      <xdr:spPr>
        <a:xfrm>
          <a:off x="1028052" y="3520965"/>
          <a:ext cx="365760" cy="365760"/>
        </a:xfrm>
        <a:prstGeom prst="roundRect">
          <a:avLst/>
        </a:prstGeom>
        <a:solidFill>
          <a:schemeClr val="tx2">
            <a:lumMod val="50000"/>
            <a:lumOff val="5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15</xdr:row>
      <xdr:rowOff>118243</xdr:rowOff>
    </xdr:from>
    <xdr:to>
      <xdr:col>4</xdr:col>
      <xdr:colOff>1191</xdr:colOff>
      <xdr:row>16</xdr:row>
      <xdr:rowOff>359192</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8DFC8DDE-AFCA-434E-B907-8BB840719E83}"/>
            </a:ext>
          </a:extLst>
        </xdr:cNvPr>
        <xdr:cNvSpPr/>
      </xdr:nvSpPr>
      <xdr:spPr>
        <a:xfrm>
          <a:off x="1028052" y="4447191"/>
          <a:ext cx="365760" cy="365760"/>
        </a:xfrm>
        <a:prstGeom prst="roundRect">
          <a:avLst/>
        </a:prstGeom>
        <a:solidFill>
          <a:schemeClr val="tx2">
            <a:lumMod val="50000"/>
            <a:lumOff val="5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18</xdr:row>
      <xdr:rowOff>124810</xdr:rowOff>
    </xdr:from>
    <xdr:to>
      <xdr:col>4</xdr:col>
      <xdr:colOff>1191</xdr:colOff>
      <xdr:row>20</xdr:row>
      <xdr:rowOff>24173</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17912ADB-681A-4433-8155-8477BA344C63}"/>
            </a:ext>
          </a:extLst>
        </xdr:cNvPr>
        <xdr:cNvSpPr/>
      </xdr:nvSpPr>
      <xdr:spPr>
        <a:xfrm>
          <a:off x="1028052" y="5261741"/>
          <a:ext cx="365760" cy="365760"/>
        </a:xfrm>
        <a:prstGeom prst="roundRect">
          <a:avLst/>
        </a:prstGeom>
        <a:solidFill>
          <a:schemeClr val="bg1">
            <a:lumMod val="85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257175</xdr:colOff>
      <xdr:row>7</xdr:row>
      <xdr:rowOff>0</xdr:rowOff>
    </xdr:from>
    <xdr:to>
      <xdr:col>9</xdr:col>
      <xdr:colOff>347039</xdr:colOff>
      <xdr:row>7</xdr:row>
      <xdr:rowOff>365760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D6834FE2-6EB3-4B1B-AE63-5CBF3838CC2E}"/>
            </a:ext>
          </a:extLst>
        </xdr:cNvPr>
        <xdr:cNvSpPr/>
      </xdr:nvSpPr>
      <xdr:spPr>
        <a:xfrm>
          <a:off x="5302141" y="1793328"/>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257174</xdr:colOff>
      <xdr:row>12</xdr:row>
      <xdr:rowOff>124810</xdr:rowOff>
    </xdr:from>
    <xdr:to>
      <xdr:col>9</xdr:col>
      <xdr:colOff>347038</xdr:colOff>
      <xdr:row>13</xdr:row>
      <xdr:rowOff>365760</xdr:rowOff>
    </xdr:to>
    <xdr:sp macro="" textlink="">
      <xdr:nvSpPr>
        <xdr:cNvPr id="13" name="Rectangle: Rounded Corners 12">
          <a:hlinkClick xmlns:r="http://schemas.openxmlformats.org/officeDocument/2006/relationships" r:id="rId8"/>
          <a:extLst>
            <a:ext uri="{FF2B5EF4-FFF2-40B4-BE49-F238E27FC236}">
              <a16:creationId xmlns:a16="http://schemas.microsoft.com/office/drawing/2014/main" id="{E712EB8A-4349-4E7C-B2E3-8C3E7B2EBF40}"/>
            </a:ext>
          </a:extLst>
        </xdr:cNvPr>
        <xdr:cNvSpPr/>
      </xdr:nvSpPr>
      <xdr:spPr>
        <a:xfrm>
          <a:off x="5302140" y="3527534"/>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257174</xdr:colOff>
      <xdr:row>10</xdr:row>
      <xdr:rowOff>19049</xdr:rowOff>
    </xdr:from>
    <xdr:to>
      <xdr:col>9</xdr:col>
      <xdr:colOff>347038</xdr:colOff>
      <xdr:row>11</xdr:row>
      <xdr:rowOff>3809</xdr:rowOff>
    </xdr:to>
    <xdr:sp macro="" textlink="">
      <xdr:nvSpPr>
        <xdr:cNvPr id="15" name="Rectangle: Rounded Corners 14">
          <a:hlinkClick xmlns:r="http://schemas.openxmlformats.org/officeDocument/2006/relationships" r:id="rId9"/>
          <a:extLst>
            <a:ext uri="{FF2B5EF4-FFF2-40B4-BE49-F238E27FC236}">
              <a16:creationId xmlns:a16="http://schemas.microsoft.com/office/drawing/2014/main" id="{3D5117A4-26F6-5E81-3B15-5B524537BAFD}"/>
            </a:ext>
          </a:extLst>
        </xdr:cNvPr>
        <xdr:cNvSpPr/>
      </xdr:nvSpPr>
      <xdr:spPr>
        <a:xfrm>
          <a:off x="5302140" y="2745170"/>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257174</xdr:colOff>
      <xdr:row>15</xdr:row>
      <xdr:rowOff>85725</xdr:rowOff>
    </xdr:from>
    <xdr:to>
      <xdr:col>9</xdr:col>
      <xdr:colOff>347038</xdr:colOff>
      <xdr:row>16</xdr:row>
      <xdr:rowOff>326674</xdr:rowOff>
    </xdr:to>
    <xdr:sp macro="" textlink="">
      <xdr:nvSpPr>
        <xdr:cNvPr id="16" name="Rectangle: Rounded Corners 15">
          <a:hlinkClick xmlns:r="http://schemas.openxmlformats.org/officeDocument/2006/relationships" r:id="rId10"/>
          <a:extLst>
            <a:ext uri="{FF2B5EF4-FFF2-40B4-BE49-F238E27FC236}">
              <a16:creationId xmlns:a16="http://schemas.microsoft.com/office/drawing/2014/main" id="{717C8F84-D0AC-1E78-1D47-323D17B300FD}"/>
            </a:ext>
          </a:extLst>
        </xdr:cNvPr>
        <xdr:cNvSpPr/>
      </xdr:nvSpPr>
      <xdr:spPr>
        <a:xfrm>
          <a:off x="5302140" y="4414673"/>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257174</xdr:colOff>
      <xdr:row>18</xdr:row>
      <xdr:rowOff>104775</xdr:rowOff>
    </xdr:from>
    <xdr:to>
      <xdr:col>9</xdr:col>
      <xdr:colOff>347038</xdr:colOff>
      <xdr:row>20</xdr:row>
      <xdr:rowOff>4138</xdr:rowOff>
    </xdr:to>
    <xdr:sp macro="" textlink="">
      <xdr:nvSpPr>
        <xdr:cNvPr id="17" name="Rectangle: Rounded Corners 16">
          <a:hlinkClick xmlns:r="http://schemas.openxmlformats.org/officeDocument/2006/relationships" r:id="rId11"/>
          <a:extLst>
            <a:ext uri="{FF2B5EF4-FFF2-40B4-BE49-F238E27FC236}">
              <a16:creationId xmlns:a16="http://schemas.microsoft.com/office/drawing/2014/main" id="{50317EEF-F0DB-6D96-8AA6-46E9725ECCA5}"/>
            </a:ext>
          </a:extLst>
        </xdr:cNvPr>
        <xdr:cNvSpPr/>
      </xdr:nvSpPr>
      <xdr:spPr>
        <a:xfrm>
          <a:off x="5302140" y="5241706"/>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1343025</xdr:colOff>
          <xdr:row>0</xdr:row>
          <xdr:rowOff>76200</xdr:rowOff>
        </xdr:from>
        <xdr:to>
          <xdr:col>7</xdr:col>
          <xdr:colOff>1343025</xdr:colOff>
          <xdr:row>1</xdr:row>
          <xdr:rowOff>381000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2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xdr:col>
      <xdr:colOff>42281</xdr:colOff>
      <xdr:row>1</xdr:row>
      <xdr:rowOff>455696</xdr:rowOff>
    </xdr:from>
    <xdr:to>
      <xdr:col>3</xdr:col>
      <xdr:colOff>410578</xdr:colOff>
      <xdr:row>1</xdr:row>
      <xdr:rowOff>730016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B563943-E058-4B16-BFB3-577705D164E2}"/>
            </a:ext>
          </a:extLst>
        </xdr:cNvPr>
        <xdr:cNvSpPr/>
      </xdr:nvSpPr>
      <xdr:spPr>
        <a:xfrm>
          <a:off x="157584" y="550946"/>
          <a:ext cx="1776994" cy="27432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xdr:col>
      <xdr:colOff>52136</xdr:colOff>
      <xdr:row>1</xdr:row>
      <xdr:rowOff>45118</xdr:rowOff>
    </xdr:from>
    <xdr:to>
      <xdr:col>2</xdr:col>
      <xdr:colOff>784559</xdr:colOff>
      <xdr:row>1</xdr:row>
      <xdr:rowOff>319438</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86F953C9-1A2B-438D-ACDB-EFD88B91A0DC}"/>
            </a:ext>
          </a:extLst>
        </xdr:cNvPr>
        <xdr:cNvSpPr/>
      </xdr:nvSpPr>
      <xdr:spPr>
        <a:xfrm>
          <a:off x="167439" y="140368"/>
          <a:ext cx="1228725" cy="27432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3</xdr:col>
      <xdr:colOff>541421</xdr:colOff>
      <xdr:row>1</xdr:row>
      <xdr:rowOff>446505</xdr:rowOff>
    </xdr:from>
    <xdr:to>
      <xdr:col>4</xdr:col>
      <xdr:colOff>1729538</xdr:colOff>
      <xdr:row>1</xdr:row>
      <xdr:rowOff>720825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C004B21D-32CF-41F9-B02A-08019FE5EC79}"/>
            </a:ext>
          </a:extLst>
        </xdr:cNvPr>
        <xdr:cNvSpPr/>
      </xdr:nvSpPr>
      <xdr:spPr>
        <a:xfrm>
          <a:off x="2065421" y="541755"/>
          <a:ext cx="1910012" cy="27432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6</xdr:col>
      <xdr:colOff>85725</xdr:colOff>
      <xdr:row>5</xdr:row>
      <xdr:rowOff>209550</xdr:rowOff>
    </xdr:from>
    <xdr:to>
      <xdr:col>7</xdr:col>
      <xdr:colOff>542925</xdr:colOff>
      <xdr:row>6</xdr:row>
      <xdr:rowOff>76199</xdr:rowOff>
    </xdr:to>
    <xdr:sp macro="" textlink="">
      <xdr:nvSpPr>
        <xdr:cNvPr id="5" name="TextBox 4">
          <a:extLst>
            <a:ext uri="{FF2B5EF4-FFF2-40B4-BE49-F238E27FC236}">
              <a16:creationId xmlns:a16="http://schemas.microsoft.com/office/drawing/2014/main" id="{64E869EF-0B11-4C37-831F-75024BF2E751}"/>
            </a:ext>
          </a:extLst>
        </xdr:cNvPr>
        <xdr:cNvSpPr txBox="1"/>
      </xdr:nvSpPr>
      <xdr:spPr>
        <a:xfrm>
          <a:off x="6391275" y="1438275"/>
          <a:ext cx="1257300"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1" i="1"/>
            <a:t>Go To Last Entry</a:t>
          </a:r>
        </a:p>
      </xdr:txBody>
    </xdr:sp>
    <xdr:clientData/>
  </xdr:twoCellAnchor>
  <xdr:twoCellAnchor>
    <xdr:from>
      <xdr:col>7</xdr:col>
      <xdr:colOff>476250</xdr:colOff>
      <xdr:row>5</xdr:row>
      <xdr:rowOff>247650</xdr:rowOff>
    </xdr:from>
    <xdr:to>
      <xdr:col>7</xdr:col>
      <xdr:colOff>1257300</xdr:colOff>
      <xdr:row>6</xdr:row>
      <xdr:rowOff>133350</xdr:rowOff>
    </xdr:to>
    <xdr:sp macro="[0]!GoToBottomofJournal" textlink="">
      <xdr:nvSpPr>
        <xdr:cNvPr id="6" name="Isosceles Triangle 5">
          <a:extLst>
            <a:ext uri="{FF2B5EF4-FFF2-40B4-BE49-F238E27FC236}">
              <a16:creationId xmlns:a16="http://schemas.microsoft.com/office/drawing/2014/main" id="{A515AAFE-F8A3-42D9-A7D3-CB83C2E77393}"/>
            </a:ext>
          </a:extLst>
        </xdr:cNvPr>
        <xdr:cNvSpPr/>
      </xdr:nvSpPr>
      <xdr:spPr>
        <a:xfrm rot="10800000">
          <a:off x="7781925" y="1476375"/>
          <a:ext cx="781050" cy="266700"/>
        </a:xfrm>
        <a:prstGeom prst="triangle">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917910</xdr:colOff>
      <xdr:row>1</xdr:row>
      <xdr:rowOff>41608</xdr:rowOff>
    </xdr:from>
    <xdr:to>
      <xdr:col>4</xdr:col>
      <xdr:colOff>498810</xdr:colOff>
      <xdr:row>1</xdr:row>
      <xdr:rowOff>315928</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A1F60663-475B-4CA7-8049-5D681C277E22}"/>
            </a:ext>
          </a:extLst>
        </xdr:cNvPr>
        <xdr:cNvSpPr/>
      </xdr:nvSpPr>
      <xdr:spPr>
        <a:xfrm>
          <a:off x="1527510" y="136858"/>
          <a:ext cx="1495425" cy="27432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6</xdr:col>
      <xdr:colOff>95250</xdr:colOff>
      <xdr:row>4</xdr:row>
      <xdr:rowOff>95250</xdr:rowOff>
    </xdr:from>
    <xdr:to>
      <xdr:col>7</xdr:col>
      <xdr:colOff>495300</xdr:colOff>
      <xdr:row>5</xdr:row>
      <xdr:rowOff>190500</xdr:rowOff>
    </xdr:to>
    <xdr:sp macro="" textlink="">
      <xdr:nvSpPr>
        <xdr:cNvPr id="8" name="TextBox 7">
          <a:extLst>
            <a:ext uri="{FF2B5EF4-FFF2-40B4-BE49-F238E27FC236}">
              <a16:creationId xmlns:a16="http://schemas.microsoft.com/office/drawing/2014/main" id="{AEBECD1A-5BF9-44A3-806D-5F6D71C24F13}"/>
            </a:ext>
          </a:extLst>
        </xdr:cNvPr>
        <xdr:cNvSpPr txBox="1"/>
      </xdr:nvSpPr>
      <xdr:spPr>
        <a:xfrm>
          <a:off x="6400800" y="1133475"/>
          <a:ext cx="1200150"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1" i="1"/>
            <a:t>Go To First</a:t>
          </a:r>
          <a:r>
            <a:rPr lang="en-CA" sz="1200" b="1" i="1" baseline="0"/>
            <a:t> Entry</a:t>
          </a:r>
          <a:endParaRPr lang="en-CA" sz="1200" b="1" i="1"/>
        </a:p>
      </xdr:txBody>
    </xdr:sp>
    <xdr:clientData/>
  </xdr:twoCellAnchor>
  <xdr:twoCellAnchor>
    <xdr:from>
      <xdr:col>7</xdr:col>
      <xdr:colOff>476250</xdr:colOff>
      <xdr:row>4</xdr:row>
      <xdr:rowOff>95250</xdr:rowOff>
    </xdr:from>
    <xdr:to>
      <xdr:col>7</xdr:col>
      <xdr:colOff>1257300</xdr:colOff>
      <xdr:row>5</xdr:row>
      <xdr:rowOff>171450</xdr:rowOff>
    </xdr:to>
    <xdr:sp macro="[0]!GoToTopOfJournal" textlink="">
      <xdr:nvSpPr>
        <xdr:cNvPr id="11" name="Isosceles Triangle 10">
          <a:extLst>
            <a:ext uri="{FF2B5EF4-FFF2-40B4-BE49-F238E27FC236}">
              <a16:creationId xmlns:a16="http://schemas.microsoft.com/office/drawing/2014/main" id="{5B6C6FF1-21D3-4CE0-94BF-761EB099D44D}"/>
            </a:ext>
          </a:extLst>
        </xdr:cNvPr>
        <xdr:cNvSpPr/>
      </xdr:nvSpPr>
      <xdr:spPr>
        <a:xfrm>
          <a:off x="7781925" y="1133475"/>
          <a:ext cx="781050" cy="266700"/>
        </a:xfrm>
        <a:prstGeom prst="triangle">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95250</xdr:colOff>
      <xdr:row>1</xdr:row>
      <xdr:rowOff>9524</xdr:rowOff>
    </xdr:from>
    <xdr:to>
      <xdr:col>5</xdr:col>
      <xdr:colOff>1571349</xdr:colOff>
      <xdr:row>1</xdr:row>
      <xdr:rowOff>286417</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2401D8CB-F16B-4A24-B18D-5180F21D4AB9}"/>
            </a:ext>
          </a:extLst>
        </xdr:cNvPr>
        <xdr:cNvSpPr/>
      </xdr:nvSpPr>
      <xdr:spPr>
        <a:xfrm>
          <a:off x="4543425" y="104774"/>
          <a:ext cx="1476099" cy="276893"/>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390525</xdr:colOff>
          <xdr:row>3</xdr:row>
          <xdr:rowOff>190500</xdr:rowOff>
        </xdr:from>
        <xdr:to>
          <xdr:col>1</xdr:col>
          <xdr:colOff>1609725</xdr:colOff>
          <xdr:row>5</xdr:row>
          <xdr:rowOff>161925</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3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9</xdr:col>
      <xdr:colOff>679175</xdr:colOff>
      <xdr:row>1</xdr:row>
      <xdr:rowOff>66260</xdr:rowOff>
    </xdr:from>
    <xdr:to>
      <xdr:col>9</xdr:col>
      <xdr:colOff>2311812</xdr:colOff>
      <xdr:row>2</xdr:row>
      <xdr:rowOff>34455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6505241-4216-4114-9871-CCF8435C3F18}"/>
            </a:ext>
          </a:extLst>
        </xdr:cNvPr>
        <xdr:cNvSpPr/>
      </xdr:nvSpPr>
      <xdr:spPr>
        <a:xfrm>
          <a:off x="3255066" y="256760"/>
          <a:ext cx="1632637" cy="36576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12</xdr:col>
      <xdr:colOff>778558</xdr:colOff>
      <xdr:row>1</xdr:row>
      <xdr:rowOff>69402</xdr:rowOff>
    </xdr:from>
    <xdr:to>
      <xdr:col>14</xdr:col>
      <xdr:colOff>181796</xdr:colOff>
      <xdr:row>2</xdr:row>
      <xdr:rowOff>34455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F67ED9CB-A848-4178-8603-B27AAA0939B1}"/>
            </a:ext>
          </a:extLst>
        </xdr:cNvPr>
        <xdr:cNvSpPr/>
      </xdr:nvSpPr>
      <xdr:spPr>
        <a:xfrm>
          <a:off x="5980036" y="259902"/>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16</xdr:col>
      <xdr:colOff>10141</xdr:colOff>
      <xdr:row>1</xdr:row>
      <xdr:rowOff>69402</xdr:rowOff>
    </xdr:from>
    <xdr:to>
      <xdr:col>17</xdr:col>
      <xdr:colOff>575153</xdr:colOff>
      <xdr:row>2</xdr:row>
      <xdr:rowOff>34455</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BA03B1F2-67F4-4664-AFA0-2B09DF2E207E}"/>
            </a:ext>
          </a:extLst>
        </xdr:cNvPr>
        <xdr:cNvSpPr/>
      </xdr:nvSpPr>
      <xdr:spPr>
        <a:xfrm>
          <a:off x="8855967" y="259902"/>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14</xdr:col>
      <xdr:colOff>268278</xdr:colOff>
      <xdr:row>1</xdr:row>
      <xdr:rowOff>69402</xdr:rowOff>
    </xdr:from>
    <xdr:to>
      <xdr:col>15</xdr:col>
      <xdr:colOff>834745</xdr:colOff>
      <xdr:row>2</xdr:row>
      <xdr:rowOff>34455</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6041ADB2-D09C-4F02-9B72-04625012B78E}"/>
            </a:ext>
          </a:extLst>
        </xdr:cNvPr>
        <xdr:cNvSpPr/>
      </xdr:nvSpPr>
      <xdr:spPr>
        <a:xfrm>
          <a:off x="7291930" y="259902"/>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18</xdr:col>
      <xdr:colOff>440836</xdr:colOff>
      <xdr:row>1</xdr:row>
      <xdr:rowOff>69402</xdr:rowOff>
    </xdr:from>
    <xdr:to>
      <xdr:col>20</xdr:col>
      <xdr:colOff>94761</xdr:colOff>
      <xdr:row>2</xdr:row>
      <xdr:rowOff>34455</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13D23BD9-C25A-B5F9-4B7B-61F94F4EA6EC}"/>
            </a:ext>
          </a:extLst>
        </xdr:cNvPr>
        <xdr:cNvSpPr/>
      </xdr:nvSpPr>
      <xdr:spPr>
        <a:xfrm>
          <a:off x="11108836" y="259902"/>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Liability Planning</a:t>
          </a:r>
        </a:p>
      </xdr:txBody>
    </xdr:sp>
    <xdr:clientData/>
  </xdr:twoCellAnchor>
  <xdr:twoCellAnchor>
    <xdr:from>
      <xdr:col>20</xdr:col>
      <xdr:colOff>175792</xdr:colOff>
      <xdr:row>1</xdr:row>
      <xdr:rowOff>69402</xdr:rowOff>
    </xdr:from>
    <xdr:to>
      <xdr:col>21</xdr:col>
      <xdr:colOff>740804</xdr:colOff>
      <xdr:row>2</xdr:row>
      <xdr:rowOff>34455</xdr:rowOff>
    </xdr:to>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7A0254C5-9C8F-A684-94FB-BD27C004C110}"/>
            </a:ext>
          </a:extLst>
        </xdr:cNvPr>
        <xdr:cNvSpPr/>
      </xdr:nvSpPr>
      <xdr:spPr>
        <a:xfrm>
          <a:off x="12665966" y="259902"/>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twoCellAnchor>
    <xdr:from>
      <xdr:col>21</xdr:col>
      <xdr:colOff>821836</xdr:colOff>
      <xdr:row>1</xdr:row>
      <xdr:rowOff>69402</xdr:rowOff>
    </xdr:from>
    <xdr:to>
      <xdr:col>23</xdr:col>
      <xdr:colOff>588066</xdr:colOff>
      <xdr:row>2</xdr:row>
      <xdr:rowOff>34455</xdr:rowOff>
    </xdr:to>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98E448EF-2E5A-5706-A69C-CED4A92B35B6}"/>
            </a:ext>
          </a:extLst>
        </xdr:cNvPr>
        <xdr:cNvSpPr/>
      </xdr:nvSpPr>
      <xdr:spPr>
        <a:xfrm>
          <a:off x="14223097" y="259902"/>
          <a:ext cx="158840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Expense</a:t>
          </a:r>
          <a:r>
            <a:rPr lang="en-CA" sz="1400" b="1" baseline="0">
              <a:solidFill>
                <a:schemeClr val="accent4">
                  <a:lumMod val="50000"/>
                </a:schemeClr>
              </a:solidFill>
            </a:rPr>
            <a:t> Planning</a:t>
          </a:r>
          <a:endParaRPr lang="en-CA" sz="1400" b="1">
            <a:solidFill>
              <a:schemeClr val="accent4">
                <a:lumMod val="50000"/>
              </a:schemeClr>
            </a:solidFill>
          </a:endParaRPr>
        </a:p>
      </xdr:txBody>
    </xdr:sp>
    <xdr:clientData/>
  </xdr:twoCellAnchor>
  <xdr:twoCellAnchor>
    <xdr:from>
      <xdr:col>9</xdr:col>
      <xdr:colOff>2398294</xdr:colOff>
      <xdr:row>1</xdr:row>
      <xdr:rowOff>66260</xdr:rowOff>
    </xdr:from>
    <xdr:to>
      <xdr:col>12</xdr:col>
      <xdr:colOff>692076</xdr:colOff>
      <xdr:row>2</xdr:row>
      <xdr:rowOff>34455</xdr:rowOff>
    </xdr:to>
    <xdr:sp macro="" textlink="">
      <xdr:nvSpPr>
        <xdr:cNvPr id="2" name="Rectangle: Rounded Corners 1">
          <a:hlinkClick xmlns:r="http://schemas.openxmlformats.org/officeDocument/2006/relationships" r:id="rId8"/>
          <a:extLst>
            <a:ext uri="{FF2B5EF4-FFF2-40B4-BE49-F238E27FC236}">
              <a16:creationId xmlns:a16="http://schemas.microsoft.com/office/drawing/2014/main" id="{572308C4-9792-C3D2-0C55-8D419837A5C7}"/>
            </a:ext>
          </a:extLst>
        </xdr:cNvPr>
        <xdr:cNvSpPr/>
      </xdr:nvSpPr>
      <xdr:spPr>
        <a:xfrm>
          <a:off x="4974185" y="256760"/>
          <a:ext cx="919369" cy="36576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Journal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90281</xdr:colOff>
      <xdr:row>1</xdr:row>
      <xdr:rowOff>667993</xdr:rowOff>
    </xdr:from>
    <xdr:to>
      <xdr:col>8</xdr:col>
      <xdr:colOff>1616902</xdr:colOff>
      <xdr:row>1</xdr:row>
      <xdr:rowOff>1030611</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5B3239-3C78-460F-B740-BCA9BD7B694C}"/>
            </a:ext>
          </a:extLst>
        </xdr:cNvPr>
        <xdr:cNvSpPr/>
      </xdr:nvSpPr>
      <xdr:spPr>
        <a:xfrm>
          <a:off x="1605998" y="783950"/>
          <a:ext cx="1526621"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11</xdr:col>
      <xdr:colOff>1194554</xdr:colOff>
      <xdr:row>0</xdr:row>
      <xdr:rowOff>113059</xdr:rowOff>
    </xdr:from>
    <xdr:to>
      <xdr:col>12</xdr:col>
      <xdr:colOff>1291598</xdr:colOff>
      <xdr:row>1</xdr:row>
      <xdr:rowOff>359720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6428DEFB-7CC6-4515-8645-73789796AB1B}"/>
            </a:ext>
          </a:extLst>
        </xdr:cNvPr>
        <xdr:cNvSpPr/>
      </xdr:nvSpPr>
      <xdr:spPr>
        <a:xfrm>
          <a:off x="7133184" y="113059"/>
          <a:ext cx="1480240"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8</xdr:col>
      <xdr:colOff>2081331</xdr:colOff>
      <xdr:row>1</xdr:row>
      <xdr:rowOff>667992</xdr:rowOff>
    </xdr:from>
    <xdr:to>
      <xdr:col>9</xdr:col>
      <xdr:colOff>841361</xdr:colOff>
      <xdr:row>1</xdr:row>
      <xdr:rowOff>1030610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6E44729D-EFEB-4E89-84FD-7EFAFC3B643A}"/>
            </a:ext>
          </a:extLst>
        </xdr:cNvPr>
        <xdr:cNvSpPr/>
      </xdr:nvSpPr>
      <xdr:spPr>
        <a:xfrm>
          <a:off x="3597048" y="783949"/>
          <a:ext cx="1476726"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10</xdr:col>
      <xdr:colOff>316183</xdr:colOff>
      <xdr:row>1</xdr:row>
      <xdr:rowOff>665506</xdr:rowOff>
    </xdr:from>
    <xdr:to>
      <xdr:col>11</xdr:col>
      <xdr:colOff>930476</xdr:colOff>
      <xdr:row>1</xdr:row>
      <xdr:rowOff>1031266</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BC698F8C-B240-40B6-BF0D-18100A39F1E0}"/>
            </a:ext>
          </a:extLst>
        </xdr:cNvPr>
        <xdr:cNvSpPr/>
      </xdr:nvSpPr>
      <xdr:spPr>
        <a:xfrm>
          <a:off x="5393422" y="781463"/>
          <a:ext cx="1475684" cy="36576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8</xdr:col>
      <xdr:colOff>2077768</xdr:colOff>
      <xdr:row>0</xdr:row>
      <xdr:rowOff>96493</xdr:rowOff>
    </xdr:from>
    <xdr:to>
      <xdr:col>9</xdr:col>
      <xdr:colOff>306904</xdr:colOff>
      <xdr:row>1</xdr:row>
      <xdr:rowOff>343154</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CDF4A191-8284-8AA7-CF01-D8637107BD66}"/>
            </a:ext>
          </a:extLst>
        </xdr:cNvPr>
        <xdr:cNvSpPr/>
      </xdr:nvSpPr>
      <xdr:spPr>
        <a:xfrm>
          <a:off x="3593485" y="96493"/>
          <a:ext cx="94583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Journal</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1371600</xdr:colOff>
          <xdr:row>5</xdr:row>
          <xdr:rowOff>38100</xdr:rowOff>
        </xdr:from>
        <xdr:to>
          <xdr:col>5</xdr:col>
          <xdr:colOff>266700</xdr:colOff>
          <xdr:row>6</xdr:row>
          <xdr:rowOff>104775</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500-0000015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Adjust Column Width</a:t>
              </a:r>
            </a:p>
          </xdr:txBody>
        </xdr:sp>
        <xdr:clientData fPrintsWithSheet="0"/>
      </xdr:twoCellAnchor>
    </mc:Choice>
    <mc:Fallback/>
  </mc:AlternateContent>
  <xdr:twoCellAnchor>
    <xdr:from>
      <xdr:col>2</xdr:col>
      <xdr:colOff>514350</xdr:colOff>
      <xdr:row>1</xdr:row>
      <xdr:rowOff>0</xdr:rowOff>
    </xdr:from>
    <xdr:to>
      <xdr:col>3</xdr:col>
      <xdr:colOff>647700</xdr:colOff>
      <xdr:row>1</xdr:row>
      <xdr:rowOff>640080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3266511-A517-4780-875C-A11C98184163}"/>
            </a:ext>
          </a:extLst>
        </xdr:cNvPr>
        <xdr:cNvSpPr/>
      </xdr:nvSpPr>
      <xdr:spPr>
        <a:xfrm>
          <a:off x="2295525" y="190500"/>
          <a:ext cx="1047750" cy="64008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3</xdr:col>
      <xdr:colOff>1795407</xdr:colOff>
      <xdr:row>1</xdr:row>
      <xdr:rowOff>0</xdr:rowOff>
    </xdr:from>
    <xdr:to>
      <xdr:col>4</xdr:col>
      <xdr:colOff>842945</xdr:colOff>
      <xdr:row>1</xdr:row>
      <xdr:rowOff>640080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69047CE-0D13-41CE-A249-654872E3CAFF}"/>
            </a:ext>
          </a:extLst>
        </xdr:cNvPr>
        <xdr:cNvSpPr/>
      </xdr:nvSpPr>
      <xdr:spPr>
        <a:xfrm>
          <a:off x="4490982" y="190500"/>
          <a:ext cx="895388" cy="64008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5</xdr:col>
      <xdr:colOff>145978</xdr:colOff>
      <xdr:row>1</xdr:row>
      <xdr:rowOff>0</xdr:rowOff>
    </xdr:from>
    <xdr:to>
      <xdr:col>5</xdr:col>
      <xdr:colOff>1171576</xdr:colOff>
      <xdr:row>1</xdr:row>
      <xdr:rowOff>640080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D92215C-CC8F-4229-B4F5-D8AD63B201AB}"/>
            </a:ext>
          </a:extLst>
        </xdr:cNvPr>
        <xdr:cNvSpPr/>
      </xdr:nvSpPr>
      <xdr:spPr>
        <a:xfrm>
          <a:off x="5537128" y="190500"/>
          <a:ext cx="1025598" cy="64008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xdr:col>
      <xdr:colOff>122370</xdr:colOff>
      <xdr:row>1</xdr:row>
      <xdr:rowOff>419100</xdr:rowOff>
    </xdr:from>
    <xdr:to>
      <xdr:col>2</xdr:col>
      <xdr:colOff>64944</xdr:colOff>
      <xdr:row>2</xdr:row>
      <xdr:rowOff>19718</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16DD1EE3-7014-4528-9611-EAC3DFE8BC4D}"/>
            </a:ext>
          </a:extLst>
        </xdr:cNvPr>
        <xdr:cNvSpPr/>
      </xdr:nvSpPr>
      <xdr:spPr>
        <a:xfrm>
          <a:off x="370020" y="60960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3</xdr:col>
      <xdr:colOff>798457</xdr:colOff>
      <xdr:row>1</xdr:row>
      <xdr:rowOff>0</xdr:rowOff>
    </xdr:from>
    <xdr:to>
      <xdr:col>3</xdr:col>
      <xdr:colOff>1644650</xdr:colOff>
      <xdr:row>1</xdr:row>
      <xdr:rowOff>640080</xdr:rowOff>
    </xdr:to>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67B970D4-B779-EA38-9FF4-EC503BB298EA}"/>
            </a:ext>
          </a:extLst>
        </xdr:cNvPr>
        <xdr:cNvSpPr/>
      </xdr:nvSpPr>
      <xdr:spPr>
        <a:xfrm>
          <a:off x="3494032" y="190500"/>
          <a:ext cx="846193" cy="64008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Journal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46287</xdr:colOff>
      <xdr:row>3</xdr:row>
      <xdr:rowOff>21981</xdr:rowOff>
    </xdr:from>
    <xdr:to>
      <xdr:col>24</xdr:col>
      <xdr:colOff>7328</xdr:colOff>
      <xdr:row>24</xdr:row>
      <xdr:rowOff>29308</xdr:rowOff>
    </xdr:to>
    <xdr:sp macro="" textlink="">
      <xdr:nvSpPr>
        <xdr:cNvPr id="59" name="Rectangle: Rounded Corners 58">
          <a:extLst>
            <a:ext uri="{FF2B5EF4-FFF2-40B4-BE49-F238E27FC236}">
              <a16:creationId xmlns:a16="http://schemas.microsoft.com/office/drawing/2014/main" id="{00000000-0008-0000-0100-00003B000000}"/>
            </a:ext>
          </a:extLst>
        </xdr:cNvPr>
        <xdr:cNvSpPr/>
      </xdr:nvSpPr>
      <xdr:spPr>
        <a:xfrm>
          <a:off x="3123595" y="659423"/>
          <a:ext cx="5207118" cy="4777154"/>
        </a:xfrm>
        <a:prstGeom prst="roundRect">
          <a:avLst>
            <a:gd name="adj" fmla="val 5201"/>
          </a:avLst>
        </a:prstGeom>
        <a:solidFill>
          <a:srgbClr val="FCF6FB"/>
        </a:solidFill>
        <a:ln w="41275">
          <a:solidFill>
            <a:schemeClr val="accent5">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31</xdr:col>
      <xdr:colOff>6569</xdr:colOff>
      <xdr:row>18</xdr:row>
      <xdr:rowOff>227133</xdr:rowOff>
    </xdr:from>
    <xdr:to>
      <xdr:col>35</xdr:col>
      <xdr:colOff>13138</xdr:colOff>
      <xdr:row>23</xdr:row>
      <xdr:rowOff>45980</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11627069" y="4980108"/>
          <a:ext cx="7569419" cy="980897"/>
        </a:xfrm>
        <a:prstGeom prst="roundRect">
          <a:avLst/>
        </a:prstGeom>
        <a:no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19</xdr:col>
      <xdr:colOff>349046</xdr:colOff>
      <xdr:row>0</xdr:row>
      <xdr:rowOff>137843</xdr:rowOff>
    </xdr:from>
    <xdr:to>
      <xdr:col>23</xdr:col>
      <xdr:colOff>1210776</xdr:colOff>
      <xdr:row>2</xdr:row>
      <xdr:rowOff>117231</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3606596" y="137843"/>
          <a:ext cx="4614580" cy="569938"/>
          <a:chOff x="13185940" y="36635"/>
          <a:chExt cx="2347041" cy="601423"/>
        </a:xfrm>
      </xdr:grpSpPr>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13185940" y="36635"/>
            <a:ext cx="2293461" cy="601423"/>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ysClr val="windowText" lastClr="000000"/>
              </a:solidFill>
            </a:endParaRPr>
          </a:p>
        </xdr:txBody>
      </xdr:sp>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13185940" y="36636"/>
            <a:ext cx="1148658" cy="601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Michael</a:t>
            </a:r>
          </a:p>
          <a:p>
            <a:pPr algn="ctr"/>
            <a:r>
              <a:rPr lang="en-CA" sz="1100"/>
              <a:t>Kubisewsky</a:t>
            </a:r>
          </a:p>
        </xdr:txBody>
      </xdr:sp>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4390073" y="41518"/>
            <a:ext cx="1142908" cy="595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Dashboard</a:t>
            </a:r>
          </a:p>
          <a:p>
            <a:pPr algn="ctr"/>
            <a:r>
              <a:rPr lang="en-CA" sz="1100"/>
              <a:t>Overview</a:t>
            </a:r>
          </a:p>
        </xdr:txBody>
      </xdr:sp>
      <xdr:cxnSp macro="">
        <xdr:nvCxnSpPr>
          <xdr:cNvPr id="31" name="Straight Connector 30">
            <a:extLst>
              <a:ext uri="{FF2B5EF4-FFF2-40B4-BE49-F238E27FC236}">
                <a16:creationId xmlns:a16="http://schemas.microsoft.com/office/drawing/2014/main" id="{00000000-0008-0000-0100-00001F000000}"/>
              </a:ext>
            </a:extLst>
          </xdr:cNvPr>
          <xdr:cNvCxnSpPr/>
        </xdr:nvCxnSpPr>
        <xdr:spPr>
          <a:xfrm>
            <a:off x="14334598" y="151426"/>
            <a:ext cx="0" cy="371841"/>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42</xdr:col>
      <xdr:colOff>129857</xdr:colOff>
      <xdr:row>18</xdr:row>
      <xdr:rowOff>190500</xdr:rowOff>
    </xdr:from>
    <xdr:to>
      <xdr:col>54</xdr:col>
      <xdr:colOff>289692</xdr:colOff>
      <xdr:row>32</xdr:row>
      <xdr:rowOff>28574</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44</xdr:col>
      <xdr:colOff>590550</xdr:colOff>
      <xdr:row>0</xdr:row>
      <xdr:rowOff>207251</xdr:rowOff>
    </xdr:from>
    <xdr:to>
      <xdr:col>46</xdr:col>
      <xdr:colOff>782139</xdr:colOff>
      <xdr:row>2</xdr:row>
      <xdr:rowOff>133350</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28013025" y="207251"/>
          <a:ext cx="3058614" cy="516649"/>
          <a:chOff x="13185940" y="36635"/>
          <a:chExt cx="2347040" cy="601423"/>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3185940" y="36635"/>
            <a:ext cx="2293461" cy="601423"/>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ysClr val="windowText" lastClr="000000"/>
              </a:solidFill>
            </a:endParaRPr>
          </a:p>
        </xdr:txBody>
      </xdr: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13185940" y="36636"/>
            <a:ext cx="1148658" cy="601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Michael</a:t>
            </a:r>
          </a:p>
          <a:p>
            <a:pPr algn="ctr"/>
            <a:r>
              <a:rPr lang="en-CA" sz="1100"/>
              <a:t>Kubisewsky</a:t>
            </a:r>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14390072" y="41518"/>
            <a:ext cx="1142908" cy="595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Dashboard Over</a:t>
            </a:r>
            <a:r>
              <a:rPr lang="en-CA" sz="1100" baseline="0"/>
              <a:t> Year</a:t>
            </a:r>
            <a:endParaRPr lang="en-CA" sz="1100"/>
          </a:p>
        </xdr:txBody>
      </xdr:sp>
      <xdr:cxnSp macro="">
        <xdr:nvCxnSpPr>
          <xdr:cNvPr id="24" name="Straight Connector 23">
            <a:extLst>
              <a:ext uri="{FF2B5EF4-FFF2-40B4-BE49-F238E27FC236}">
                <a16:creationId xmlns:a16="http://schemas.microsoft.com/office/drawing/2014/main" id="{00000000-0008-0000-0100-000018000000}"/>
              </a:ext>
            </a:extLst>
          </xdr:cNvPr>
          <xdr:cNvCxnSpPr/>
        </xdr:nvCxnSpPr>
        <xdr:spPr>
          <a:xfrm>
            <a:off x="14334598" y="151426"/>
            <a:ext cx="0" cy="371841"/>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32</xdr:col>
      <xdr:colOff>1524000</xdr:colOff>
      <xdr:row>1</xdr:row>
      <xdr:rowOff>28575</xdr:rowOff>
    </xdr:from>
    <xdr:to>
      <xdr:col>35</xdr:col>
      <xdr:colOff>640455</xdr:colOff>
      <xdr:row>4</xdr:row>
      <xdr:rowOff>180975</xdr:rowOff>
    </xdr:to>
    <xdr:grpSp>
      <xdr:nvGrpSpPr>
        <xdr:cNvPr id="41" name="Group 40">
          <a:extLst>
            <a:ext uri="{FF2B5EF4-FFF2-40B4-BE49-F238E27FC236}">
              <a16:creationId xmlns:a16="http://schemas.microsoft.com/office/drawing/2014/main" id="{00000000-0008-0000-0100-000029000000}"/>
            </a:ext>
          </a:extLst>
        </xdr:cNvPr>
        <xdr:cNvGrpSpPr/>
      </xdr:nvGrpSpPr>
      <xdr:grpSpPr>
        <a:xfrm>
          <a:off x="15363825" y="285750"/>
          <a:ext cx="4640955" cy="904875"/>
          <a:chOff x="13185940" y="36635"/>
          <a:chExt cx="2347040" cy="601423"/>
        </a:xfrm>
      </xdr:grpSpPr>
      <xdr:sp macro="" textlink="">
        <xdr:nvSpPr>
          <xdr:cNvPr id="42" name="Rectangle: Rounded Corners 41">
            <a:extLst>
              <a:ext uri="{FF2B5EF4-FFF2-40B4-BE49-F238E27FC236}">
                <a16:creationId xmlns:a16="http://schemas.microsoft.com/office/drawing/2014/main" id="{00000000-0008-0000-0100-00002A000000}"/>
              </a:ext>
            </a:extLst>
          </xdr:cNvPr>
          <xdr:cNvSpPr/>
        </xdr:nvSpPr>
        <xdr:spPr>
          <a:xfrm>
            <a:off x="13185940" y="36635"/>
            <a:ext cx="2293461" cy="601423"/>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ysClr val="windowText" lastClr="000000"/>
              </a:solidFill>
            </a:endParaRPr>
          </a:p>
        </xdr:txBody>
      </xdr:sp>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3185940" y="36636"/>
            <a:ext cx="1148658" cy="601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Michael</a:t>
            </a:r>
          </a:p>
          <a:p>
            <a:pPr algn="ctr"/>
            <a:endParaRPr lang="en-CA" sz="1100"/>
          </a:p>
          <a:p>
            <a:pPr algn="ctr"/>
            <a:r>
              <a:rPr lang="en-CA" sz="1100"/>
              <a:t>Kubisewsky</a:t>
            </a:r>
          </a:p>
        </xdr:txBody>
      </xdr:sp>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14390072" y="41518"/>
            <a:ext cx="1142908" cy="595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Dashboard</a:t>
            </a:r>
          </a:p>
          <a:p>
            <a:pPr algn="ctr"/>
            <a:endParaRPr lang="en-CA" sz="1100"/>
          </a:p>
          <a:p>
            <a:pPr algn="ctr"/>
            <a:r>
              <a:rPr lang="en-CA" sz="1100"/>
              <a:t>Monthly</a:t>
            </a:r>
            <a:r>
              <a:rPr lang="en-CA" sz="1100" baseline="0"/>
              <a:t> Summary</a:t>
            </a:r>
            <a:endParaRPr lang="en-CA" sz="1100"/>
          </a:p>
        </xdr:txBody>
      </xdr:sp>
      <xdr:cxnSp macro="">
        <xdr:nvCxnSpPr>
          <xdr:cNvPr id="47" name="Straight Connector 46">
            <a:extLst>
              <a:ext uri="{FF2B5EF4-FFF2-40B4-BE49-F238E27FC236}">
                <a16:creationId xmlns:a16="http://schemas.microsoft.com/office/drawing/2014/main" id="{00000000-0008-0000-0100-00002F000000}"/>
              </a:ext>
            </a:extLst>
          </xdr:cNvPr>
          <xdr:cNvCxnSpPr/>
        </xdr:nvCxnSpPr>
        <xdr:spPr>
          <a:xfrm>
            <a:off x="14334598" y="151426"/>
            <a:ext cx="0" cy="371841"/>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twoCellAnchor editAs="oneCell">
    <xdr:from>
      <xdr:col>2</xdr:col>
      <xdr:colOff>24180</xdr:colOff>
      <xdr:row>14</xdr:row>
      <xdr:rowOff>202958</xdr:rowOff>
    </xdr:from>
    <xdr:to>
      <xdr:col>2</xdr:col>
      <xdr:colOff>1023630</xdr:colOff>
      <xdr:row>32</xdr:row>
      <xdr:rowOff>196464</xdr:rowOff>
    </xdr:to>
    <mc:AlternateContent xmlns:mc="http://schemas.openxmlformats.org/markup-compatibility/2006" xmlns:a14="http://schemas.microsoft.com/office/drawing/2010/main">
      <mc:Choice Requires="a14">
        <xdr:graphicFrame macro="">
          <xdr:nvGraphicFramePr>
            <xdr:cNvPr id="2" name="Date">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86130" y="3498608"/>
              <a:ext cx="999450" cy="386065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777108</xdr:colOff>
      <xdr:row>17</xdr:row>
      <xdr:rowOff>185573</xdr:rowOff>
    </xdr:from>
    <xdr:to>
      <xdr:col>21</xdr:col>
      <xdr:colOff>579382</xdr:colOff>
      <xdr:row>18</xdr:row>
      <xdr:rowOff>209550</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5549133" y="4167023"/>
          <a:ext cx="783349" cy="2525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Groceries</a:t>
          </a:r>
        </a:p>
      </xdr:txBody>
    </xdr:sp>
    <xdr:clientData/>
  </xdr:twoCellAnchor>
  <xdr:oneCellAnchor>
    <xdr:from>
      <xdr:col>20</xdr:col>
      <xdr:colOff>485775</xdr:colOff>
      <xdr:row>27</xdr:row>
      <xdr:rowOff>276225</xdr:rowOff>
    </xdr:from>
    <xdr:ext cx="184731" cy="264560"/>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19059525" y="4552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CA" sz="1100"/>
        </a:p>
      </xdr:txBody>
    </xdr:sp>
    <xdr:clientData/>
  </xdr:oneCellAnchor>
  <xdr:twoCellAnchor>
    <xdr:from>
      <xdr:col>19</xdr:col>
      <xdr:colOff>350456</xdr:colOff>
      <xdr:row>17</xdr:row>
      <xdr:rowOff>188530</xdr:rowOff>
    </xdr:from>
    <xdr:to>
      <xdr:col>19</xdr:col>
      <xdr:colOff>1091107</xdr:colOff>
      <xdr:row>18</xdr:row>
      <xdr:rowOff>219075</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3608006" y="4169980"/>
          <a:ext cx="740651" cy="259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takeout</a:t>
          </a:r>
        </a:p>
      </xdr:txBody>
    </xdr:sp>
    <xdr:clientData/>
  </xdr:twoCellAnchor>
  <xdr:twoCellAnchor>
    <xdr:from>
      <xdr:col>20</xdr:col>
      <xdr:colOff>499614</xdr:colOff>
      <xdr:row>12</xdr:row>
      <xdr:rowOff>174248</xdr:rowOff>
    </xdr:from>
    <xdr:to>
      <xdr:col>21</xdr:col>
      <xdr:colOff>810627</xdr:colOff>
      <xdr:row>15</xdr:row>
      <xdr:rowOff>138447</xdr:rowOff>
    </xdr:to>
    <xdr:grpSp>
      <xdr:nvGrpSpPr>
        <xdr:cNvPr id="1055" name="Group 1054">
          <a:extLst>
            <a:ext uri="{FF2B5EF4-FFF2-40B4-BE49-F238E27FC236}">
              <a16:creationId xmlns:a16="http://schemas.microsoft.com/office/drawing/2014/main" id="{00000000-0008-0000-0100-00001F040000}"/>
            </a:ext>
          </a:extLst>
        </xdr:cNvPr>
        <xdr:cNvGrpSpPr/>
      </xdr:nvGrpSpPr>
      <xdr:grpSpPr>
        <a:xfrm>
          <a:off x="5271639" y="3012698"/>
          <a:ext cx="1292088" cy="649999"/>
          <a:chOff x="19802035" y="2016671"/>
          <a:chExt cx="1285986" cy="660509"/>
        </a:xfrm>
      </xdr:grpSpPr>
      <xdr:sp macro="" textlink="">
        <xdr:nvSpPr>
          <xdr:cNvPr id="60" name="Rectangle: Rounded Corners 59">
            <a:extLst>
              <a:ext uri="{FF2B5EF4-FFF2-40B4-BE49-F238E27FC236}">
                <a16:creationId xmlns:a16="http://schemas.microsoft.com/office/drawing/2014/main" id="{00000000-0008-0000-0100-00003C000000}"/>
              </a:ext>
            </a:extLst>
          </xdr:cNvPr>
          <xdr:cNvSpPr/>
        </xdr:nvSpPr>
        <xdr:spPr>
          <a:xfrm>
            <a:off x="19852070" y="2016671"/>
            <a:ext cx="1235951" cy="660509"/>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9802035" y="2075793"/>
            <a:ext cx="1272191" cy="298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baseline="0">
                <a:solidFill>
                  <a:schemeClr val="bg1"/>
                </a:solidFill>
              </a:rPr>
              <a:t>Short-Term Debt	</a:t>
            </a:r>
            <a:endParaRPr lang="en-CA" sz="1200" b="1">
              <a:solidFill>
                <a:schemeClr val="bg1"/>
              </a:solidFill>
            </a:endParaRPr>
          </a:p>
        </xdr:txBody>
      </xdr:sp>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19912832" y="2383879"/>
            <a:ext cx="1129863" cy="21743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26</xdr:col>
      <xdr:colOff>27405</xdr:colOff>
      <xdr:row>0</xdr:row>
      <xdr:rowOff>157097</xdr:rowOff>
    </xdr:from>
    <xdr:to>
      <xdr:col>27</xdr:col>
      <xdr:colOff>824896</xdr:colOff>
      <xdr:row>2</xdr:row>
      <xdr:rowOff>17894</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468020" y="157097"/>
          <a:ext cx="2043068" cy="307739"/>
        </a:xfrm>
        <a:prstGeom prst="roundRect">
          <a:avLst/>
        </a:prstGeom>
        <a:solidFill>
          <a:srgbClr val="FEFCFE"/>
        </a:solidFill>
        <a:ln w="38100"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400" b="1" i="1"/>
            <a:t>Subs &amp; Donations</a:t>
          </a:r>
        </a:p>
      </xdr:txBody>
    </xdr:sp>
    <xdr:clientData/>
  </xdr:twoCellAnchor>
  <xdr:twoCellAnchor>
    <xdr:from>
      <xdr:col>25</xdr:col>
      <xdr:colOff>19297</xdr:colOff>
      <xdr:row>14</xdr:row>
      <xdr:rowOff>24972</xdr:rowOff>
    </xdr:from>
    <xdr:to>
      <xdr:col>25</xdr:col>
      <xdr:colOff>199843</xdr:colOff>
      <xdr:row>14</xdr:row>
      <xdr:rowOff>204972</xdr:rowOff>
    </xdr:to>
    <xdr:graphicFrame macro="">
      <xdr:nvGraphicFramePr>
        <xdr:cNvPr id="1036" name="Chart 1035">
          <a:extLst>
            <a:ext uri="{FF2B5EF4-FFF2-40B4-BE49-F238E27FC236}">
              <a16:creationId xmlns:a16="http://schemas.microsoft.com/office/drawing/2014/main" id="{00000000-0008-0000-0100-00000C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19297</xdr:colOff>
      <xdr:row>5</xdr:row>
      <xdr:rowOff>25794</xdr:rowOff>
    </xdr:from>
    <xdr:to>
      <xdr:col>25</xdr:col>
      <xdr:colOff>199297</xdr:colOff>
      <xdr:row>5</xdr:row>
      <xdr:rowOff>205794</xdr:rowOff>
    </xdr:to>
    <xdr:graphicFrame macro="">
      <xdr:nvGraphicFramePr>
        <xdr:cNvPr id="61" name="Chart 60">
          <a:extLst>
            <a:ext uri="{FF2B5EF4-FFF2-40B4-BE49-F238E27FC236}">
              <a16:creationId xmlns:a16="http://schemas.microsoft.com/office/drawing/2014/main" id="{00000000-0008-0000-01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229584</xdr:colOff>
      <xdr:row>12</xdr:row>
      <xdr:rowOff>197068</xdr:rowOff>
    </xdr:from>
    <xdr:to>
      <xdr:col>19</xdr:col>
      <xdr:colOff>1504074</xdr:colOff>
      <xdr:row>15</xdr:row>
      <xdr:rowOff>147473</xdr:rowOff>
    </xdr:to>
    <xdr:grpSp>
      <xdr:nvGrpSpPr>
        <xdr:cNvPr id="1054" name="Group 1053">
          <a:extLst>
            <a:ext uri="{FF2B5EF4-FFF2-40B4-BE49-F238E27FC236}">
              <a16:creationId xmlns:a16="http://schemas.microsoft.com/office/drawing/2014/main" id="{00000000-0008-0000-0100-00001E040000}"/>
            </a:ext>
          </a:extLst>
        </xdr:cNvPr>
        <xdr:cNvGrpSpPr/>
      </xdr:nvGrpSpPr>
      <xdr:grpSpPr>
        <a:xfrm>
          <a:off x="3487134" y="3035518"/>
          <a:ext cx="1274490" cy="636205"/>
          <a:chOff x="17737192" y="2023240"/>
          <a:chExt cx="1277446" cy="646715"/>
        </a:xfrm>
      </xdr:grpSpPr>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7754382" y="2023240"/>
            <a:ext cx="1238250" cy="6467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7737192" y="2036379"/>
            <a:ext cx="1277446" cy="357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Cash</a:t>
            </a:r>
            <a:r>
              <a:rPr lang="en-CA" sz="1200" b="1" baseline="0">
                <a:solidFill>
                  <a:schemeClr val="bg1"/>
                </a:solidFill>
              </a:rPr>
              <a:t> Equivalent	</a:t>
            </a:r>
            <a:endParaRPr lang="en-CA" sz="1200" b="1">
              <a:solidFill>
                <a:schemeClr val="bg1"/>
              </a:solidFill>
            </a:endParaRPr>
          </a:p>
        </xdr:txBody>
      </xdr:sp>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17815144" y="2379610"/>
            <a:ext cx="1132162" cy="214476"/>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23</xdr:col>
      <xdr:colOff>14279</xdr:colOff>
      <xdr:row>12</xdr:row>
      <xdr:rowOff>164222</xdr:rowOff>
    </xdr:from>
    <xdr:to>
      <xdr:col>23</xdr:col>
      <xdr:colOff>1286142</xdr:colOff>
      <xdr:row>15</xdr:row>
      <xdr:rowOff>120539</xdr:rowOff>
    </xdr:to>
    <xdr:grpSp>
      <xdr:nvGrpSpPr>
        <xdr:cNvPr id="1056" name="Group 1055">
          <a:extLst>
            <a:ext uri="{FF2B5EF4-FFF2-40B4-BE49-F238E27FC236}">
              <a16:creationId xmlns:a16="http://schemas.microsoft.com/office/drawing/2014/main" id="{00000000-0008-0000-0100-000020040000}"/>
            </a:ext>
          </a:extLst>
        </xdr:cNvPr>
        <xdr:cNvGrpSpPr/>
      </xdr:nvGrpSpPr>
      <xdr:grpSpPr>
        <a:xfrm>
          <a:off x="7024679" y="3002672"/>
          <a:ext cx="1271863" cy="642117"/>
          <a:chOff x="22053002" y="1996964"/>
          <a:chExt cx="1271863" cy="652627"/>
        </a:xfrm>
      </xdr:grpSpPr>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22070192" y="1996964"/>
            <a:ext cx="1235623" cy="652627"/>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22053002" y="2049517"/>
            <a:ext cx="1271863" cy="304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solidFill>
                  <a:schemeClr val="bg1"/>
                </a:solidFill>
              </a:rPr>
              <a:t>Act Out</a:t>
            </a:r>
            <a:r>
              <a:rPr lang="en-CA" sz="1100" b="1" baseline="0">
                <a:solidFill>
                  <a:schemeClr val="bg1"/>
                </a:solidFill>
              </a:rPr>
              <a:t> Expenses</a:t>
            </a:r>
            <a:r>
              <a:rPr lang="en-CA" sz="1200" b="1" baseline="0">
                <a:solidFill>
                  <a:schemeClr val="bg1"/>
                </a:solidFill>
              </a:rPr>
              <a:t>	</a:t>
            </a:r>
            <a:endParaRPr lang="en-CA" sz="1200" b="1">
              <a:solidFill>
                <a:schemeClr val="bg1"/>
              </a:solidFill>
            </a:endParaRPr>
          </a:p>
        </xdr:txBody>
      </xdr:sp>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22130954" y="2356290"/>
            <a:ext cx="1129535" cy="21743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21</xdr:col>
      <xdr:colOff>399393</xdr:colOff>
      <xdr:row>7</xdr:row>
      <xdr:rowOff>120539</xdr:rowOff>
    </xdr:from>
    <xdr:to>
      <xdr:col>23</xdr:col>
      <xdr:colOff>154465</xdr:colOff>
      <xdr:row>9</xdr:row>
      <xdr:rowOff>139261</xdr:rowOff>
    </xdr:to>
    <xdr:grpSp>
      <xdr:nvGrpSpPr>
        <xdr:cNvPr id="1062" name="Group 1061">
          <a:extLst>
            <a:ext uri="{FF2B5EF4-FFF2-40B4-BE49-F238E27FC236}">
              <a16:creationId xmlns:a16="http://schemas.microsoft.com/office/drawing/2014/main" id="{00000000-0008-0000-0100-000026040000}"/>
            </a:ext>
          </a:extLst>
        </xdr:cNvPr>
        <xdr:cNvGrpSpPr/>
      </xdr:nvGrpSpPr>
      <xdr:grpSpPr>
        <a:xfrm>
          <a:off x="6152493" y="1815989"/>
          <a:ext cx="1012372" cy="475922"/>
          <a:chOff x="17190983" y="1077311"/>
          <a:chExt cx="1010073" cy="790576"/>
        </a:xfrm>
      </xdr:grpSpPr>
      <xdr:sp macro="" textlink="">
        <xdr:nvSpPr>
          <xdr:cNvPr id="57" name="Rectangle: Rounded Corners 56">
            <a:extLst>
              <a:ext uri="{FF2B5EF4-FFF2-40B4-BE49-F238E27FC236}">
                <a16:creationId xmlns:a16="http://schemas.microsoft.com/office/drawing/2014/main" id="{00000000-0008-0000-0100-000039000000}"/>
              </a:ext>
            </a:extLst>
          </xdr:cNvPr>
          <xdr:cNvSpPr/>
        </xdr:nvSpPr>
        <xdr:spPr>
          <a:xfrm>
            <a:off x="17214743" y="1077311"/>
            <a:ext cx="981292" cy="790576"/>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7190983" y="1136431"/>
            <a:ext cx="1010073" cy="282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Revenue</a:t>
            </a:r>
            <a:r>
              <a:rPr lang="en-CA" sz="1200" b="1" baseline="0">
                <a:solidFill>
                  <a:schemeClr val="bg1"/>
                </a:solidFill>
              </a:rPr>
              <a:t>	</a:t>
            </a:r>
            <a:endParaRPr lang="en-CA" sz="1200" b="1">
              <a:solidFill>
                <a:schemeClr val="bg1"/>
              </a:solidFill>
            </a:endParaRPr>
          </a:p>
        </xdr:txBody>
      </xdr:sp>
      <xdr:sp macro="" textlink="">
        <xdr:nvSpPr>
          <xdr:cNvPr id="62" name="Rectangle: Rounded Corners 61">
            <a:extLst>
              <a:ext uri="{FF2B5EF4-FFF2-40B4-BE49-F238E27FC236}">
                <a16:creationId xmlns:a16="http://schemas.microsoft.com/office/drawing/2014/main" id="{00000000-0008-0000-0100-00003E000000}"/>
              </a:ext>
            </a:extLst>
          </xdr:cNvPr>
          <xdr:cNvSpPr/>
        </xdr:nvSpPr>
        <xdr:spPr>
          <a:xfrm>
            <a:off x="17246995" y="1544447"/>
            <a:ext cx="897040" cy="263391"/>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23</xdr:col>
      <xdr:colOff>373117</xdr:colOff>
      <xdr:row>7</xdr:row>
      <xdr:rowOff>85725</xdr:rowOff>
    </xdr:from>
    <xdr:to>
      <xdr:col>23</xdr:col>
      <xdr:colOff>1383190</xdr:colOff>
      <xdr:row>9</xdr:row>
      <xdr:rowOff>140906</xdr:rowOff>
    </xdr:to>
    <xdr:grpSp>
      <xdr:nvGrpSpPr>
        <xdr:cNvPr id="1061" name="Group 1060">
          <a:extLst>
            <a:ext uri="{FF2B5EF4-FFF2-40B4-BE49-F238E27FC236}">
              <a16:creationId xmlns:a16="http://schemas.microsoft.com/office/drawing/2014/main" id="{00000000-0008-0000-0100-000025040000}"/>
            </a:ext>
          </a:extLst>
        </xdr:cNvPr>
        <xdr:cNvGrpSpPr/>
      </xdr:nvGrpSpPr>
      <xdr:grpSpPr>
        <a:xfrm>
          <a:off x="7383517" y="1781175"/>
          <a:ext cx="1010073" cy="512381"/>
          <a:chOff x="18340552" y="1090448"/>
          <a:chExt cx="1010073" cy="790577"/>
        </a:xfrm>
      </xdr:grpSpPr>
      <xdr:sp macro="" textlink="">
        <xdr:nvSpPr>
          <xdr:cNvPr id="1035" name="Rectangle: Rounded Corners 1034">
            <a:extLst>
              <a:ext uri="{FF2B5EF4-FFF2-40B4-BE49-F238E27FC236}">
                <a16:creationId xmlns:a16="http://schemas.microsoft.com/office/drawing/2014/main" id="{00000000-0008-0000-0100-00000B040000}"/>
              </a:ext>
            </a:extLst>
          </xdr:cNvPr>
          <xdr:cNvSpPr/>
        </xdr:nvSpPr>
        <xdr:spPr>
          <a:xfrm>
            <a:off x="18357743" y="1090449"/>
            <a:ext cx="981292" cy="790576"/>
          </a:xfrm>
          <a:prstGeom prst="roundRect">
            <a:avLst/>
          </a:prstGeom>
          <a:solidFill>
            <a:srgbClr val="FF818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37" name="TextBox 1036">
            <a:extLst>
              <a:ext uri="{FF2B5EF4-FFF2-40B4-BE49-F238E27FC236}">
                <a16:creationId xmlns:a16="http://schemas.microsoft.com/office/drawing/2014/main" id="{00000000-0008-0000-0100-00000D040000}"/>
              </a:ext>
            </a:extLst>
          </xdr:cNvPr>
          <xdr:cNvSpPr txBox="1"/>
        </xdr:nvSpPr>
        <xdr:spPr>
          <a:xfrm>
            <a:off x="18340552" y="1090448"/>
            <a:ext cx="1010073" cy="49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Expenses</a:t>
            </a:r>
            <a:r>
              <a:rPr lang="en-CA" sz="1200" b="1" baseline="0">
                <a:solidFill>
                  <a:schemeClr val="bg1"/>
                </a:solidFill>
              </a:rPr>
              <a:t>	</a:t>
            </a:r>
            <a:endParaRPr lang="en-CA" sz="1200" b="1">
              <a:solidFill>
                <a:schemeClr val="bg1"/>
              </a:solidFill>
            </a:endParaRPr>
          </a:p>
        </xdr:txBody>
      </xdr:sp>
      <xdr:sp macro="" textlink="">
        <xdr:nvSpPr>
          <xdr:cNvPr id="1038" name="Rectangle: Rounded Corners 1037">
            <a:extLst>
              <a:ext uri="{FF2B5EF4-FFF2-40B4-BE49-F238E27FC236}">
                <a16:creationId xmlns:a16="http://schemas.microsoft.com/office/drawing/2014/main" id="{00000000-0008-0000-0100-00000E040000}"/>
              </a:ext>
            </a:extLst>
          </xdr:cNvPr>
          <xdr:cNvSpPr/>
        </xdr:nvSpPr>
        <xdr:spPr>
          <a:xfrm>
            <a:off x="18399455" y="1541763"/>
            <a:ext cx="897040" cy="26339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22</xdr:col>
      <xdr:colOff>11607</xdr:colOff>
      <xdr:row>3</xdr:row>
      <xdr:rowOff>192142</xdr:rowOff>
    </xdr:from>
    <xdr:to>
      <xdr:col>23</xdr:col>
      <xdr:colOff>716674</xdr:colOff>
      <xdr:row>6</xdr:row>
      <xdr:rowOff>142874</xdr:rowOff>
    </xdr:to>
    <xdr:sp macro="" textlink="">
      <xdr:nvSpPr>
        <xdr:cNvPr id="1042" name="Rectangle: Rounded Corners 1041">
          <a:extLst>
            <a:ext uri="{FF2B5EF4-FFF2-40B4-BE49-F238E27FC236}">
              <a16:creationId xmlns:a16="http://schemas.microsoft.com/office/drawing/2014/main" id="{00000000-0008-0000-0100-000012040000}"/>
            </a:ext>
          </a:extLst>
        </xdr:cNvPr>
        <xdr:cNvSpPr/>
      </xdr:nvSpPr>
      <xdr:spPr>
        <a:xfrm>
          <a:off x="6745782" y="973192"/>
          <a:ext cx="981292" cy="636532"/>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21</xdr:col>
      <xdr:colOff>965966</xdr:colOff>
      <xdr:row>3</xdr:row>
      <xdr:rowOff>211191</xdr:rowOff>
    </xdr:from>
    <xdr:to>
      <xdr:col>23</xdr:col>
      <xdr:colOff>718739</xdr:colOff>
      <xdr:row>5</xdr:row>
      <xdr:rowOff>28575</xdr:rowOff>
    </xdr:to>
    <xdr:sp macro="" textlink="">
      <xdr:nvSpPr>
        <xdr:cNvPr id="1043" name="TextBox 1042">
          <a:extLst>
            <a:ext uri="{FF2B5EF4-FFF2-40B4-BE49-F238E27FC236}">
              <a16:creationId xmlns:a16="http://schemas.microsoft.com/office/drawing/2014/main" id="{00000000-0008-0000-0100-000013040000}"/>
            </a:ext>
          </a:extLst>
        </xdr:cNvPr>
        <xdr:cNvSpPr txBox="1"/>
      </xdr:nvSpPr>
      <xdr:spPr>
        <a:xfrm>
          <a:off x="6719066" y="992241"/>
          <a:ext cx="1010073" cy="274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Net</a:t>
          </a:r>
          <a:r>
            <a:rPr lang="en-CA" sz="1200" b="1" baseline="0">
              <a:solidFill>
                <a:schemeClr val="bg1"/>
              </a:solidFill>
            </a:rPr>
            <a:t> Profit	</a:t>
          </a:r>
          <a:endParaRPr lang="en-CA" sz="1200" b="1">
            <a:solidFill>
              <a:schemeClr val="bg1"/>
            </a:solidFill>
          </a:endParaRPr>
        </a:p>
      </xdr:txBody>
    </xdr:sp>
    <xdr:clientData/>
  </xdr:twoCellAnchor>
  <xdr:twoCellAnchor>
    <xdr:from>
      <xdr:col>22</xdr:col>
      <xdr:colOff>43794</xdr:colOff>
      <xdr:row>5</xdr:row>
      <xdr:rowOff>47625</xdr:rowOff>
    </xdr:from>
    <xdr:to>
      <xdr:col>23</xdr:col>
      <xdr:colOff>664609</xdr:colOff>
      <xdr:row>6</xdr:row>
      <xdr:rowOff>81789</xdr:rowOff>
    </xdr:to>
    <xdr:sp macro="" textlink="DashCalculations!K25">
      <xdr:nvSpPr>
        <xdr:cNvPr id="1044" name="Rectangle: Rounded Corners 1043">
          <a:extLst>
            <a:ext uri="{FF2B5EF4-FFF2-40B4-BE49-F238E27FC236}">
              <a16:creationId xmlns:a16="http://schemas.microsoft.com/office/drawing/2014/main" id="{00000000-0008-0000-0100-000014040000}"/>
            </a:ext>
          </a:extLst>
        </xdr:cNvPr>
        <xdr:cNvSpPr/>
      </xdr:nvSpPr>
      <xdr:spPr>
        <a:xfrm>
          <a:off x="6777969" y="1285875"/>
          <a:ext cx="897040" cy="262764"/>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1E2A818-CA3F-4B2A-B33A-961400A11918}" type="TxLink">
            <a:rPr lang="en-US" sz="1100" b="0" i="0" u="none" strike="noStrike">
              <a:solidFill>
                <a:srgbClr val="000000"/>
              </a:solidFill>
              <a:latin typeface="Aptos Narrow"/>
            </a:rPr>
            <a:pPr algn="l"/>
            <a:t>-11740.97</a:t>
          </a:fld>
          <a:endParaRPr lang="en-CA" sz="1100"/>
        </a:p>
      </xdr:txBody>
    </xdr:sp>
    <xdr:clientData/>
  </xdr:twoCellAnchor>
  <xdr:twoCellAnchor>
    <xdr:from>
      <xdr:col>19</xdr:col>
      <xdr:colOff>189519</xdr:colOff>
      <xdr:row>7</xdr:row>
      <xdr:rowOff>133679</xdr:rowOff>
    </xdr:from>
    <xdr:to>
      <xdr:col>19</xdr:col>
      <xdr:colOff>1201891</xdr:colOff>
      <xdr:row>9</xdr:row>
      <xdr:rowOff>162582</xdr:rowOff>
    </xdr:to>
    <xdr:grpSp>
      <xdr:nvGrpSpPr>
        <xdr:cNvPr id="1060" name="Group 1059">
          <a:extLst>
            <a:ext uri="{FF2B5EF4-FFF2-40B4-BE49-F238E27FC236}">
              <a16:creationId xmlns:a16="http://schemas.microsoft.com/office/drawing/2014/main" id="{00000000-0008-0000-0100-000024040000}"/>
            </a:ext>
          </a:extLst>
        </xdr:cNvPr>
        <xdr:cNvGrpSpPr/>
      </xdr:nvGrpSpPr>
      <xdr:grpSpPr>
        <a:xfrm>
          <a:off x="3447069" y="1829129"/>
          <a:ext cx="1012372" cy="486103"/>
          <a:chOff x="20688304" y="1086508"/>
          <a:chExt cx="1010073" cy="790576"/>
        </a:xfrm>
      </xdr:grpSpPr>
      <xdr:sp macro="" textlink="">
        <xdr:nvSpPr>
          <xdr:cNvPr id="1045" name="Rectangle: Rounded Corners 1044">
            <a:extLst>
              <a:ext uri="{FF2B5EF4-FFF2-40B4-BE49-F238E27FC236}">
                <a16:creationId xmlns:a16="http://schemas.microsoft.com/office/drawing/2014/main" id="{00000000-0008-0000-0100-000015040000}"/>
              </a:ext>
            </a:extLst>
          </xdr:cNvPr>
          <xdr:cNvSpPr/>
        </xdr:nvSpPr>
        <xdr:spPr>
          <a:xfrm>
            <a:off x="20705490" y="1086508"/>
            <a:ext cx="981292" cy="790576"/>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46" name="TextBox 1045">
            <a:extLst>
              <a:ext uri="{FF2B5EF4-FFF2-40B4-BE49-F238E27FC236}">
                <a16:creationId xmlns:a16="http://schemas.microsoft.com/office/drawing/2014/main" id="{00000000-0008-0000-0100-000016040000}"/>
              </a:ext>
            </a:extLst>
          </xdr:cNvPr>
          <xdr:cNvSpPr txBox="1"/>
        </xdr:nvSpPr>
        <xdr:spPr>
          <a:xfrm>
            <a:off x="20688304" y="1086508"/>
            <a:ext cx="1010073" cy="49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Assets</a:t>
            </a:r>
            <a:r>
              <a:rPr lang="en-CA" sz="1200" b="1" baseline="0">
                <a:solidFill>
                  <a:schemeClr val="bg1"/>
                </a:solidFill>
              </a:rPr>
              <a:t>	</a:t>
            </a:r>
            <a:endParaRPr lang="en-CA" sz="1200" b="1">
              <a:solidFill>
                <a:schemeClr val="bg1"/>
              </a:solidFill>
            </a:endParaRPr>
          </a:p>
        </xdr:txBody>
      </xdr:sp>
      <xdr:sp macro="" textlink="">
        <xdr:nvSpPr>
          <xdr:cNvPr id="1047" name="Rectangle: Rounded Corners 1046">
            <a:extLst>
              <a:ext uri="{FF2B5EF4-FFF2-40B4-BE49-F238E27FC236}">
                <a16:creationId xmlns:a16="http://schemas.microsoft.com/office/drawing/2014/main" id="{00000000-0008-0000-0100-000017040000}"/>
              </a:ext>
            </a:extLst>
          </xdr:cNvPr>
          <xdr:cNvSpPr/>
        </xdr:nvSpPr>
        <xdr:spPr>
          <a:xfrm>
            <a:off x="20766252" y="1518115"/>
            <a:ext cx="897040" cy="26339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19</xdr:col>
      <xdr:colOff>1487871</xdr:colOff>
      <xdr:row>7</xdr:row>
      <xdr:rowOff>115287</xdr:rowOff>
    </xdr:from>
    <xdr:to>
      <xdr:col>21</xdr:col>
      <xdr:colOff>2394</xdr:colOff>
      <xdr:row>9</xdr:row>
      <xdr:rowOff>157328</xdr:rowOff>
    </xdr:to>
    <xdr:grpSp>
      <xdr:nvGrpSpPr>
        <xdr:cNvPr id="1059" name="Group 1058">
          <a:extLst>
            <a:ext uri="{FF2B5EF4-FFF2-40B4-BE49-F238E27FC236}">
              <a16:creationId xmlns:a16="http://schemas.microsoft.com/office/drawing/2014/main" id="{00000000-0008-0000-0100-000023040000}"/>
            </a:ext>
          </a:extLst>
        </xdr:cNvPr>
        <xdr:cNvGrpSpPr/>
      </xdr:nvGrpSpPr>
      <xdr:grpSpPr>
        <a:xfrm>
          <a:off x="4745421" y="1810737"/>
          <a:ext cx="1010073" cy="499241"/>
          <a:chOff x="21832613" y="1081252"/>
          <a:chExt cx="1010073" cy="790577"/>
        </a:xfrm>
      </xdr:grpSpPr>
      <xdr:sp macro="" textlink="">
        <xdr:nvSpPr>
          <xdr:cNvPr id="1048" name="Rectangle: Rounded Corners 1047">
            <a:extLst>
              <a:ext uri="{FF2B5EF4-FFF2-40B4-BE49-F238E27FC236}">
                <a16:creationId xmlns:a16="http://schemas.microsoft.com/office/drawing/2014/main" id="{00000000-0008-0000-0100-000018040000}"/>
              </a:ext>
            </a:extLst>
          </xdr:cNvPr>
          <xdr:cNvSpPr/>
        </xdr:nvSpPr>
        <xdr:spPr>
          <a:xfrm>
            <a:off x="21849804" y="1081253"/>
            <a:ext cx="981292" cy="790576"/>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49" name="TextBox 1048">
            <a:extLst>
              <a:ext uri="{FF2B5EF4-FFF2-40B4-BE49-F238E27FC236}">
                <a16:creationId xmlns:a16="http://schemas.microsoft.com/office/drawing/2014/main" id="{00000000-0008-0000-0100-000019040000}"/>
              </a:ext>
            </a:extLst>
          </xdr:cNvPr>
          <xdr:cNvSpPr txBox="1"/>
        </xdr:nvSpPr>
        <xdr:spPr>
          <a:xfrm>
            <a:off x="21832613" y="1081252"/>
            <a:ext cx="1010073" cy="49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Liabilities</a:t>
            </a:r>
            <a:r>
              <a:rPr lang="en-CA" sz="1200" b="1" baseline="0">
                <a:solidFill>
                  <a:schemeClr val="bg1"/>
                </a:solidFill>
              </a:rPr>
              <a:t>	</a:t>
            </a:r>
            <a:endParaRPr lang="en-CA" sz="1200" b="1">
              <a:solidFill>
                <a:schemeClr val="bg1"/>
              </a:solidFill>
            </a:endParaRPr>
          </a:p>
        </xdr:txBody>
      </xdr:sp>
      <xdr:sp macro="" textlink="">
        <xdr:nvSpPr>
          <xdr:cNvPr id="1050" name="Rectangle: Rounded Corners 1049">
            <a:extLst>
              <a:ext uri="{FF2B5EF4-FFF2-40B4-BE49-F238E27FC236}">
                <a16:creationId xmlns:a16="http://schemas.microsoft.com/office/drawing/2014/main" id="{00000000-0008-0000-0100-00001A040000}"/>
              </a:ext>
            </a:extLst>
          </xdr:cNvPr>
          <xdr:cNvSpPr/>
        </xdr:nvSpPr>
        <xdr:spPr>
          <a:xfrm>
            <a:off x="21881991" y="1547651"/>
            <a:ext cx="897040" cy="26339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19</xdr:col>
      <xdr:colOff>910899</xdr:colOff>
      <xdr:row>3</xdr:row>
      <xdr:rowOff>208894</xdr:rowOff>
    </xdr:from>
    <xdr:to>
      <xdr:col>20</xdr:col>
      <xdr:colOff>377716</xdr:colOff>
      <xdr:row>6</xdr:row>
      <xdr:rowOff>171450</xdr:rowOff>
    </xdr:to>
    <xdr:sp macro="" textlink="">
      <xdr:nvSpPr>
        <xdr:cNvPr id="1051" name="Rectangle: Rounded Corners 1050">
          <a:extLst>
            <a:ext uri="{FF2B5EF4-FFF2-40B4-BE49-F238E27FC236}">
              <a16:creationId xmlns:a16="http://schemas.microsoft.com/office/drawing/2014/main" id="{00000000-0008-0000-0100-00001B040000}"/>
            </a:ext>
          </a:extLst>
        </xdr:cNvPr>
        <xdr:cNvSpPr/>
      </xdr:nvSpPr>
      <xdr:spPr>
        <a:xfrm>
          <a:off x="4168449" y="989944"/>
          <a:ext cx="981292" cy="648356"/>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19</xdr:col>
      <xdr:colOff>893708</xdr:colOff>
      <xdr:row>3</xdr:row>
      <xdr:rowOff>208893</xdr:rowOff>
    </xdr:from>
    <xdr:to>
      <xdr:col>20</xdr:col>
      <xdr:colOff>389306</xdr:colOff>
      <xdr:row>5</xdr:row>
      <xdr:rowOff>58303</xdr:rowOff>
    </xdr:to>
    <xdr:sp macro="" textlink="">
      <xdr:nvSpPr>
        <xdr:cNvPr id="1052" name="TextBox 1051">
          <a:extLst>
            <a:ext uri="{FF2B5EF4-FFF2-40B4-BE49-F238E27FC236}">
              <a16:creationId xmlns:a16="http://schemas.microsoft.com/office/drawing/2014/main" id="{00000000-0008-0000-0100-00001C040000}"/>
            </a:ext>
          </a:extLst>
        </xdr:cNvPr>
        <xdr:cNvSpPr txBox="1"/>
      </xdr:nvSpPr>
      <xdr:spPr>
        <a:xfrm>
          <a:off x="4151258" y="989943"/>
          <a:ext cx="1010073" cy="306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Net Worth</a:t>
          </a:r>
          <a:r>
            <a:rPr lang="en-CA" sz="1200" b="1" baseline="0">
              <a:solidFill>
                <a:schemeClr val="bg1"/>
              </a:solidFill>
            </a:rPr>
            <a:t>	</a:t>
          </a:r>
          <a:endParaRPr lang="en-CA" sz="1200" b="1">
            <a:solidFill>
              <a:schemeClr val="bg1"/>
            </a:solidFill>
          </a:endParaRPr>
        </a:p>
      </xdr:txBody>
    </xdr:sp>
    <xdr:clientData/>
  </xdr:twoCellAnchor>
  <xdr:twoCellAnchor>
    <xdr:from>
      <xdr:col>19</xdr:col>
      <xdr:colOff>951954</xdr:colOff>
      <xdr:row>5</xdr:row>
      <xdr:rowOff>57150</xdr:rowOff>
    </xdr:from>
    <xdr:to>
      <xdr:col>20</xdr:col>
      <xdr:colOff>334519</xdr:colOff>
      <xdr:row>6</xdr:row>
      <xdr:rowOff>85725</xdr:rowOff>
    </xdr:to>
    <xdr:sp macro="" textlink="DashCalculations!K24">
      <xdr:nvSpPr>
        <xdr:cNvPr id="1053" name="Rectangle: Rounded Corners 1052">
          <a:extLst>
            <a:ext uri="{FF2B5EF4-FFF2-40B4-BE49-F238E27FC236}">
              <a16:creationId xmlns:a16="http://schemas.microsoft.com/office/drawing/2014/main" id="{00000000-0008-0000-0100-00001D040000}"/>
            </a:ext>
          </a:extLst>
        </xdr:cNvPr>
        <xdr:cNvSpPr/>
      </xdr:nvSpPr>
      <xdr:spPr>
        <a:xfrm>
          <a:off x="4209504" y="1295400"/>
          <a:ext cx="897040" cy="257175"/>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3387DA1-C9D0-4166-AA89-1B268CCDEB15}" type="TxLink">
            <a:rPr lang="en-US" sz="1100" b="0" i="0" u="none" strike="noStrike">
              <a:solidFill>
                <a:srgbClr val="000000"/>
              </a:solidFill>
              <a:latin typeface="Aptos Narrow"/>
            </a:rPr>
            <a:pPr algn="l"/>
            <a:t>30466.1</a:t>
          </a:fld>
          <a:endParaRPr lang="en-CA" sz="1100"/>
        </a:p>
      </xdr:txBody>
    </xdr:sp>
    <xdr:clientData/>
  </xdr:twoCellAnchor>
  <xdr:twoCellAnchor>
    <xdr:from>
      <xdr:col>25</xdr:col>
      <xdr:colOff>19297</xdr:colOff>
      <xdr:row>3</xdr:row>
      <xdr:rowOff>25977</xdr:rowOff>
    </xdr:from>
    <xdr:to>
      <xdr:col>25</xdr:col>
      <xdr:colOff>199297</xdr:colOff>
      <xdr:row>3</xdr:row>
      <xdr:rowOff>205977</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19297</xdr:colOff>
      <xdr:row>11</xdr:row>
      <xdr:rowOff>25246</xdr:rowOff>
    </xdr:from>
    <xdr:to>
      <xdr:col>25</xdr:col>
      <xdr:colOff>199297</xdr:colOff>
      <xdr:row>11</xdr:row>
      <xdr:rowOff>205246</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19297</xdr:colOff>
      <xdr:row>4</xdr:row>
      <xdr:rowOff>25885</xdr:rowOff>
    </xdr:from>
    <xdr:to>
      <xdr:col>25</xdr:col>
      <xdr:colOff>199297</xdr:colOff>
      <xdr:row>4</xdr:row>
      <xdr:rowOff>205885</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180975</xdr:colOff>
      <xdr:row>5</xdr:row>
      <xdr:rowOff>47625</xdr:rowOff>
    </xdr:from>
    <xdr:to>
      <xdr:col>32</xdr:col>
      <xdr:colOff>47625</xdr:colOff>
      <xdr:row>6</xdr:row>
      <xdr:rowOff>171451</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11801475" y="1143000"/>
          <a:ext cx="1905000"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b="1"/>
            <a:t>KPI Summary</a:t>
          </a:r>
        </a:p>
      </xdr:txBody>
    </xdr:sp>
    <xdr:clientData/>
  </xdr:twoCellAnchor>
  <xdr:twoCellAnchor>
    <xdr:from>
      <xdr:col>2</xdr:col>
      <xdr:colOff>1172307</xdr:colOff>
      <xdr:row>9</xdr:row>
      <xdr:rowOff>51289</xdr:rowOff>
    </xdr:from>
    <xdr:to>
      <xdr:col>2</xdr:col>
      <xdr:colOff>1392115</xdr:colOff>
      <xdr:row>9</xdr:row>
      <xdr:rowOff>204877</xdr:rowOff>
    </xdr:to>
    <xdr:sp macro="" textlink="">
      <xdr:nvSpPr>
        <xdr:cNvPr id="27" name="Arrow: Right 26">
          <a:hlinkClick xmlns:r="http://schemas.openxmlformats.org/officeDocument/2006/relationships" r:id="rId7"/>
          <a:extLst>
            <a:ext uri="{FF2B5EF4-FFF2-40B4-BE49-F238E27FC236}">
              <a16:creationId xmlns:a16="http://schemas.microsoft.com/office/drawing/2014/main" id="{00000000-0008-0000-0100-00001B000000}"/>
            </a:ext>
          </a:extLst>
        </xdr:cNvPr>
        <xdr:cNvSpPr/>
      </xdr:nvSpPr>
      <xdr:spPr>
        <a:xfrm>
          <a:off x="1355480" y="2960077"/>
          <a:ext cx="219808" cy="153588"/>
        </a:xfrm>
        <a:prstGeom prst="rightArrow">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1172308</xdr:colOff>
      <xdr:row>6</xdr:row>
      <xdr:rowOff>205153</xdr:rowOff>
    </xdr:from>
    <xdr:to>
      <xdr:col>2</xdr:col>
      <xdr:colOff>1392116</xdr:colOff>
      <xdr:row>7</xdr:row>
      <xdr:rowOff>131607</xdr:rowOff>
    </xdr:to>
    <xdr:sp macro="" textlink="">
      <xdr:nvSpPr>
        <xdr:cNvPr id="40" name="Arrow: Right 39">
          <a:hlinkClick xmlns:r="http://schemas.openxmlformats.org/officeDocument/2006/relationships" r:id="rId7"/>
          <a:extLst>
            <a:ext uri="{FF2B5EF4-FFF2-40B4-BE49-F238E27FC236}">
              <a16:creationId xmlns:a16="http://schemas.microsoft.com/office/drawing/2014/main" id="{00000000-0008-0000-0100-000028000000}"/>
            </a:ext>
          </a:extLst>
        </xdr:cNvPr>
        <xdr:cNvSpPr/>
      </xdr:nvSpPr>
      <xdr:spPr>
        <a:xfrm>
          <a:off x="1355481" y="2432538"/>
          <a:ext cx="219808" cy="153588"/>
        </a:xfrm>
        <a:prstGeom prst="rightArrow">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1179634</xdr:colOff>
      <xdr:row>11</xdr:row>
      <xdr:rowOff>58615</xdr:rowOff>
    </xdr:from>
    <xdr:to>
      <xdr:col>2</xdr:col>
      <xdr:colOff>1399442</xdr:colOff>
      <xdr:row>11</xdr:row>
      <xdr:rowOff>212203</xdr:rowOff>
    </xdr:to>
    <xdr:sp macro="" textlink="">
      <xdr:nvSpPr>
        <xdr:cNvPr id="44" name="Arrow: Right 43">
          <a:hlinkClick xmlns:r="http://schemas.openxmlformats.org/officeDocument/2006/relationships" r:id="rId7"/>
          <a:extLst>
            <a:ext uri="{FF2B5EF4-FFF2-40B4-BE49-F238E27FC236}">
              <a16:creationId xmlns:a16="http://schemas.microsoft.com/office/drawing/2014/main" id="{00000000-0008-0000-0100-00002C000000}"/>
            </a:ext>
          </a:extLst>
        </xdr:cNvPr>
        <xdr:cNvSpPr/>
      </xdr:nvSpPr>
      <xdr:spPr>
        <a:xfrm>
          <a:off x="1362807" y="3421673"/>
          <a:ext cx="219808" cy="153588"/>
        </a:xfrm>
        <a:prstGeom prst="rightArrow">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25</xdr:col>
      <xdr:colOff>19297</xdr:colOff>
      <xdr:row>6</xdr:row>
      <xdr:rowOff>25703</xdr:rowOff>
    </xdr:from>
    <xdr:to>
      <xdr:col>25</xdr:col>
      <xdr:colOff>199297</xdr:colOff>
      <xdr:row>6</xdr:row>
      <xdr:rowOff>205703</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19297</xdr:colOff>
      <xdr:row>7</xdr:row>
      <xdr:rowOff>25611</xdr:rowOff>
    </xdr:from>
    <xdr:to>
      <xdr:col>25</xdr:col>
      <xdr:colOff>199297</xdr:colOff>
      <xdr:row>7</xdr:row>
      <xdr:rowOff>205611</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19297</xdr:colOff>
      <xdr:row>8</xdr:row>
      <xdr:rowOff>25520</xdr:rowOff>
    </xdr:from>
    <xdr:to>
      <xdr:col>25</xdr:col>
      <xdr:colOff>199297</xdr:colOff>
      <xdr:row>8</xdr:row>
      <xdr:rowOff>205520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19297</xdr:colOff>
      <xdr:row>9</xdr:row>
      <xdr:rowOff>25428</xdr:rowOff>
    </xdr:from>
    <xdr:to>
      <xdr:col>25</xdr:col>
      <xdr:colOff>199297</xdr:colOff>
      <xdr:row>9</xdr:row>
      <xdr:rowOff>205428</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19297</xdr:colOff>
      <xdr:row>10</xdr:row>
      <xdr:rowOff>25337</xdr:rowOff>
    </xdr:from>
    <xdr:to>
      <xdr:col>25</xdr:col>
      <xdr:colOff>199297</xdr:colOff>
      <xdr:row>10</xdr:row>
      <xdr:rowOff>205337</xdr:rowOff>
    </xdr:to>
    <xdr:graphicFrame macro="">
      <xdr:nvGraphicFramePr>
        <xdr:cNvPr id="32" name="Chart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19297</xdr:colOff>
      <xdr:row>12</xdr:row>
      <xdr:rowOff>25154</xdr:rowOff>
    </xdr:from>
    <xdr:to>
      <xdr:col>25</xdr:col>
      <xdr:colOff>199297</xdr:colOff>
      <xdr:row>12</xdr:row>
      <xdr:rowOff>205154</xdr:rowOff>
    </xdr:to>
    <xdr:graphicFrame macro="">
      <xdr:nvGraphicFramePr>
        <xdr:cNvPr id="35" name="Chart 34">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25</xdr:col>
      <xdr:colOff>19297</xdr:colOff>
      <xdr:row>13</xdr:row>
      <xdr:rowOff>25063</xdr:rowOff>
    </xdr:from>
    <xdr:to>
      <xdr:col>25</xdr:col>
      <xdr:colOff>199297</xdr:colOff>
      <xdr:row>13</xdr:row>
      <xdr:rowOff>205063</xdr:rowOff>
    </xdr:to>
    <xdr:graphicFrame macro="">
      <xdr:nvGraphicFramePr>
        <xdr:cNvPr id="38" name="Chart 37">
          <a:extLst>
            <a:ext uri="{FF2B5EF4-FFF2-40B4-BE49-F238E27FC236}">
              <a16:creationId xmlns:a16="http://schemas.microsoft.com/office/drawing/2014/main" id="{00000000-0008-0000-0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19297</xdr:colOff>
      <xdr:row>15</xdr:row>
      <xdr:rowOff>24880</xdr:rowOff>
    </xdr:from>
    <xdr:to>
      <xdr:col>25</xdr:col>
      <xdr:colOff>199297</xdr:colOff>
      <xdr:row>15</xdr:row>
      <xdr:rowOff>204880</xdr:rowOff>
    </xdr:to>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25</xdr:col>
      <xdr:colOff>19297</xdr:colOff>
      <xdr:row>16</xdr:row>
      <xdr:rowOff>24789</xdr:rowOff>
    </xdr:from>
    <xdr:to>
      <xdr:col>25</xdr:col>
      <xdr:colOff>199297</xdr:colOff>
      <xdr:row>16</xdr:row>
      <xdr:rowOff>204789</xdr:rowOff>
    </xdr:to>
    <xdr:graphicFrame macro="">
      <xdr:nvGraphicFramePr>
        <xdr:cNvPr id="48" name="Chart 47">
          <a:extLst>
            <a:ext uri="{FF2B5EF4-FFF2-40B4-BE49-F238E27FC236}">
              <a16:creationId xmlns:a16="http://schemas.microsoft.com/office/drawing/2014/main" id="{00000000-0008-0000-01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25</xdr:col>
      <xdr:colOff>19297</xdr:colOff>
      <xdr:row>17</xdr:row>
      <xdr:rowOff>24697</xdr:rowOff>
    </xdr:from>
    <xdr:to>
      <xdr:col>25</xdr:col>
      <xdr:colOff>199297</xdr:colOff>
      <xdr:row>17</xdr:row>
      <xdr:rowOff>204697</xdr:rowOff>
    </xdr:to>
    <xdr:graphicFrame macro="">
      <xdr:nvGraphicFramePr>
        <xdr:cNvPr id="49" name="Chart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19297</xdr:colOff>
      <xdr:row>18</xdr:row>
      <xdr:rowOff>24606</xdr:rowOff>
    </xdr:from>
    <xdr:to>
      <xdr:col>25</xdr:col>
      <xdr:colOff>199297</xdr:colOff>
      <xdr:row>18</xdr:row>
      <xdr:rowOff>204606</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25</xdr:col>
      <xdr:colOff>19297</xdr:colOff>
      <xdr:row>19</xdr:row>
      <xdr:rowOff>24515</xdr:rowOff>
    </xdr:from>
    <xdr:to>
      <xdr:col>25</xdr:col>
      <xdr:colOff>199297</xdr:colOff>
      <xdr:row>19</xdr:row>
      <xdr:rowOff>204515</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25</xdr:col>
      <xdr:colOff>19297</xdr:colOff>
      <xdr:row>20</xdr:row>
      <xdr:rowOff>24423</xdr:rowOff>
    </xdr:from>
    <xdr:to>
      <xdr:col>25</xdr:col>
      <xdr:colOff>199297</xdr:colOff>
      <xdr:row>20</xdr:row>
      <xdr:rowOff>204423</xdr:rowOff>
    </xdr:to>
    <xdr:graphicFrame macro="">
      <xdr:nvGraphicFramePr>
        <xdr:cNvPr id="53" name="Chart 52">
          <a:extLst>
            <a:ext uri="{FF2B5EF4-FFF2-40B4-BE49-F238E27FC236}">
              <a16:creationId xmlns:a16="http://schemas.microsoft.com/office/drawing/2014/main" id="{00000000-0008-0000-01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25</xdr:col>
      <xdr:colOff>19297</xdr:colOff>
      <xdr:row>21</xdr:row>
      <xdr:rowOff>24332</xdr:rowOff>
    </xdr:from>
    <xdr:to>
      <xdr:col>25</xdr:col>
      <xdr:colOff>199297</xdr:colOff>
      <xdr:row>21</xdr:row>
      <xdr:rowOff>204332</xdr:rowOff>
    </xdr:to>
    <xdr:graphicFrame macro="">
      <xdr:nvGraphicFramePr>
        <xdr:cNvPr id="54" name="Chart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19297</xdr:colOff>
      <xdr:row>22</xdr:row>
      <xdr:rowOff>24240</xdr:rowOff>
    </xdr:from>
    <xdr:to>
      <xdr:col>25</xdr:col>
      <xdr:colOff>199297</xdr:colOff>
      <xdr:row>22</xdr:row>
      <xdr:rowOff>204240</xdr:rowOff>
    </xdr:to>
    <xdr:graphicFrame macro="">
      <xdr:nvGraphicFramePr>
        <xdr:cNvPr id="55" name="Chart 54">
          <a:extLst>
            <a:ext uri="{FF2B5EF4-FFF2-40B4-BE49-F238E27FC236}">
              <a16:creationId xmlns:a16="http://schemas.microsoft.com/office/drawing/2014/main" id="{00000000-0008-0000-01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19297</xdr:colOff>
      <xdr:row>23</xdr:row>
      <xdr:rowOff>24149</xdr:rowOff>
    </xdr:from>
    <xdr:to>
      <xdr:col>25</xdr:col>
      <xdr:colOff>199297</xdr:colOff>
      <xdr:row>23</xdr:row>
      <xdr:rowOff>204149</xdr:rowOff>
    </xdr:to>
    <xdr:graphicFrame macro="">
      <xdr:nvGraphicFramePr>
        <xdr:cNvPr id="56" name="Chart 55">
          <a:extLst>
            <a:ext uri="{FF2B5EF4-FFF2-40B4-BE49-F238E27FC236}">
              <a16:creationId xmlns:a16="http://schemas.microsoft.com/office/drawing/2014/main" id="{00000000-0008-0000-01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mc:AlternateContent xmlns:mc="http://schemas.openxmlformats.org/markup-compatibility/2006">
    <mc:Choice xmlns:a14="http://schemas.microsoft.com/office/drawing/2010/main" Requires="a14">
      <xdr:twoCellAnchor>
        <xdr:from>
          <xdr:col>2</xdr:col>
          <xdr:colOff>504825</xdr:colOff>
          <xdr:row>2</xdr:row>
          <xdr:rowOff>66675</xdr:rowOff>
        </xdr:from>
        <xdr:to>
          <xdr:col>2</xdr:col>
          <xdr:colOff>1343025</xdr:colOff>
          <xdr:row>4</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8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180975</xdr:colOff>
      <xdr:row>8</xdr:row>
      <xdr:rowOff>142875</xdr:rowOff>
    </xdr:from>
    <xdr:to>
      <xdr:col>1</xdr:col>
      <xdr:colOff>989925</xdr:colOff>
      <xdr:row>28</xdr:row>
      <xdr:rowOff>178858</xdr:rowOff>
    </xdr:to>
    <mc:AlternateContent xmlns:mc="http://schemas.openxmlformats.org/markup-compatibility/2006" xmlns:a14="http://schemas.microsoft.com/office/drawing/2010/main">
      <mc:Choice Requires="a14">
        <xdr:graphicFrame macro="">
          <xdr:nvGraphicFramePr>
            <xdr:cNvPr id="37" name="Date 1">
              <a:extLst>
                <a:ext uri="{FF2B5EF4-FFF2-40B4-BE49-F238E27FC236}">
                  <a16:creationId xmlns:a16="http://schemas.microsoft.com/office/drawing/2014/main" id="{00000000-0008-0000-0300-000025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80975" y="1666875"/>
              <a:ext cx="999450" cy="384598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66675</xdr:colOff>
          <xdr:row>1</xdr:row>
          <xdr:rowOff>95250</xdr:rowOff>
        </xdr:from>
        <xdr:to>
          <xdr:col>1</xdr:col>
          <xdr:colOff>904875</xdr:colOff>
          <xdr:row>4</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4</xdr:row>
          <xdr:rowOff>180975</xdr:rowOff>
        </xdr:from>
        <xdr:to>
          <xdr:col>1</xdr:col>
          <xdr:colOff>923925</xdr:colOff>
          <xdr:row>7</xdr:row>
          <xdr:rowOff>85725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9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304800" y="3771900"/>
    <xdr:ext cx="1828800" cy="1495425"/>
    <mc:AlternateContent xmlns:mc="http://schemas.openxmlformats.org/markup-compatibility/2006" xmlns:sle15="http://schemas.microsoft.com/office/drawing/2012/slicer">
      <mc:Choice Requires="sle15">
        <xdr:graphicFrame macro="">
          <xdr:nvGraphicFramePr>
            <xdr:cNvPr id="2" name="Type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304800" y="3771900"/>
              <a:ext cx="1828800" cy="14954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42900" y="5381625"/>
    <xdr:ext cx="1828800" cy="1382806"/>
    <mc:AlternateContent xmlns:mc="http://schemas.openxmlformats.org/markup-compatibility/2006" xmlns:sle15="http://schemas.microsoft.com/office/drawing/2012/slicer">
      <mc:Choice Requires="sle15">
        <xdr:graphicFrame macro="">
          <xdr:nvGraphicFramePr>
            <xdr:cNvPr id="3" name="PRIO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PRIO 2"/>
            </a:graphicData>
          </a:graphic>
        </xdr:graphicFrame>
      </mc:Choice>
      <mc:Fallback xmlns="">
        <xdr:sp macro="" textlink="">
          <xdr:nvSpPr>
            <xdr:cNvPr id="0" name=""/>
            <xdr:cNvSpPr>
              <a:spLocks noTextEdit="1"/>
            </xdr:cNvSpPr>
          </xdr:nvSpPr>
          <xdr:spPr>
            <a:xfrm>
              <a:off x="342900" y="5381625"/>
              <a:ext cx="1828800" cy="138280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04800" y="2697257"/>
    <xdr:ext cx="1828800" cy="884143"/>
    <mc:AlternateContent xmlns:mc="http://schemas.openxmlformats.org/markup-compatibility/2006" xmlns:sle15="http://schemas.microsoft.com/office/drawing/2012/slicer">
      <mc:Choice Requires="sle15">
        <xdr:graphicFrame macro="">
          <xdr:nvGraphicFramePr>
            <xdr:cNvPr id="4" name="Year 2">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304800" y="2697257"/>
              <a:ext cx="1828800" cy="884143"/>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28584525" y="2371725"/>
    <xdr:ext cx="12755478" cy="1724025"/>
    <mc:AlternateContent xmlns:mc="http://schemas.openxmlformats.org/markup-compatibility/2006" xmlns:sle15="http://schemas.microsoft.com/office/drawing/2012/slicer">
      <mc:Choice Requires="sle15">
        <xdr:graphicFrame macro="">
          <xdr:nvGraphicFramePr>
            <xdr:cNvPr id="5" name="Items 2">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microsoft.com/office/drawing/2010/slicer">
              <sle:slicer xmlns:sle="http://schemas.microsoft.com/office/drawing/2010/slicer" name="Items 2"/>
            </a:graphicData>
          </a:graphic>
        </xdr:graphicFrame>
      </mc:Choice>
      <mc:Fallback xmlns="">
        <xdr:sp macro="" textlink="">
          <xdr:nvSpPr>
            <xdr:cNvPr id="0" name=""/>
            <xdr:cNvSpPr>
              <a:spLocks noTextEdit="1"/>
            </xdr:cNvSpPr>
          </xdr:nvSpPr>
          <xdr:spPr>
            <a:xfrm>
              <a:off x="28584525" y="2371725"/>
              <a:ext cx="12755478" cy="17240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xdr:from>
          <xdr:col>1</xdr:col>
          <xdr:colOff>447675</xdr:colOff>
          <xdr:row>4</xdr:row>
          <xdr:rowOff>9525</xdr:rowOff>
        </xdr:from>
        <xdr:to>
          <xdr:col>1</xdr:col>
          <xdr:colOff>1704975</xdr:colOff>
          <xdr:row>6</xdr:row>
          <xdr:rowOff>180975</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A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Liability Planning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8</xdr:row>
          <xdr:rowOff>19050</xdr:rowOff>
        </xdr:from>
        <xdr:to>
          <xdr:col>1</xdr:col>
          <xdr:colOff>1704975</xdr:colOff>
          <xdr:row>10</xdr:row>
          <xdr:rowOff>104775</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A00-000002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10</xdr:col>
      <xdr:colOff>714375</xdr:colOff>
      <xdr:row>1</xdr:row>
      <xdr:rowOff>0</xdr:rowOff>
    </xdr:from>
    <xdr:to>
      <xdr:col>12</xdr:col>
      <xdr:colOff>479284</xdr:colOff>
      <xdr:row>1</xdr:row>
      <xdr:rowOff>362618</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263D229C-8107-4954-8A94-9EE9794F686C}"/>
            </a:ext>
          </a:extLst>
        </xdr:cNvPr>
        <xdr:cNvSpPr/>
      </xdr:nvSpPr>
      <xdr:spPr>
        <a:xfrm>
          <a:off x="8810625" y="190500"/>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12</xdr:col>
      <xdr:colOff>575268</xdr:colOff>
      <xdr:row>1</xdr:row>
      <xdr:rowOff>0</xdr:rowOff>
    </xdr:from>
    <xdr:to>
      <xdr:col>13</xdr:col>
      <xdr:colOff>886280</xdr:colOff>
      <xdr:row>1</xdr:row>
      <xdr:rowOff>362618</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7FEDB5CA-34F2-47F0-AB45-A3293A3F1A92}"/>
            </a:ext>
          </a:extLst>
        </xdr:cNvPr>
        <xdr:cNvSpPr/>
      </xdr:nvSpPr>
      <xdr:spPr>
        <a:xfrm>
          <a:off x="10433643" y="190500"/>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16</xdr:col>
      <xdr:colOff>203126</xdr:colOff>
      <xdr:row>1</xdr:row>
      <xdr:rowOff>0</xdr:rowOff>
    </xdr:from>
    <xdr:to>
      <xdr:col>17</xdr:col>
      <xdr:colOff>917225</xdr:colOff>
      <xdr:row>1</xdr:row>
      <xdr:rowOff>362618</xdr:rowOff>
    </xdr:to>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C53F3E62-8837-4FFB-8CD2-87376A6529EA}"/>
            </a:ext>
          </a:extLst>
        </xdr:cNvPr>
        <xdr:cNvSpPr/>
      </xdr:nvSpPr>
      <xdr:spPr>
        <a:xfrm>
          <a:off x="13328576" y="19050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14</xdr:col>
      <xdr:colOff>67864</xdr:colOff>
      <xdr:row>1</xdr:row>
      <xdr:rowOff>0</xdr:rowOff>
    </xdr:from>
    <xdr:to>
      <xdr:col>16</xdr:col>
      <xdr:colOff>107143</xdr:colOff>
      <xdr:row>1</xdr:row>
      <xdr:rowOff>362618</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1064F623-4BA3-45A8-8509-5815C5E2712B}"/>
            </a:ext>
          </a:extLst>
        </xdr:cNvPr>
        <xdr:cNvSpPr/>
      </xdr:nvSpPr>
      <xdr:spPr>
        <a:xfrm>
          <a:off x="11755039" y="190500"/>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18</xdr:col>
      <xdr:colOff>541470</xdr:colOff>
      <xdr:row>1</xdr:row>
      <xdr:rowOff>0</xdr:rowOff>
    </xdr:from>
    <xdr:to>
      <xdr:col>20</xdr:col>
      <xdr:colOff>284019</xdr:colOff>
      <xdr:row>1</xdr:row>
      <xdr:rowOff>362618</xdr:rowOff>
    </xdr:to>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21D882AB-F698-4036-A7B4-EDFC08374BD1}"/>
            </a:ext>
          </a:extLst>
        </xdr:cNvPr>
        <xdr:cNvSpPr/>
      </xdr:nvSpPr>
      <xdr:spPr>
        <a:xfrm>
          <a:off x="15581445" y="19050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20</xdr:col>
      <xdr:colOff>365050</xdr:colOff>
      <xdr:row>1</xdr:row>
      <xdr:rowOff>0</xdr:rowOff>
    </xdr:from>
    <xdr:to>
      <xdr:col>22</xdr:col>
      <xdr:colOff>183799</xdr:colOff>
      <xdr:row>1</xdr:row>
      <xdr:rowOff>362618</xdr:rowOff>
    </xdr:to>
    <xdr:sp macro="" textlink="">
      <xdr:nvSpPr>
        <xdr:cNvPr id="11" name="Rectangle: Rounded Corners 10">
          <a:hlinkClick xmlns:r="http://schemas.openxmlformats.org/officeDocument/2006/relationships" r:id="rId6"/>
          <a:extLst>
            <a:ext uri="{FF2B5EF4-FFF2-40B4-BE49-F238E27FC236}">
              <a16:creationId xmlns:a16="http://schemas.microsoft.com/office/drawing/2014/main" id="{79290B05-E812-4E77-AD0B-D38465FB9DA9}"/>
            </a:ext>
          </a:extLst>
        </xdr:cNvPr>
        <xdr:cNvSpPr/>
      </xdr:nvSpPr>
      <xdr:spPr>
        <a:xfrm>
          <a:off x="17138575" y="19050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twoCellAnchor>
    <xdr:from>
      <xdr:col>22</xdr:col>
      <xdr:colOff>264831</xdr:colOff>
      <xdr:row>1</xdr:row>
      <xdr:rowOff>0</xdr:rowOff>
    </xdr:from>
    <xdr:to>
      <xdr:col>23</xdr:col>
      <xdr:colOff>938834</xdr:colOff>
      <xdr:row>1</xdr:row>
      <xdr:rowOff>362618</xdr:rowOff>
    </xdr:to>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FF7DA090-AA84-4345-A6CF-471B7A7AF4CE}"/>
            </a:ext>
          </a:extLst>
        </xdr:cNvPr>
        <xdr:cNvSpPr/>
      </xdr:nvSpPr>
      <xdr:spPr>
        <a:xfrm>
          <a:off x="18695706" y="190500"/>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Expense</a:t>
          </a:r>
          <a:r>
            <a:rPr lang="en-CA" sz="1400" b="1" baseline="0">
              <a:solidFill>
                <a:schemeClr val="accent4">
                  <a:lumMod val="50000"/>
                </a:schemeClr>
              </a:solidFill>
            </a:rPr>
            <a:t> Planning</a:t>
          </a:r>
          <a:endParaRPr lang="en-CA" sz="1400" b="1">
            <a:solidFill>
              <a:schemeClr val="accent4">
                <a:lumMod val="50000"/>
              </a:schemeClr>
            </a:solidFill>
          </a:endParaRPr>
        </a:p>
      </xdr:txBody>
    </xdr:sp>
    <xdr:clientData/>
  </xdr:twoCellAnchor>
</xdr:wsDr>
</file>

<file path=xl/drawings/drawing9.xml><?xml version="1.0" encoding="utf-8"?>
<xdr:wsDr xmlns:xdr="http://schemas.openxmlformats.org/drawingml/2006/spreadsheetDrawing" xmlns:a="http://schemas.openxmlformats.org/drawingml/2006/main">
  <xdr:absoluteAnchor>
    <xdr:pos x="295275" y="3343275"/>
    <xdr:ext cx="1828800" cy="1495425"/>
    <mc:AlternateContent xmlns:mc="http://schemas.openxmlformats.org/markup-compatibility/2006" xmlns:sle15="http://schemas.microsoft.com/office/drawing/2012/slicer">
      <mc:Choice Requires="sle15">
        <xdr:graphicFrame macro="">
          <xdr:nvGraphicFramePr>
            <xdr:cNvPr id="2" name="Type 4">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Type 4"/>
            </a:graphicData>
          </a:graphic>
        </xdr:graphicFrame>
      </mc:Choice>
      <mc:Fallback xmlns="">
        <xdr:sp macro="" textlink="">
          <xdr:nvSpPr>
            <xdr:cNvPr id="0" name=""/>
            <xdr:cNvSpPr>
              <a:spLocks noTextEdit="1"/>
            </xdr:cNvSpPr>
          </xdr:nvSpPr>
          <xdr:spPr>
            <a:xfrm>
              <a:off x="295275" y="3343275"/>
              <a:ext cx="1828800" cy="14954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33375" y="4953000"/>
    <xdr:ext cx="1828800" cy="1382806"/>
    <mc:AlternateContent xmlns:mc="http://schemas.openxmlformats.org/markup-compatibility/2006" xmlns:sle15="http://schemas.microsoft.com/office/drawing/2012/slicer">
      <mc:Choice Requires="sle15">
        <xdr:graphicFrame macro="">
          <xdr:nvGraphicFramePr>
            <xdr:cNvPr id="3" name="PRIO 3">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PRIO 3"/>
            </a:graphicData>
          </a:graphic>
        </xdr:graphicFrame>
      </mc:Choice>
      <mc:Fallback xmlns="">
        <xdr:sp macro="" textlink="">
          <xdr:nvSpPr>
            <xdr:cNvPr id="0" name=""/>
            <xdr:cNvSpPr>
              <a:spLocks noTextEdit="1"/>
            </xdr:cNvSpPr>
          </xdr:nvSpPr>
          <xdr:spPr>
            <a:xfrm>
              <a:off x="333375" y="4953000"/>
              <a:ext cx="1828800" cy="138280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295275" y="2268632"/>
    <xdr:ext cx="1828800" cy="884143"/>
    <mc:AlternateContent xmlns:mc="http://schemas.openxmlformats.org/markup-compatibility/2006" xmlns:sle15="http://schemas.microsoft.com/office/drawing/2012/slicer">
      <mc:Choice Requires="sle15">
        <xdr:graphicFrame macro="">
          <xdr:nvGraphicFramePr>
            <xdr:cNvPr id="4" name="Year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295275" y="2268632"/>
              <a:ext cx="1828800" cy="884143"/>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28584525" y="2371725"/>
    <xdr:ext cx="12755478" cy="1724025"/>
    <mc:AlternateContent xmlns:mc="http://schemas.openxmlformats.org/markup-compatibility/2006" xmlns:sle15="http://schemas.microsoft.com/office/drawing/2012/slicer">
      <mc:Choice Requires="sle15">
        <xdr:graphicFrame macro="">
          <xdr:nvGraphicFramePr>
            <xdr:cNvPr id="5" name="Items 3">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Items 3"/>
            </a:graphicData>
          </a:graphic>
        </xdr:graphicFrame>
      </mc:Choice>
      <mc:Fallback xmlns="">
        <xdr:sp macro="" textlink="">
          <xdr:nvSpPr>
            <xdr:cNvPr id="0" name=""/>
            <xdr:cNvSpPr>
              <a:spLocks noTextEdit="1"/>
            </xdr:cNvSpPr>
          </xdr:nvSpPr>
          <xdr:spPr>
            <a:xfrm>
              <a:off x="28584525" y="2371725"/>
              <a:ext cx="12755478" cy="17240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xdr:from>
          <xdr:col>1</xdr:col>
          <xdr:colOff>504825</xdr:colOff>
          <xdr:row>3</xdr:row>
          <xdr:rowOff>190500</xdr:rowOff>
        </xdr:from>
        <xdr:to>
          <xdr:col>1</xdr:col>
          <xdr:colOff>1724025</xdr:colOff>
          <xdr:row>6</xdr:row>
          <xdr:rowOff>66675</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0B00-000002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11</xdr:col>
      <xdr:colOff>438150</xdr:colOff>
      <xdr:row>1</xdr:row>
      <xdr:rowOff>47625</xdr:rowOff>
    </xdr:from>
    <xdr:to>
      <xdr:col>12</xdr:col>
      <xdr:colOff>904875</xdr:colOff>
      <xdr:row>2</xdr:row>
      <xdr:rowOff>10193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C0A23123-3A2E-41E6-B3D0-865473986B24}"/>
            </a:ext>
          </a:extLst>
        </xdr:cNvPr>
        <xdr:cNvSpPr/>
      </xdr:nvSpPr>
      <xdr:spPr>
        <a:xfrm>
          <a:off x="10467975" y="238125"/>
          <a:ext cx="1514475"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12</xdr:col>
      <xdr:colOff>1002022</xdr:colOff>
      <xdr:row>1</xdr:row>
      <xdr:rowOff>47625</xdr:rowOff>
    </xdr:from>
    <xdr:to>
      <xdr:col>14</xdr:col>
      <xdr:colOff>141004</xdr:colOff>
      <xdr:row>2</xdr:row>
      <xdr:rowOff>10193</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EB337D4E-819E-4524-BF04-31D9A9E564EF}"/>
            </a:ext>
          </a:extLst>
        </xdr:cNvPr>
        <xdr:cNvSpPr/>
      </xdr:nvSpPr>
      <xdr:spPr>
        <a:xfrm>
          <a:off x="9183997" y="238125"/>
          <a:ext cx="123448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15</xdr:col>
      <xdr:colOff>660326</xdr:colOff>
      <xdr:row>1</xdr:row>
      <xdr:rowOff>47625</xdr:rowOff>
    </xdr:from>
    <xdr:to>
      <xdr:col>17</xdr:col>
      <xdr:colOff>171450</xdr:colOff>
      <xdr:row>2</xdr:row>
      <xdr:rowOff>10193</xdr:rowOff>
    </xdr:to>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933DF4BE-E9B1-4BDE-A32D-2674D7A82877}"/>
            </a:ext>
          </a:extLst>
        </xdr:cNvPr>
        <xdr:cNvSpPr/>
      </xdr:nvSpPr>
      <xdr:spPr>
        <a:xfrm>
          <a:off x="11985551" y="238125"/>
          <a:ext cx="160662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14</xdr:col>
      <xdr:colOff>238151</xdr:colOff>
      <xdr:row>1</xdr:row>
      <xdr:rowOff>47625</xdr:rowOff>
    </xdr:from>
    <xdr:to>
      <xdr:col>15</xdr:col>
      <xdr:colOff>563180</xdr:colOff>
      <xdr:row>2</xdr:row>
      <xdr:rowOff>10193</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B95A0902-22A2-4236-9835-EAC3D7695EAA}"/>
            </a:ext>
          </a:extLst>
        </xdr:cNvPr>
        <xdr:cNvSpPr/>
      </xdr:nvSpPr>
      <xdr:spPr>
        <a:xfrm>
          <a:off x="10515626" y="238125"/>
          <a:ext cx="137277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18</xdr:col>
      <xdr:colOff>427170</xdr:colOff>
      <xdr:row>1</xdr:row>
      <xdr:rowOff>47625</xdr:rowOff>
    </xdr:from>
    <xdr:to>
      <xdr:col>20</xdr:col>
      <xdr:colOff>379269</xdr:colOff>
      <xdr:row>2</xdr:row>
      <xdr:rowOff>10193</xdr:rowOff>
    </xdr:to>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37CEA8C2-4B1A-461D-B72B-63271631F120}"/>
            </a:ext>
          </a:extLst>
        </xdr:cNvPr>
        <xdr:cNvSpPr/>
      </xdr:nvSpPr>
      <xdr:spPr>
        <a:xfrm>
          <a:off x="14552745" y="2381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20</xdr:col>
      <xdr:colOff>460300</xdr:colOff>
      <xdr:row>1</xdr:row>
      <xdr:rowOff>47625</xdr:rowOff>
    </xdr:from>
    <xdr:to>
      <xdr:col>22</xdr:col>
      <xdr:colOff>107599</xdr:colOff>
      <xdr:row>2</xdr:row>
      <xdr:rowOff>10193</xdr:rowOff>
    </xdr:to>
    <xdr:sp macro="" textlink="">
      <xdr:nvSpPr>
        <xdr:cNvPr id="11" name="Rectangle: Rounded Corners 10">
          <a:hlinkClick xmlns:r="http://schemas.openxmlformats.org/officeDocument/2006/relationships" r:id="rId6"/>
          <a:extLst>
            <a:ext uri="{FF2B5EF4-FFF2-40B4-BE49-F238E27FC236}">
              <a16:creationId xmlns:a16="http://schemas.microsoft.com/office/drawing/2014/main" id="{C9523BD9-A9A8-47B3-B696-A49AC733DC8D}"/>
            </a:ext>
          </a:extLst>
        </xdr:cNvPr>
        <xdr:cNvSpPr/>
      </xdr:nvSpPr>
      <xdr:spPr>
        <a:xfrm>
          <a:off x="16109875" y="2381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twoCellAnchor>
    <xdr:from>
      <xdr:col>22</xdr:col>
      <xdr:colOff>188631</xdr:colOff>
      <xdr:row>1</xdr:row>
      <xdr:rowOff>47625</xdr:rowOff>
    </xdr:from>
    <xdr:to>
      <xdr:col>23</xdr:col>
      <xdr:colOff>862634</xdr:colOff>
      <xdr:row>2</xdr:row>
      <xdr:rowOff>10193</xdr:rowOff>
    </xdr:to>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DF2C918A-4DA0-4D78-A1F0-A78DDB56498D}"/>
            </a:ext>
          </a:extLst>
        </xdr:cNvPr>
        <xdr:cNvSpPr/>
      </xdr:nvSpPr>
      <xdr:spPr>
        <a:xfrm>
          <a:off x="17667006" y="238125"/>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Expense</a:t>
          </a:r>
          <a:r>
            <a:rPr lang="en-CA" sz="1400" b="1" baseline="0">
              <a:solidFill>
                <a:schemeClr val="accent4">
                  <a:lumMod val="50000"/>
                </a:schemeClr>
              </a:solidFill>
            </a:rPr>
            <a:t> Planning</a:t>
          </a:r>
          <a:endParaRPr lang="en-CA" sz="1400" b="1">
            <a:solidFill>
              <a:schemeClr val="accent4">
                <a:lumMod val="50000"/>
              </a:schemeClr>
            </a:solidFill>
          </a:endParaRPr>
        </a:p>
      </xdr:txBody>
    </xdr:sp>
    <xdr:clientData/>
  </xdr:twoCellAnchor>
</xdr:wsDr>
</file>

<file path=xl/drawings/drawing10.xml><?xml version="1.0" encoding="utf-8"?>
<xdr:wsDr xmlns:xdr="http://schemas.openxmlformats.org/drawingml/2006/spreadsheetDrawing" xmlns:a="http://schemas.openxmlformats.org/drawingml/2006/main">
  <xdr:absoluteAnchor>
    <xdr:pos x="295275" y="3790950"/>
    <xdr:ext cx="1828800" cy="1495425"/>
    <mc:AlternateContent xmlns:mc="http://schemas.openxmlformats.org/markup-compatibility/2006" xmlns:sle15="http://schemas.microsoft.com/office/drawing/2012/slicer">
      <mc:Choice Requires="sle15">
        <xdr:graphicFrame macro="">
          <xdr:nvGraphicFramePr>
            <xdr:cNvPr id="2" name="Type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295275" y="3790950"/>
              <a:ext cx="1828800" cy="14954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33375" y="5400675"/>
    <xdr:ext cx="1828800" cy="1382806"/>
    <mc:AlternateContent xmlns:mc="http://schemas.openxmlformats.org/markup-compatibility/2006" xmlns:sle15="http://schemas.microsoft.com/office/drawing/2012/slicer">
      <mc:Choice Requires="sle15">
        <xdr:graphicFrame macro="">
          <xdr:nvGraphicFramePr>
            <xdr:cNvPr id="3" name="PRIO">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PRIO"/>
            </a:graphicData>
          </a:graphic>
        </xdr:graphicFrame>
      </mc:Choice>
      <mc:Fallback xmlns="">
        <xdr:sp macro="" textlink="">
          <xdr:nvSpPr>
            <xdr:cNvPr id="0" name=""/>
            <xdr:cNvSpPr>
              <a:spLocks noTextEdit="1"/>
            </xdr:cNvSpPr>
          </xdr:nvSpPr>
          <xdr:spPr>
            <a:xfrm>
              <a:off x="333375" y="5400675"/>
              <a:ext cx="1828800" cy="138280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xdr:from>
          <xdr:col>1</xdr:col>
          <xdr:colOff>514350</xdr:colOff>
          <xdr:row>4</xdr:row>
          <xdr:rowOff>19050</xdr:rowOff>
        </xdr:from>
        <xdr:to>
          <xdr:col>1</xdr:col>
          <xdr:colOff>1800225</xdr:colOff>
          <xdr:row>7</xdr:row>
          <xdr:rowOff>123825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0C00-000001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Expense Planning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514350</xdr:colOff>
          <xdr:row>8</xdr:row>
          <xdr:rowOff>123825</xdr:rowOff>
        </xdr:from>
        <xdr:to>
          <xdr:col>1</xdr:col>
          <xdr:colOff>1733550</xdr:colOff>
          <xdr:row>11</xdr:row>
          <xdr:rowOff>9525</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0C00-000002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11</xdr:col>
      <xdr:colOff>114300</xdr:colOff>
      <xdr:row>1</xdr:row>
      <xdr:rowOff>57150</xdr:rowOff>
    </xdr:from>
    <xdr:to>
      <xdr:col>12</xdr:col>
      <xdr:colOff>593584</xdr:colOff>
      <xdr:row>2</xdr:row>
      <xdr:rowOff>19718</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D0183D32-7F75-42E7-A5A6-44B6E284B597}"/>
            </a:ext>
          </a:extLst>
        </xdr:cNvPr>
        <xdr:cNvSpPr/>
      </xdr:nvSpPr>
      <xdr:spPr>
        <a:xfrm>
          <a:off x="8610600" y="247650"/>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12</xdr:col>
      <xdr:colOff>689568</xdr:colOff>
      <xdr:row>1</xdr:row>
      <xdr:rowOff>57150</xdr:rowOff>
    </xdr:from>
    <xdr:to>
      <xdr:col>13</xdr:col>
      <xdr:colOff>867230</xdr:colOff>
      <xdr:row>2</xdr:row>
      <xdr:rowOff>19718</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74A01CE4-E50F-476C-99AA-F1D79F4DDE41}"/>
            </a:ext>
          </a:extLst>
        </xdr:cNvPr>
        <xdr:cNvSpPr/>
      </xdr:nvSpPr>
      <xdr:spPr>
        <a:xfrm>
          <a:off x="10233618" y="247650"/>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15</xdr:col>
      <xdr:colOff>441251</xdr:colOff>
      <xdr:row>1</xdr:row>
      <xdr:rowOff>57150</xdr:rowOff>
    </xdr:from>
    <xdr:to>
      <xdr:col>16</xdr:col>
      <xdr:colOff>869600</xdr:colOff>
      <xdr:row>2</xdr:row>
      <xdr:rowOff>19718</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E675833F-DF40-4DF6-84A8-83C139DB9868}"/>
            </a:ext>
          </a:extLst>
        </xdr:cNvPr>
        <xdr:cNvSpPr/>
      </xdr:nvSpPr>
      <xdr:spPr>
        <a:xfrm>
          <a:off x="13128551" y="24765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13</xdr:col>
      <xdr:colOff>963214</xdr:colOff>
      <xdr:row>1</xdr:row>
      <xdr:rowOff>57150</xdr:rowOff>
    </xdr:from>
    <xdr:to>
      <xdr:col>15</xdr:col>
      <xdr:colOff>345268</xdr:colOff>
      <xdr:row>2</xdr:row>
      <xdr:rowOff>19718</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C8F58BEF-C8C7-4CB2-854F-ECB24C794094}"/>
            </a:ext>
          </a:extLst>
        </xdr:cNvPr>
        <xdr:cNvSpPr/>
      </xdr:nvSpPr>
      <xdr:spPr>
        <a:xfrm>
          <a:off x="11555014" y="247650"/>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17</xdr:col>
      <xdr:colOff>598620</xdr:colOff>
      <xdr:row>1</xdr:row>
      <xdr:rowOff>57150</xdr:rowOff>
    </xdr:from>
    <xdr:to>
      <xdr:col>18</xdr:col>
      <xdr:colOff>1026969</xdr:colOff>
      <xdr:row>2</xdr:row>
      <xdr:rowOff>19718</xdr:rowOff>
    </xdr:to>
    <xdr:sp macro="" textlink="">
      <xdr:nvSpPr>
        <xdr:cNvPr id="13" name="Rectangle: Rounded Corners 12">
          <a:hlinkClick xmlns:r="http://schemas.openxmlformats.org/officeDocument/2006/relationships" r:id="rId5"/>
          <a:extLst>
            <a:ext uri="{FF2B5EF4-FFF2-40B4-BE49-F238E27FC236}">
              <a16:creationId xmlns:a16="http://schemas.microsoft.com/office/drawing/2014/main" id="{36B4D393-0DCD-4A00-B26A-68AAF87FEEBE}"/>
            </a:ext>
          </a:extLst>
        </xdr:cNvPr>
        <xdr:cNvSpPr/>
      </xdr:nvSpPr>
      <xdr:spPr>
        <a:xfrm>
          <a:off x="15381420" y="24765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19</xdr:col>
      <xdr:colOff>60250</xdr:colOff>
      <xdr:row>1</xdr:row>
      <xdr:rowOff>57150</xdr:rowOff>
    </xdr:from>
    <xdr:to>
      <xdr:col>20</xdr:col>
      <xdr:colOff>488599</xdr:colOff>
      <xdr:row>2</xdr:row>
      <xdr:rowOff>19718</xdr:rowOff>
    </xdr:to>
    <xdr:sp macro="" textlink="">
      <xdr:nvSpPr>
        <xdr:cNvPr id="14" name="Rectangle: Rounded Corners 13">
          <a:hlinkClick xmlns:r="http://schemas.openxmlformats.org/officeDocument/2006/relationships" r:id="rId6"/>
          <a:extLst>
            <a:ext uri="{FF2B5EF4-FFF2-40B4-BE49-F238E27FC236}">
              <a16:creationId xmlns:a16="http://schemas.microsoft.com/office/drawing/2014/main" id="{A5D9B031-D6D2-4DB0-A523-4D48C3F67BB7}"/>
            </a:ext>
          </a:extLst>
        </xdr:cNvPr>
        <xdr:cNvSpPr/>
      </xdr:nvSpPr>
      <xdr:spPr>
        <a:xfrm>
          <a:off x="16938550" y="24765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Liability Planning</a:t>
          </a:r>
        </a:p>
      </xdr:txBody>
    </xdr:sp>
    <xdr:clientData/>
  </xdr:twoCellAnchor>
  <xdr:twoCellAnchor>
    <xdr:from>
      <xdr:col>20</xdr:col>
      <xdr:colOff>569631</xdr:colOff>
      <xdr:row>1</xdr:row>
      <xdr:rowOff>57150</xdr:rowOff>
    </xdr:from>
    <xdr:to>
      <xdr:col>22</xdr:col>
      <xdr:colOff>62534</xdr:colOff>
      <xdr:row>2</xdr:row>
      <xdr:rowOff>19718</xdr:rowOff>
    </xdr:to>
    <xdr:sp macro="" textlink="">
      <xdr:nvSpPr>
        <xdr:cNvPr id="15" name="Rectangle: Rounded Corners 14">
          <a:hlinkClick xmlns:r="http://schemas.openxmlformats.org/officeDocument/2006/relationships" r:id="rId7"/>
          <a:extLst>
            <a:ext uri="{FF2B5EF4-FFF2-40B4-BE49-F238E27FC236}">
              <a16:creationId xmlns:a16="http://schemas.microsoft.com/office/drawing/2014/main" id="{C8EDF3A8-00E5-436B-BBD8-56809BA8CC9A}"/>
            </a:ext>
          </a:extLst>
        </xdr:cNvPr>
        <xdr:cNvSpPr/>
      </xdr:nvSpPr>
      <xdr:spPr>
        <a:xfrm>
          <a:off x="18495681" y="247650"/>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4</xdr:row>
          <xdr:rowOff>19050</xdr:rowOff>
        </xdr:from>
        <xdr:to>
          <xdr:col>2</xdr:col>
          <xdr:colOff>695325</xdr:colOff>
          <xdr:row>7</xdr:row>
          <xdr:rowOff>9525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D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Shopping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8</xdr:row>
          <xdr:rowOff>28575</xdr:rowOff>
        </xdr:from>
        <xdr:to>
          <xdr:col>2</xdr:col>
          <xdr:colOff>704850</xdr:colOff>
          <xdr:row>10</xdr:row>
          <xdr:rowOff>114300</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0D00-000002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9</xdr:col>
      <xdr:colOff>1371600</xdr:colOff>
      <xdr:row>1</xdr:row>
      <xdr:rowOff>9525</xdr:rowOff>
    </xdr:from>
    <xdr:to>
      <xdr:col>10</xdr:col>
      <xdr:colOff>650734</xdr:colOff>
      <xdr:row>1</xdr:row>
      <xdr:rowOff>372143</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6117B3E-1425-4ACE-A18E-A0CE8C4553D7}"/>
            </a:ext>
          </a:extLst>
        </xdr:cNvPr>
        <xdr:cNvSpPr/>
      </xdr:nvSpPr>
      <xdr:spPr>
        <a:xfrm>
          <a:off x="6496050" y="200025"/>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10</xdr:col>
      <xdr:colOff>746718</xdr:colOff>
      <xdr:row>1</xdr:row>
      <xdr:rowOff>9525</xdr:rowOff>
    </xdr:from>
    <xdr:to>
      <xdr:col>11</xdr:col>
      <xdr:colOff>229055</xdr:colOff>
      <xdr:row>1</xdr:row>
      <xdr:rowOff>372143</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7B4255F9-B458-4CFB-ACDF-1BF1271F5A36}"/>
            </a:ext>
          </a:extLst>
        </xdr:cNvPr>
        <xdr:cNvSpPr/>
      </xdr:nvSpPr>
      <xdr:spPr>
        <a:xfrm>
          <a:off x="8119068" y="200025"/>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11</xdr:col>
      <xdr:colOff>1898576</xdr:colOff>
      <xdr:row>1</xdr:row>
      <xdr:rowOff>9525</xdr:rowOff>
    </xdr:from>
    <xdr:to>
      <xdr:col>13</xdr:col>
      <xdr:colOff>745775</xdr:colOff>
      <xdr:row>1</xdr:row>
      <xdr:rowOff>372143</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F7616E43-816A-4B13-9E59-C9EBAE59462C}"/>
            </a:ext>
          </a:extLst>
        </xdr:cNvPr>
        <xdr:cNvSpPr/>
      </xdr:nvSpPr>
      <xdr:spPr>
        <a:xfrm>
          <a:off x="11014001" y="2000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11</xdr:col>
      <xdr:colOff>325039</xdr:colOff>
      <xdr:row>1</xdr:row>
      <xdr:rowOff>9525</xdr:rowOff>
    </xdr:from>
    <xdr:to>
      <xdr:col>11</xdr:col>
      <xdr:colOff>1802593</xdr:colOff>
      <xdr:row>1</xdr:row>
      <xdr:rowOff>372143</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4B542278-DBF7-4AA6-9373-A5382F641112}"/>
            </a:ext>
          </a:extLst>
        </xdr:cNvPr>
        <xdr:cNvSpPr/>
      </xdr:nvSpPr>
      <xdr:spPr>
        <a:xfrm>
          <a:off x="9440464" y="200025"/>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14</xdr:col>
      <xdr:colOff>150945</xdr:colOff>
      <xdr:row>1</xdr:row>
      <xdr:rowOff>9525</xdr:rowOff>
    </xdr:from>
    <xdr:to>
      <xdr:col>15</xdr:col>
      <xdr:colOff>474519</xdr:colOff>
      <xdr:row>1</xdr:row>
      <xdr:rowOff>372143</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6934B4F1-3FD0-4A4E-8F34-F70452BD3D57}"/>
            </a:ext>
          </a:extLst>
        </xdr:cNvPr>
        <xdr:cNvSpPr/>
      </xdr:nvSpPr>
      <xdr:spPr>
        <a:xfrm>
          <a:off x="13266870" y="2000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15</xdr:col>
      <xdr:colOff>555550</xdr:colOff>
      <xdr:row>1</xdr:row>
      <xdr:rowOff>9525</xdr:rowOff>
    </xdr:from>
    <xdr:to>
      <xdr:col>16</xdr:col>
      <xdr:colOff>364774</xdr:colOff>
      <xdr:row>1</xdr:row>
      <xdr:rowOff>372143</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EFF39414-2180-44E2-A850-328B1A5DF99F}"/>
            </a:ext>
          </a:extLst>
        </xdr:cNvPr>
        <xdr:cNvSpPr/>
      </xdr:nvSpPr>
      <xdr:spPr>
        <a:xfrm>
          <a:off x="14824000" y="2000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twoCellAnchor>
    <xdr:from>
      <xdr:col>16</xdr:col>
      <xdr:colOff>445806</xdr:colOff>
      <xdr:row>1</xdr:row>
      <xdr:rowOff>9525</xdr:rowOff>
    </xdr:from>
    <xdr:to>
      <xdr:col>17</xdr:col>
      <xdr:colOff>1253159</xdr:colOff>
      <xdr:row>1</xdr:row>
      <xdr:rowOff>372143</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EAE5583E-E2EC-40E7-BCD3-17222ABA8711}"/>
            </a:ext>
          </a:extLst>
        </xdr:cNvPr>
        <xdr:cNvSpPr/>
      </xdr:nvSpPr>
      <xdr:spPr>
        <a:xfrm>
          <a:off x="16381131" y="200025"/>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Expense</a:t>
          </a:r>
          <a:r>
            <a:rPr lang="en-CA" sz="1400" b="1" baseline="0">
              <a:solidFill>
                <a:schemeClr val="accent4">
                  <a:lumMod val="50000"/>
                </a:schemeClr>
              </a:solidFill>
            </a:rPr>
            <a:t> Planning</a:t>
          </a:r>
          <a:endParaRPr lang="en-CA" sz="1400" b="1">
            <a:solidFill>
              <a:schemeClr val="accent4">
                <a:lumMod val="50000"/>
              </a:schemeClr>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570045</xdr:colOff>
      <xdr:row>0</xdr:row>
      <xdr:rowOff>95250</xdr:rowOff>
    </xdr:from>
    <xdr:to>
      <xdr:col>9</xdr:col>
      <xdr:colOff>1104900</xdr:colOff>
      <xdr:row>1</xdr:row>
      <xdr:rowOff>563880</xdr:rowOff>
    </xdr:to>
    <xdr:sp macro="" textlink="">
      <xdr:nvSpPr>
        <xdr:cNvPr id="8" name="Rectangle: Rounded Corners 7">
          <a:hlinkClick xmlns:r="http://schemas.openxmlformats.org/officeDocument/2006/relationships" r:id="rId1"/>
          <a:extLst>
            <a:ext uri="{FF2B5EF4-FFF2-40B4-BE49-F238E27FC236}">
              <a16:creationId xmlns:a16="http://schemas.microsoft.com/office/drawing/2014/main" id="{D2B107D3-2B54-43E9-A2FA-E7B288FF0462}"/>
            </a:ext>
          </a:extLst>
        </xdr:cNvPr>
        <xdr:cNvSpPr/>
      </xdr:nvSpPr>
      <xdr:spPr>
        <a:xfrm>
          <a:off x="7494720" y="95250"/>
          <a:ext cx="1144455" cy="64008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2</xdr:col>
      <xdr:colOff>2371725</xdr:colOff>
      <xdr:row>0</xdr:row>
      <xdr:rowOff>95250</xdr:rowOff>
    </xdr:from>
    <xdr:to>
      <xdr:col>4</xdr:col>
      <xdr:colOff>38100</xdr:colOff>
      <xdr:row>1</xdr:row>
      <xdr:rowOff>563880</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99B309DA-1ED5-4B40-93A2-92DAA7A7FFE6}"/>
            </a:ext>
          </a:extLst>
        </xdr:cNvPr>
        <xdr:cNvSpPr/>
      </xdr:nvSpPr>
      <xdr:spPr>
        <a:xfrm>
          <a:off x="2619375" y="95250"/>
          <a:ext cx="1047750" cy="64008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5</xdr:col>
      <xdr:colOff>500007</xdr:colOff>
      <xdr:row>0</xdr:row>
      <xdr:rowOff>95250</xdr:rowOff>
    </xdr:from>
    <xdr:to>
      <xdr:col>6</xdr:col>
      <xdr:colOff>661970</xdr:colOff>
      <xdr:row>1</xdr:row>
      <xdr:rowOff>563880</xdr:rowOff>
    </xdr:to>
    <xdr:sp macro="" textlink="">
      <xdr:nvSpPr>
        <xdr:cNvPr id="3" name="Rectangle: Rounded Corners 2">
          <a:hlinkClick xmlns:r="http://schemas.openxmlformats.org/officeDocument/2006/relationships" r:id="rId3"/>
          <a:extLst>
            <a:ext uri="{FF2B5EF4-FFF2-40B4-BE49-F238E27FC236}">
              <a16:creationId xmlns:a16="http://schemas.microsoft.com/office/drawing/2014/main" id="{289ABDA5-D0FB-4572-B9FF-01A937AF8E34}"/>
            </a:ext>
          </a:extLst>
        </xdr:cNvPr>
        <xdr:cNvSpPr/>
      </xdr:nvSpPr>
      <xdr:spPr>
        <a:xfrm>
          <a:off x="4814832" y="95250"/>
          <a:ext cx="895388" cy="64008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6</xdr:col>
      <xdr:colOff>812728</xdr:colOff>
      <xdr:row>0</xdr:row>
      <xdr:rowOff>95250</xdr:rowOff>
    </xdr:from>
    <xdr:to>
      <xdr:col>7</xdr:col>
      <xdr:colOff>990601</xdr:colOff>
      <xdr:row>1</xdr:row>
      <xdr:rowOff>563880</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6BD63AF-6E24-454D-99D3-5F5044698FF8}"/>
            </a:ext>
          </a:extLst>
        </xdr:cNvPr>
        <xdr:cNvSpPr/>
      </xdr:nvSpPr>
      <xdr:spPr>
        <a:xfrm>
          <a:off x="5860978" y="95250"/>
          <a:ext cx="1025598" cy="64008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a:t>
          </a:r>
        </a:p>
        <a:p>
          <a:pPr algn="ctr"/>
          <a:r>
            <a:rPr lang="en-CA" sz="1400" b="1">
              <a:solidFill>
                <a:schemeClr val="accent4">
                  <a:lumMod val="50000"/>
                </a:schemeClr>
              </a:solidFill>
            </a:rPr>
            <a:t>Ledger</a:t>
          </a:r>
        </a:p>
      </xdr:txBody>
    </xdr:sp>
    <xdr:clientData/>
  </xdr:twoCellAnchor>
  <xdr:twoCellAnchor>
    <xdr:from>
      <xdr:col>4</xdr:col>
      <xdr:colOff>188857</xdr:colOff>
      <xdr:row>0</xdr:row>
      <xdr:rowOff>95250</xdr:rowOff>
    </xdr:from>
    <xdr:to>
      <xdr:col>5</xdr:col>
      <xdr:colOff>349250</xdr:colOff>
      <xdr:row>1</xdr:row>
      <xdr:rowOff>563880</xdr:rowOff>
    </xdr:to>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E24FF710-C22B-4DA3-9AED-1A065CA94B79}"/>
            </a:ext>
          </a:extLst>
        </xdr:cNvPr>
        <xdr:cNvSpPr/>
      </xdr:nvSpPr>
      <xdr:spPr>
        <a:xfrm>
          <a:off x="3817882" y="95250"/>
          <a:ext cx="846193" cy="64008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Journal</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my_toolbox\projects\Budget\Personal%20Budgets\2025\MyBudget_2025(with%20marcros).xlsm" TargetMode="External"/><Relationship Id="rId1" Type="http://schemas.openxmlformats.org/officeDocument/2006/relationships/externalLinkPath" Target="/my_toolbox/projects/Budget/Personal%20Budgets/2025/MyBudget_2025(with%20mar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itlePage"/>
      <sheetName val="Dashboard"/>
      <sheetName val="Exp_Append_Short"/>
      <sheetName val="DashCalculations"/>
      <sheetName val="Journal"/>
      <sheetName val="BalanceCalc"/>
      <sheetName val="AcctRef"/>
      <sheetName val="Trial Balance"/>
      <sheetName val="Account_Ledgers"/>
      <sheetName val="Personal Financial Statement 04"/>
      <sheetName val="Asset Planning"/>
      <sheetName val="Liability_Planning"/>
      <sheetName val="Income_Planning"/>
      <sheetName val="Expense Planning"/>
      <sheetName val="Shopping List"/>
      <sheetName val="MyBudget_2025(with marcros)"/>
    </sheetNames>
    <definedNames>
      <definedName name="Refresh_Summary"/>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Michael Kubisewsky" id="{1B8C5D95-2EA6-4634-B281-8E798B6A72A4}" userId="8d6f6fc8f269edf4"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Kubisewsky" refreshedDate="45591.270132291669" createdVersion="8" refreshedVersion="8" minRefreshableVersion="3" recordCount="1667" xr:uid="{863D610E-C819-4D26-93E2-C615C5009450}">
  <cacheSource type="worksheet">
    <worksheetSource name="Summary_All"/>
  </cacheSource>
  <cacheFields count="7">
    <cacheField name="Source" numFmtId="0">
      <sharedItems containsBlank="1" count="6">
        <s v="Actual"/>
        <s v="Exp_Plan"/>
        <s v="Inc_Plan"/>
        <s v="Shop_List"/>
        <s v="Lia_Plan"/>
        <m u="1"/>
      </sharedItems>
    </cacheField>
    <cacheField name="Date" numFmtId="0">
      <sharedItems containsBlank="1" count="13">
        <s v="Apr"/>
        <s v="Aug"/>
        <s v="Dec"/>
        <s v="Feb"/>
        <s v="Jan"/>
        <s v="Jul"/>
        <s v="Jun"/>
        <s v="Mar"/>
        <s v="May"/>
        <s v="Nov"/>
        <s v="Oct"/>
        <s v="Sep"/>
        <m u="1"/>
      </sharedItems>
    </cacheField>
    <cacheField name="Item" numFmtId="0">
      <sharedItems containsBlank="1" count="121">
        <s v="donation yuumei"/>
        <s v="movies"/>
        <s v="retro expense payments"/>
        <s v="rent"/>
        <s v="act out food"/>
        <s v="groceries"/>
        <s v="sub yt premium"/>
        <s v="act out sex"/>
        <s v="takeout/restaurant"/>
        <s v="life insurance expense"/>
        <s v="tax refund"/>
        <s v="donation wikipedia"/>
        <s v="sub kindle"/>
        <s v="Sub chatGPT"/>
        <s v="computer peripherals"/>
        <s v="jazz"/>
        <s v="sub netflix"/>
        <s v="video games"/>
        <s v="credit payment"/>
        <s v="sub Github"/>
        <s v="food mixed"/>
        <s v="gift"/>
        <s v="tuition"/>
        <s v="sub skillshare"/>
        <s v="meds zoloft"/>
        <s v="bill phone"/>
        <s v="sub office 365"/>
        <s v="sub acronis"/>
        <s v="sub iobit uninstaller "/>
        <s v="sub iobit system care "/>
        <s v="sub iobit driver booster "/>
        <s v="sub creative fabrica"/>
        <s v="sub prime"/>
        <s v="sub amazon music"/>
        <s v="sub dropout TV"/>
        <s v="sub prime video ad-free"/>
        <s v="sub deviant art"/>
        <s v="phoneix membership"/>
        <s v="sub guardian"/>
        <s v="car insurance"/>
        <s v="bus tickets"/>
        <s v="bill internet"/>
        <s v="cleaning supplies"/>
        <s v="initializing"/>
        <s v="Robbie"/>
        <s v="pest control"/>
        <s v="salary qch"/>
        <s v="sub spotify"/>
        <s v="nutrition/act out mixed"/>
        <s v="sub coursera"/>
        <s v="uber"/>
        <s v="phone parts"/>
        <s v="gift cash"/>
        <s v="sub tinder"/>
        <s v="gift card"/>
        <s v="mobility supplies/tools"/>
        <s v="school supplies"/>
        <s v="shop supplies"/>
        <s v="unknown transaction"/>
        <s v="revenue interest"/>
        <s v="date connect"/>
        <s v="kitchen supplies/tools"/>
        <s v="withdrawal"/>
        <s v="mom"/>
        <s v="textbooks"/>
        <s v="therapy"/>
        <s v="tutor"/>
        <s v="unknown Amazon purchase"/>
        <s v="dentist"/>
        <s v="insurance claim"/>
        <s v="balancing credit card"/>
        <s v="balancing account"/>
        <s v="unknown revenue"/>
        <s v="personal sales"/>
        <s v="office supplies"/>
        <s v="unknown government income"/>
        <s v="sub stack tv"/>
        <s v="electronics other"/>
        <s v="sub paramount plus"/>
        <s v="misc school fees"/>
        <s v="books"/>
        <s v="clothes"/>
        <s v="hygiene products"/>
        <s v="shop tools"/>
        <s v="batteries"/>
        <s v="phone maintenance"/>
        <s v="computer parts"/>
        <s v="sub iobit mix"/>
        <s v="amazon purchase mix"/>
        <s v="self care misc."/>
        <s v="car gas"/>
        <s v="car maintainenance"/>
        <s v="parking"/>
        <s v="bedding supplies"/>
        <s v="games"/>
        <s v="computer software"/>
        <s v="life insurance"/>
        <s v="home décor"/>
        <s v="bursary"/>
        <s v="sub shudder"/>
        <s v="sub disney+"/>
        <s v="CPAP machine"/>
        <s v="grant revenue"/>
        <s v="chequing adjustment"/>
        <s v="nutritional supplements"/>
        <s v="medication"/>
        <s v="sub adobe"/>
        <s v="mix receivable/personl"/>
        <s v="medical supplies"/>
        <s v="loan osap"/>
        <m u="1"/>
        <s v="data missing" u="1"/>
        <s v="loan/grant revenue" u="1"/>
        <s v="e-transfer" u="1"/>
        <s v="purchase return" u="1"/>
        <s v="service fee" u="1"/>
        <s v="credit equalization" u="1"/>
        <s v="garden supplies/tools" u="1"/>
        <s v="balance holder" u="1"/>
        <s v="rent adjustment" u="1"/>
        <s v="sub primvideo ad-free" u="1"/>
      </sharedItems>
    </cacheField>
    <cacheField name="Account_Type" numFmtId="0">
      <sharedItems containsBlank="1" count="6">
        <s v="Expense"/>
        <s v="Asset"/>
        <s v="Revenue"/>
        <s v="Liability"/>
        <s v="Capital"/>
        <m u="1"/>
      </sharedItems>
    </cacheField>
    <cacheField name="Account" numFmtId="0">
      <sharedItems containsMixedTypes="1" containsNumber="1" containsInteger="1" minValue="0" maxValue="0" count="39">
        <s v="Self-Care Expense"/>
        <s v="Chequing Account"/>
        <s v="Rent Expense"/>
        <s v="Act Out Expense"/>
        <s v="Nutrition Expense"/>
        <s v="Life Insurance Expense"/>
        <s v="Government Revenue"/>
        <s v="Office &amp; Computer Expense"/>
        <s v="Account Payable - CC 1739"/>
        <s v="Cash"/>
        <s v="Account Payable - Personal"/>
        <s v="Account Payable - CC 8524"/>
        <s v="Connect Expense"/>
        <s v="Account Payable - School"/>
        <s v="Education Expense"/>
        <s v="Medical Expense"/>
        <s v="Phone Expense"/>
        <s v="Transportation Expense"/>
        <s v="TV/Internet Expense"/>
        <s v="Account Payable - Home Depot"/>
        <s v="Home Expense"/>
        <s v="TFSA Investia"/>
        <s v="MK - Capital"/>
        <s v="RRSP"/>
        <s v="Salary Revenue"/>
        <s v="Prepaid Expense - Transportation"/>
        <s v="Revenue Other"/>
        <s v="Gift Card - Amazon"/>
        <s v="Unknown Expense"/>
        <s v="Savings Account"/>
        <s v="Accounts Receiveable- Personal"/>
        <s v="Gift Revenue"/>
        <s v="Purchase Returns"/>
        <s v="Loans - OSAP"/>
        <s v="Shop Expense"/>
        <s v="Tax Sales"/>
        <s v="Unknown Revenue"/>
        <s v="Receivable Expense"/>
        <n v="0" u="1"/>
      </sharedItems>
    </cacheField>
    <cacheField name="Amount" numFmtId="0">
      <sharedItems containsString="0" containsBlank="1" containsNumber="1" minValue="-5696.68" maxValue="27524.46"/>
    </cacheField>
    <cacheField name="Details" numFmtId="0">
      <sharedItems containsBlank="1"/>
    </cacheField>
  </cacheFields>
  <extLst>
    <ext xmlns:x14="http://schemas.microsoft.com/office/spreadsheetml/2009/9/main" uri="{725AE2AE-9491-48be-B2B4-4EB974FC3084}">
      <x14:pivotCacheDefinition pivotCacheId="540053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7">
  <r>
    <x v="0"/>
    <x v="0"/>
    <x v="0"/>
    <x v="0"/>
    <x v="0"/>
    <n v="8.39"/>
    <m/>
  </r>
  <r>
    <x v="0"/>
    <x v="0"/>
    <x v="1"/>
    <x v="0"/>
    <x v="0"/>
    <n v="5.64"/>
    <m/>
  </r>
  <r>
    <x v="0"/>
    <x v="0"/>
    <x v="2"/>
    <x v="1"/>
    <x v="1"/>
    <n v="-14.03"/>
    <m/>
  </r>
  <r>
    <x v="0"/>
    <x v="0"/>
    <x v="3"/>
    <x v="0"/>
    <x v="2"/>
    <n v="515"/>
    <s v="rent April. Date adjusted. Paid March 30"/>
  </r>
  <r>
    <x v="0"/>
    <x v="0"/>
    <x v="3"/>
    <x v="1"/>
    <x v="1"/>
    <n v="-515"/>
    <s v="rent April. Date adjusted. Paid March 30"/>
  </r>
  <r>
    <x v="0"/>
    <x v="0"/>
    <x v="4"/>
    <x v="0"/>
    <x v="3"/>
    <n v="9.0299999999999994"/>
    <s v="Mary Brown's"/>
  </r>
  <r>
    <x v="0"/>
    <x v="0"/>
    <x v="4"/>
    <x v="1"/>
    <x v="1"/>
    <n v="-9.0299999999999994"/>
    <s v="Mary Brown's"/>
  </r>
  <r>
    <x v="0"/>
    <x v="0"/>
    <x v="5"/>
    <x v="0"/>
    <x v="4"/>
    <n v="13.18"/>
    <s v="Metro"/>
  </r>
  <r>
    <x v="0"/>
    <x v="0"/>
    <x v="5"/>
    <x v="1"/>
    <x v="1"/>
    <n v="-13.18"/>
    <s v="Metro"/>
  </r>
  <r>
    <x v="0"/>
    <x v="0"/>
    <x v="5"/>
    <x v="0"/>
    <x v="4"/>
    <n v="39.799999999999997"/>
    <s v="Combined. Date Adjusted."/>
  </r>
  <r>
    <x v="0"/>
    <x v="0"/>
    <x v="5"/>
    <x v="1"/>
    <x v="1"/>
    <n v="-39.799999999999997"/>
    <s v="Combined. Date Adjusted."/>
  </r>
  <r>
    <x v="0"/>
    <x v="0"/>
    <x v="6"/>
    <x v="0"/>
    <x v="0"/>
    <n v="14.68"/>
    <m/>
  </r>
  <r>
    <x v="0"/>
    <x v="0"/>
    <x v="7"/>
    <x v="0"/>
    <x v="3"/>
    <n v="18.89"/>
    <s v="OF"/>
  </r>
  <r>
    <x v="0"/>
    <x v="0"/>
    <x v="8"/>
    <x v="0"/>
    <x v="4"/>
    <n v="12.98"/>
    <m/>
  </r>
  <r>
    <x v="0"/>
    <x v="0"/>
    <x v="4"/>
    <x v="0"/>
    <x v="3"/>
    <n v="8.58"/>
    <s v="McDonald's"/>
  </r>
  <r>
    <x v="0"/>
    <x v="0"/>
    <x v="7"/>
    <x v="0"/>
    <x v="3"/>
    <n v="23.72"/>
    <s v="OF"/>
  </r>
  <r>
    <x v="0"/>
    <x v="0"/>
    <x v="5"/>
    <x v="0"/>
    <x v="4"/>
    <n v="29.45"/>
    <s v="Metro"/>
  </r>
  <r>
    <x v="0"/>
    <x v="0"/>
    <x v="2"/>
    <x v="1"/>
    <x v="1"/>
    <n v="-108.3"/>
    <m/>
  </r>
  <r>
    <x v="0"/>
    <x v="0"/>
    <x v="7"/>
    <x v="0"/>
    <x v="3"/>
    <n v="315"/>
    <s v="escort date"/>
  </r>
  <r>
    <x v="0"/>
    <x v="0"/>
    <x v="7"/>
    <x v="1"/>
    <x v="1"/>
    <n v="-315"/>
    <s v="escort date"/>
  </r>
  <r>
    <x v="0"/>
    <x v="0"/>
    <x v="4"/>
    <x v="0"/>
    <x v="3"/>
    <n v="8.58"/>
    <s v="McDonald's"/>
  </r>
  <r>
    <x v="0"/>
    <x v="0"/>
    <x v="4"/>
    <x v="1"/>
    <x v="1"/>
    <n v="-8.58"/>
    <m/>
  </r>
  <r>
    <x v="0"/>
    <x v="0"/>
    <x v="9"/>
    <x v="0"/>
    <x v="5"/>
    <n v="26.96"/>
    <s v="Life Insurance April"/>
  </r>
  <r>
    <x v="0"/>
    <x v="0"/>
    <x v="9"/>
    <x v="1"/>
    <x v="1"/>
    <n v="-26.96"/>
    <s v="Life Insurance April"/>
  </r>
  <r>
    <x v="0"/>
    <x v="0"/>
    <x v="8"/>
    <x v="0"/>
    <x v="4"/>
    <n v="7.46"/>
    <s v="AC Café"/>
  </r>
  <r>
    <x v="0"/>
    <x v="0"/>
    <x v="8"/>
    <x v="0"/>
    <x v="4"/>
    <n v="17.72"/>
    <s v="Thai Express"/>
  </r>
  <r>
    <x v="0"/>
    <x v="0"/>
    <x v="8"/>
    <x v="0"/>
    <x v="4"/>
    <n v="12.98"/>
    <s v="McDonald's"/>
  </r>
  <r>
    <x v="0"/>
    <x v="0"/>
    <x v="8"/>
    <x v="0"/>
    <x v="4"/>
    <n v="2.36"/>
    <s v="AC Café"/>
  </r>
  <r>
    <x v="0"/>
    <x v="0"/>
    <x v="8"/>
    <x v="0"/>
    <x v="4"/>
    <n v="9.32"/>
    <s v="AC Café"/>
  </r>
  <r>
    <x v="0"/>
    <x v="0"/>
    <x v="8"/>
    <x v="0"/>
    <x v="4"/>
    <n v="9.0299999999999994"/>
    <s v="Kettleman's"/>
  </r>
  <r>
    <x v="0"/>
    <x v="0"/>
    <x v="2"/>
    <x v="1"/>
    <x v="1"/>
    <n v="-58.87"/>
    <m/>
  </r>
  <r>
    <x v="0"/>
    <x v="0"/>
    <x v="10"/>
    <x v="1"/>
    <x v="1"/>
    <n v="3804.68"/>
    <s v="Tax Refund"/>
  </r>
  <r>
    <x v="0"/>
    <x v="0"/>
    <x v="10"/>
    <x v="2"/>
    <x v="6"/>
    <n v="3804.68"/>
    <s v="Tax Refund"/>
  </r>
  <r>
    <x v="0"/>
    <x v="0"/>
    <x v="11"/>
    <x v="0"/>
    <x v="0"/>
    <n v="3"/>
    <m/>
  </r>
  <r>
    <x v="0"/>
    <x v="0"/>
    <x v="5"/>
    <x v="0"/>
    <x v="4"/>
    <n v="23.22"/>
    <s v="Metro"/>
  </r>
  <r>
    <x v="0"/>
    <x v="0"/>
    <x v="2"/>
    <x v="1"/>
    <x v="1"/>
    <n v="-26.22"/>
    <m/>
  </r>
  <r>
    <x v="0"/>
    <x v="0"/>
    <x v="8"/>
    <x v="0"/>
    <x v="4"/>
    <n v="9.0299999999999994"/>
    <s v="Kettleman's"/>
  </r>
  <r>
    <x v="0"/>
    <x v="0"/>
    <x v="5"/>
    <x v="0"/>
    <x v="4"/>
    <n v="15.3"/>
    <s v="Loblaws"/>
  </r>
  <r>
    <x v="0"/>
    <x v="0"/>
    <x v="12"/>
    <x v="0"/>
    <x v="0"/>
    <n v="11.29"/>
    <m/>
  </r>
  <r>
    <x v="0"/>
    <x v="0"/>
    <x v="2"/>
    <x v="1"/>
    <x v="1"/>
    <n v="-35.619999999999997"/>
    <m/>
  </r>
  <r>
    <x v="0"/>
    <x v="0"/>
    <x v="13"/>
    <x v="0"/>
    <x v="7"/>
    <n v="31.91"/>
    <m/>
  </r>
  <r>
    <x v="0"/>
    <x v="0"/>
    <x v="13"/>
    <x v="3"/>
    <x v="8"/>
    <n v="31.91"/>
    <s v="paid"/>
  </r>
  <r>
    <x v="0"/>
    <x v="0"/>
    <x v="1"/>
    <x v="0"/>
    <x v="0"/>
    <n v="20"/>
    <s v="e-transfer to Jazz"/>
  </r>
  <r>
    <x v="0"/>
    <x v="0"/>
    <x v="1"/>
    <x v="1"/>
    <x v="1"/>
    <n v="-20"/>
    <s v="e-transfer to Jazz"/>
  </r>
  <r>
    <x v="0"/>
    <x v="0"/>
    <x v="14"/>
    <x v="0"/>
    <x v="7"/>
    <n v="28.24"/>
    <s v="switch"/>
  </r>
  <r>
    <x v="0"/>
    <x v="0"/>
    <x v="14"/>
    <x v="3"/>
    <x v="8"/>
    <n v="28.24"/>
    <s v="CompGen - switch"/>
  </r>
  <r>
    <x v="0"/>
    <x v="0"/>
    <x v="14"/>
    <x v="3"/>
    <x v="8"/>
    <n v="-28.24"/>
    <s v="CompGen - switch"/>
  </r>
  <r>
    <x v="0"/>
    <x v="0"/>
    <x v="14"/>
    <x v="1"/>
    <x v="9"/>
    <n v="-28.24"/>
    <s v="CompGen - switch"/>
  </r>
  <r>
    <x v="0"/>
    <x v="0"/>
    <x v="5"/>
    <x v="0"/>
    <x v="4"/>
    <n v="53.12"/>
    <s v="Metro"/>
  </r>
  <r>
    <x v="0"/>
    <x v="0"/>
    <x v="5"/>
    <x v="3"/>
    <x v="8"/>
    <n v="53.12"/>
    <s v="Metro"/>
  </r>
  <r>
    <x v="0"/>
    <x v="0"/>
    <x v="1"/>
    <x v="0"/>
    <x v="0"/>
    <n v="10.17"/>
    <s v="Movie - The First Omen"/>
  </r>
  <r>
    <x v="0"/>
    <x v="0"/>
    <x v="1"/>
    <x v="3"/>
    <x v="8"/>
    <n v="10.17"/>
    <s v="Movie - The First Omen"/>
  </r>
  <r>
    <x v="0"/>
    <x v="0"/>
    <x v="8"/>
    <x v="0"/>
    <x v="4"/>
    <n v="16.13"/>
    <s v="Lunch Harvey's"/>
  </r>
  <r>
    <x v="0"/>
    <x v="0"/>
    <x v="8"/>
    <x v="3"/>
    <x v="8"/>
    <n v="16.13"/>
    <s v="Lunch Harvey's"/>
  </r>
  <r>
    <x v="0"/>
    <x v="0"/>
    <x v="8"/>
    <x v="3"/>
    <x v="8"/>
    <n v="-16.13"/>
    <s v="Lunch Harvey's"/>
  </r>
  <r>
    <x v="0"/>
    <x v="0"/>
    <x v="8"/>
    <x v="1"/>
    <x v="9"/>
    <n v="-16.13"/>
    <s v="Lunch Harvey's"/>
  </r>
  <r>
    <x v="0"/>
    <x v="0"/>
    <x v="8"/>
    <x v="0"/>
    <x v="4"/>
    <n v="18.93"/>
    <s v="Takeout"/>
  </r>
  <r>
    <x v="0"/>
    <x v="0"/>
    <x v="8"/>
    <x v="3"/>
    <x v="8"/>
    <n v="18.93"/>
    <s v="Takeout"/>
  </r>
  <r>
    <x v="0"/>
    <x v="0"/>
    <x v="10"/>
    <x v="1"/>
    <x v="1"/>
    <n v="140"/>
    <s v="Revenue Government"/>
  </r>
  <r>
    <x v="0"/>
    <x v="0"/>
    <x v="10"/>
    <x v="2"/>
    <x v="6"/>
    <n v="140"/>
    <s v="Revenue Government"/>
  </r>
  <r>
    <x v="0"/>
    <x v="0"/>
    <x v="1"/>
    <x v="0"/>
    <x v="0"/>
    <n v="9.5"/>
    <s v="Jazz - Movie"/>
  </r>
  <r>
    <x v="0"/>
    <x v="0"/>
    <x v="15"/>
    <x v="3"/>
    <x v="10"/>
    <n v="9.5"/>
    <s v="Movie - Monkey Man"/>
  </r>
  <r>
    <x v="0"/>
    <x v="0"/>
    <x v="7"/>
    <x v="0"/>
    <x v="3"/>
    <n v="207.5"/>
    <s v="escort date"/>
  </r>
  <r>
    <x v="0"/>
    <x v="0"/>
    <x v="4"/>
    <x v="3"/>
    <x v="11"/>
    <n v="207.5"/>
    <s v="escort date"/>
  </r>
  <r>
    <x v="0"/>
    <x v="0"/>
    <x v="16"/>
    <x v="0"/>
    <x v="7"/>
    <n v="18.63"/>
    <m/>
  </r>
  <r>
    <x v="0"/>
    <x v="0"/>
    <x v="16"/>
    <x v="3"/>
    <x v="8"/>
    <n v="18.63"/>
    <m/>
  </r>
  <r>
    <x v="0"/>
    <x v="0"/>
    <x v="8"/>
    <x v="0"/>
    <x v="4"/>
    <n v="80.989999999999995"/>
    <s v="Swiss Chalet"/>
  </r>
  <r>
    <x v="0"/>
    <x v="0"/>
    <x v="8"/>
    <x v="3"/>
    <x v="8"/>
    <n v="80.989999999999995"/>
    <s v="Swiss Chalet"/>
  </r>
  <r>
    <x v="0"/>
    <x v="0"/>
    <x v="8"/>
    <x v="0"/>
    <x v="4"/>
    <n v="10.56"/>
    <s v="Swiss Chalet Tip"/>
  </r>
  <r>
    <x v="0"/>
    <x v="0"/>
    <x v="8"/>
    <x v="3"/>
    <x v="8"/>
    <n v="10.56"/>
    <s v="Swiss Chalet Tip"/>
  </r>
  <r>
    <x v="0"/>
    <x v="0"/>
    <x v="17"/>
    <x v="0"/>
    <x v="0"/>
    <n v="36.729999999999997"/>
    <s v="Video Game - Hades"/>
  </r>
  <r>
    <x v="0"/>
    <x v="0"/>
    <x v="17"/>
    <x v="3"/>
    <x v="8"/>
    <n v="36.729999999999997"/>
    <s v="Video Game - Hades"/>
  </r>
  <r>
    <x v="0"/>
    <x v="0"/>
    <x v="18"/>
    <x v="3"/>
    <x v="11"/>
    <n v="-207.5"/>
    <m/>
  </r>
  <r>
    <x v="0"/>
    <x v="0"/>
    <x v="18"/>
    <x v="1"/>
    <x v="1"/>
    <n v="-207.5"/>
    <m/>
  </r>
  <r>
    <x v="0"/>
    <x v="0"/>
    <x v="5"/>
    <x v="0"/>
    <x v="4"/>
    <n v="32.909999999999997"/>
    <s v="Metro"/>
  </r>
  <r>
    <x v="0"/>
    <x v="0"/>
    <x v="5"/>
    <x v="3"/>
    <x v="8"/>
    <n v="32.909999999999997"/>
    <s v="Metro"/>
  </r>
  <r>
    <x v="0"/>
    <x v="0"/>
    <x v="5"/>
    <x v="3"/>
    <x v="8"/>
    <n v="-32.909999999999997"/>
    <s v="Metro"/>
  </r>
  <r>
    <x v="0"/>
    <x v="0"/>
    <x v="5"/>
    <x v="1"/>
    <x v="1"/>
    <n v="-32.909999999999997"/>
    <s v="Metro"/>
  </r>
  <r>
    <x v="0"/>
    <x v="0"/>
    <x v="19"/>
    <x v="0"/>
    <x v="7"/>
    <n v="14.3"/>
    <m/>
  </r>
  <r>
    <x v="0"/>
    <x v="0"/>
    <x v="19"/>
    <x v="3"/>
    <x v="8"/>
    <n v="14.3"/>
    <m/>
  </r>
  <r>
    <x v="0"/>
    <x v="0"/>
    <x v="15"/>
    <x v="3"/>
    <x v="10"/>
    <n v="-9.5"/>
    <s v="Jazz - Movie"/>
  </r>
  <r>
    <x v="0"/>
    <x v="0"/>
    <x v="15"/>
    <x v="1"/>
    <x v="1"/>
    <n v="-9.5"/>
    <s v="Jazz - Movie"/>
  </r>
  <r>
    <x v="0"/>
    <x v="0"/>
    <x v="8"/>
    <x v="0"/>
    <x v="4"/>
    <n v="11.28"/>
    <s v="McDonald's"/>
  </r>
  <r>
    <x v="0"/>
    <x v="0"/>
    <x v="8"/>
    <x v="3"/>
    <x v="8"/>
    <n v="11.28"/>
    <s v="McDonald's"/>
  </r>
  <r>
    <x v="0"/>
    <x v="0"/>
    <x v="8"/>
    <x v="3"/>
    <x v="8"/>
    <n v="-11.28"/>
    <s v="McDonald's"/>
  </r>
  <r>
    <x v="0"/>
    <x v="0"/>
    <x v="8"/>
    <x v="1"/>
    <x v="1"/>
    <n v="-11.28"/>
    <s v="McDonald's"/>
  </r>
  <r>
    <x v="0"/>
    <x v="0"/>
    <x v="17"/>
    <x v="0"/>
    <x v="0"/>
    <n v="36.729999999999997"/>
    <m/>
  </r>
  <r>
    <x v="0"/>
    <x v="0"/>
    <x v="17"/>
    <x v="1"/>
    <x v="1"/>
    <n v="-36.729999999999997"/>
    <m/>
  </r>
  <r>
    <x v="0"/>
    <x v="0"/>
    <x v="5"/>
    <x v="0"/>
    <x v="4"/>
    <n v="20"/>
    <s v="Loblaws"/>
  </r>
  <r>
    <x v="0"/>
    <x v="0"/>
    <x v="5"/>
    <x v="1"/>
    <x v="1"/>
    <n v="-20"/>
    <s v="E-transfer Paul"/>
  </r>
  <r>
    <x v="0"/>
    <x v="0"/>
    <x v="5"/>
    <x v="0"/>
    <x v="4"/>
    <n v="20"/>
    <s v="Metro"/>
  </r>
  <r>
    <x v="0"/>
    <x v="0"/>
    <x v="4"/>
    <x v="0"/>
    <x v="3"/>
    <n v="7.4"/>
    <m/>
  </r>
  <r>
    <x v="0"/>
    <x v="0"/>
    <x v="20"/>
    <x v="0"/>
    <x v="4"/>
    <n v="-27.4"/>
    <m/>
  </r>
  <r>
    <x v="0"/>
    <x v="0"/>
    <x v="18"/>
    <x v="3"/>
    <x v="8"/>
    <n v="-153.65"/>
    <s v="Credit Balance Payment"/>
  </r>
  <r>
    <x v="0"/>
    <x v="0"/>
    <x v="18"/>
    <x v="1"/>
    <x v="1"/>
    <n v="-153.65"/>
    <s v="Credit Balance Payment"/>
  </r>
  <r>
    <x v="0"/>
    <x v="0"/>
    <x v="8"/>
    <x v="0"/>
    <x v="4"/>
    <n v="21.45"/>
    <s v="Mary Brown's"/>
  </r>
  <r>
    <x v="0"/>
    <x v="0"/>
    <x v="8"/>
    <x v="3"/>
    <x v="8"/>
    <n v="21.45"/>
    <s v="Mary Brown's"/>
  </r>
  <r>
    <x v="1"/>
    <x v="0"/>
    <x v="21"/>
    <x v="0"/>
    <x v="12"/>
    <n v="0"/>
    <s v="gifts Christmas"/>
  </r>
  <r>
    <x v="1"/>
    <x v="0"/>
    <x v="22"/>
    <x v="0"/>
    <x v="13"/>
    <n v="0"/>
    <m/>
  </r>
  <r>
    <x v="1"/>
    <x v="0"/>
    <x v="23"/>
    <x v="0"/>
    <x v="14"/>
    <n v="0"/>
    <m/>
  </r>
  <r>
    <x v="1"/>
    <x v="0"/>
    <x v="11"/>
    <x v="0"/>
    <x v="14"/>
    <n v="3"/>
    <m/>
  </r>
  <r>
    <x v="1"/>
    <x v="0"/>
    <x v="24"/>
    <x v="0"/>
    <x v="15"/>
    <n v="0"/>
    <m/>
  </r>
  <r>
    <x v="1"/>
    <x v="0"/>
    <x v="5"/>
    <x v="0"/>
    <x v="4"/>
    <n v="400"/>
    <m/>
  </r>
  <r>
    <x v="1"/>
    <x v="0"/>
    <x v="8"/>
    <x v="0"/>
    <x v="4"/>
    <n v="60"/>
    <m/>
  </r>
  <r>
    <x v="1"/>
    <x v="0"/>
    <x v="25"/>
    <x v="0"/>
    <x v="16"/>
    <n v="55"/>
    <m/>
  </r>
  <r>
    <x v="1"/>
    <x v="0"/>
    <x v="26"/>
    <x v="0"/>
    <x v="7"/>
    <n v="0"/>
    <m/>
  </r>
  <r>
    <x v="1"/>
    <x v="0"/>
    <x v="27"/>
    <x v="0"/>
    <x v="7"/>
    <n v="0"/>
    <m/>
  </r>
  <r>
    <x v="1"/>
    <x v="0"/>
    <x v="28"/>
    <x v="0"/>
    <x v="7"/>
    <n v="0"/>
    <m/>
  </r>
  <r>
    <x v="1"/>
    <x v="0"/>
    <x v="19"/>
    <x v="0"/>
    <x v="7"/>
    <n v="0"/>
    <m/>
  </r>
  <r>
    <x v="1"/>
    <x v="0"/>
    <x v="13"/>
    <x v="0"/>
    <x v="7"/>
    <n v="31.92"/>
    <m/>
  </r>
  <r>
    <x v="1"/>
    <x v="0"/>
    <x v="29"/>
    <x v="0"/>
    <x v="7"/>
    <n v="0"/>
    <m/>
  </r>
  <r>
    <x v="1"/>
    <x v="0"/>
    <x v="30"/>
    <x v="0"/>
    <x v="7"/>
    <n v="0"/>
    <m/>
  </r>
  <r>
    <x v="1"/>
    <x v="0"/>
    <x v="3"/>
    <x v="0"/>
    <x v="2"/>
    <n v="150"/>
    <m/>
  </r>
  <r>
    <x v="1"/>
    <x v="0"/>
    <x v="31"/>
    <x v="0"/>
    <x v="0"/>
    <n v="0"/>
    <m/>
  </r>
  <r>
    <x v="1"/>
    <x v="0"/>
    <x v="12"/>
    <x v="0"/>
    <x v="0"/>
    <n v="11.29"/>
    <m/>
  </r>
  <r>
    <x v="1"/>
    <x v="0"/>
    <x v="32"/>
    <x v="0"/>
    <x v="0"/>
    <n v="0"/>
    <m/>
  </r>
  <r>
    <x v="1"/>
    <x v="0"/>
    <x v="16"/>
    <x v="0"/>
    <x v="0"/>
    <n v="0"/>
    <m/>
  </r>
  <r>
    <x v="1"/>
    <x v="0"/>
    <x v="6"/>
    <x v="0"/>
    <x v="0"/>
    <n v="13.55"/>
    <m/>
  </r>
  <r>
    <x v="1"/>
    <x v="0"/>
    <x v="33"/>
    <x v="0"/>
    <x v="0"/>
    <n v="0"/>
    <m/>
  </r>
  <r>
    <x v="1"/>
    <x v="0"/>
    <x v="34"/>
    <x v="0"/>
    <x v="0"/>
    <n v="0"/>
    <m/>
  </r>
  <r>
    <x v="1"/>
    <x v="0"/>
    <x v="35"/>
    <x v="0"/>
    <x v="0"/>
    <n v="0"/>
    <m/>
  </r>
  <r>
    <x v="1"/>
    <x v="0"/>
    <x v="36"/>
    <x v="0"/>
    <x v="0"/>
    <n v="0"/>
    <m/>
  </r>
  <r>
    <x v="1"/>
    <x v="0"/>
    <x v="37"/>
    <x v="0"/>
    <x v="0"/>
    <n v="100"/>
    <m/>
  </r>
  <r>
    <x v="1"/>
    <x v="0"/>
    <x v="0"/>
    <x v="0"/>
    <x v="0"/>
    <n v="8.39"/>
    <m/>
  </r>
  <r>
    <x v="1"/>
    <x v="0"/>
    <x v="38"/>
    <x v="0"/>
    <x v="0"/>
    <n v="0"/>
    <m/>
  </r>
  <r>
    <x v="1"/>
    <x v="0"/>
    <x v="39"/>
    <x v="0"/>
    <x v="17"/>
    <n v="0"/>
    <m/>
  </r>
  <r>
    <x v="1"/>
    <x v="0"/>
    <x v="40"/>
    <x v="0"/>
    <x v="17"/>
    <n v="0"/>
    <m/>
  </r>
  <r>
    <x v="1"/>
    <x v="0"/>
    <x v="41"/>
    <x v="0"/>
    <x v="18"/>
    <n v="0"/>
    <m/>
  </r>
  <r>
    <x v="0"/>
    <x v="1"/>
    <x v="4"/>
    <x v="0"/>
    <x v="3"/>
    <n v="24.59"/>
    <s v="Metro"/>
  </r>
  <r>
    <x v="0"/>
    <x v="1"/>
    <x v="4"/>
    <x v="1"/>
    <x v="1"/>
    <n v="-24.59"/>
    <s v="Metro"/>
  </r>
  <r>
    <x v="0"/>
    <x v="1"/>
    <x v="4"/>
    <x v="0"/>
    <x v="3"/>
    <n v="7.78"/>
    <s v="Wendy's"/>
  </r>
  <r>
    <x v="0"/>
    <x v="1"/>
    <x v="4"/>
    <x v="1"/>
    <x v="1"/>
    <n v="-7.78"/>
    <s v="Wendy's"/>
  </r>
  <r>
    <x v="0"/>
    <x v="1"/>
    <x v="39"/>
    <x v="0"/>
    <x v="17"/>
    <n v="65"/>
    <s v="car insurance August. Date adjusted. Paid july 29."/>
  </r>
  <r>
    <x v="0"/>
    <x v="1"/>
    <x v="39"/>
    <x v="1"/>
    <x v="1"/>
    <n v="-65"/>
    <s v="car insurance August. Date adjusted. Paid july 29."/>
  </r>
  <r>
    <x v="0"/>
    <x v="1"/>
    <x v="0"/>
    <x v="0"/>
    <x v="0"/>
    <n v="8.39"/>
    <m/>
  </r>
  <r>
    <x v="0"/>
    <x v="1"/>
    <x v="0"/>
    <x v="3"/>
    <x v="8"/>
    <n v="8.39"/>
    <s v="credit card should be balanced from here"/>
  </r>
  <r>
    <x v="0"/>
    <x v="1"/>
    <x v="3"/>
    <x v="0"/>
    <x v="2"/>
    <n v="500"/>
    <s v="450 paid, 50 taken off from acct. recv. Date Adjusted."/>
  </r>
  <r>
    <x v="0"/>
    <x v="1"/>
    <x v="3"/>
    <x v="1"/>
    <x v="1"/>
    <n v="-500"/>
    <s v="450 paid, 50 taken off from acct. recv. Date Adjusted."/>
  </r>
  <r>
    <x v="0"/>
    <x v="1"/>
    <x v="14"/>
    <x v="0"/>
    <x v="7"/>
    <n v="14.68"/>
    <s v="cable usb-c"/>
  </r>
  <r>
    <x v="0"/>
    <x v="1"/>
    <x v="14"/>
    <x v="3"/>
    <x v="8"/>
    <n v="14.68"/>
    <s v="cable usb-c"/>
  </r>
  <r>
    <x v="0"/>
    <x v="1"/>
    <x v="14"/>
    <x v="0"/>
    <x v="7"/>
    <n v="13.55"/>
    <s v="hdmi displayport adapter"/>
  </r>
  <r>
    <x v="0"/>
    <x v="1"/>
    <x v="14"/>
    <x v="3"/>
    <x v="8"/>
    <n v="13.55"/>
    <s v="hdmi displayport adapter"/>
  </r>
  <r>
    <x v="0"/>
    <x v="1"/>
    <x v="18"/>
    <x v="3"/>
    <x v="8"/>
    <n v="-51.3"/>
    <s v="8.39-14.68-14.68-13.55"/>
  </r>
  <r>
    <x v="0"/>
    <x v="1"/>
    <x v="18"/>
    <x v="1"/>
    <x v="1"/>
    <n v="-51.3"/>
    <s v="8.39-14.68-14.68-13.55"/>
  </r>
  <r>
    <x v="0"/>
    <x v="1"/>
    <x v="18"/>
    <x v="3"/>
    <x v="19"/>
    <n v="-218.09"/>
    <s v="batteries"/>
  </r>
  <r>
    <x v="0"/>
    <x v="1"/>
    <x v="18"/>
    <x v="1"/>
    <x v="1"/>
    <n v="-218.09"/>
    <s v="batteries"/>
  </r>
  <r>
    <x v="0"/>
    <x v="1"/>
    <x v="5"/>
    <x v="0"/>
    <x v="4"/>
    <n v="35.020000000000003"/>
    <s v="Farm Boy"/>
  </r>
  <r>
    <x v="0"/>
    <x v="1"/>
    <x v="5"/>
    <x v="1"/>
    <x v="1"/>
    <n v="-35.020000000000003"/>
    <s v="Farm Boy"/>
  </r>
  <r>
    <x v="0"/>
    <x v="1"/>
    <x v="5"/>
    <x v="0"/>
    <x v="4"/>
    <n v="5.32"/>
    <s v="Metro"/>
  </r>
  <r>
    <x v="0"/>
    <x v="1"/>
    <x v="5"/>
    <x v="1"/>
    <x v="1"/>
    <n v="-5.32"/>
    <s v="Metro"/>
  </r>
  <r>
    <x v="0"/>
    <x v="1"/>
    <x v="1"/>
    <x v="0"/>
    <x v="0"/>
    <n v="5.64"/>
    <s v="Heredity"/>
  </r>
  <r>
    <x v="0"/>
    <x v="1"/>
    <x v="1"/>
    <x v="3"/>
    <x v="8"/>
    <n v="5.64"/>
    <s v="Heredity"/>
  </r>
  <r>
    <x v="0"/>
    <x v="1"/>
    <x v="6"/>
    <x v="0"/>
    <x v="0"/>
    <n v="14.68"/>
    <m/>
  </r>
  <r>
    <x v="0"/>
    <x v="1"/>
    <x v="6"/>
    <x v="3"/>
    <x v="8"/>
    <n v="14.68"/>
    <m/>
  </r>
  <r>
    <x v="0"/>
    <x v="1"/>
    <x v="42"/>
    <x v="0"/>
    <x v="20"/>
    <n v="38.619999999999997"/>
    <s v="Drain Clog Remover - Green Gobbler"/>
  </r>
  <r>
    <x v="0"/>
    <x v="1"/>
    <x v="42"/>
    <x v="3"/>
    <x v="8"/>
    <n v="38.619999999999997"/>
    <s v="Drain Clog Remover - Green Gobbler"/>
  </r>
  <r>
    <x v="0"/>
    <x v="1"/>
    <x v="8"/>
    <x v="0"/>
    <x v="4"/>
    <n v="11.96"/>
    <s v="Tim Horton"/>
  </r>
  <r>
    <x v="0"/>
    <x v="1"/>
    <x v="8"/>
    <x v="1"/>
    <x v="1"/>
    <n v="-11.96"/>
    <s v="Tim Horton"/>
  </r>
  <r>
    <x v="0"/>
    <x v="1"/>
    <x v="18"/>
    <x v="3"/>
    <x v="8"/>
    <n v="-63.46"/>
    <s v="5.64-38.62-19.20"/>
  </r>
  <r>
    <x v="0"/>
    <x v="1"/>
    <x v="18"/>
    <x v="1"/>
    <x v="1"/>
    <n v="-63.46"/>
    <s v="5.64-38.62-19.20"/>
  </r>
  <r>
    <x v="0"/>
    <x v="1"/>
    <x v="5"/>
    <x v="0"/>
    <x v="4"/>
    <m/>
    <m/>
  </r>
  <r>
    <x v="0"/>
    <x v="1"/>
    <x v="5"/>
    <x v="1"/>
    <x v="9"/>
    <m/>
    <m/>
  </r>
  <r>
    <x v="0"/>
    <x v="1"/>
    <x v="43"/>
    <x v="1"/>
    <x v="21"/>
    <n v="27524.46"/>
    <m/>
  </r>
  <r>
    <x v="0"/>
    <x v="1"/>
    <x v="43"/>
    <x v="4"/>
    <x v="22"/>
    <n v="27524.46"/>
    <m/>
  </r>
  <r>
    <x v="0"/>
    <x v="1"/>
    <x v="43"/>
    <x v="1"/>
    <x v="23"/>
    <n v="7675.01"/>
    <m/>
  </r>
  <r>
    <x v="0"/>
    <x v="1"/>
    <x v="43"/>
    <x v="4"/>
    <x v="22"/>
    <n v="7675.01"/>
    <m/>
  </r>
  <r>
    <x v="0"/>
    <x v="1"/>
    <x v="43"/>
    <x v="1"/>
    <x v="9"/>
    <n v="160"/>
    <m/>
  </r>
  <r>
    <x v="0"/>
    <x v="1"/>
    <x v="43"/>
    <x v="4"/>
    <x v="22"/>
    <n v="160"/>
    <m/>
  </r>
  <r>
    <x v="0"/>
    <x v="1"/>
    <x v="1"/>
    <x v="0"/>
    <x v="0"/>
    <n v="10"/>
    <s v="Deadpool"/>
  </r>
  <r>
    <x v="0"/>
    <x v="1"/>
    <x v="44"/>
    <x v="3"/>
    <x v="10"/>
    <n v="10"/>
    <s v="movie Deadpool"/>
  </r>
  <r>
    <x v="0"/>
    <x v="1"/>
    <x v="45"/>
    <x v="0"/>
    <x v="20"/>
    <n v="19.2"/>
    <s v="fly traps"/>
  </r>
  <r>
    <x v="0"/>
    <x v="1"/>
    <x v="45"/>
    <x v="3"/>
    <x v="8"/>
    <n v="19.2"/>
    <s v="fly traps"/>
  </r>
  <r>
    <x v="0"/>
    <x v="1"/>
    <x v="21"/>
    <x v="0"/>
    <x v="12"/>
    <n v="10"/>
    <s v="jazz - gas money"/>
  </r>
  <r>
    <x v="0"/>
    <x v="1"/>
    <x v="15"/>
    <x v="3"/>
    <x v="10"/>
    <n v="10"/>
    <s v="gas money"/>
  </r>
  <r>
    <x v="0"/>
    <x v="1"/>
    <x v="15"/>
    <x v="3"/>
    <x v="10"/>
    <n v="-23.5"/>
    <s v="gas money and money from refund"/>
  </r>
  <r>
    <x v="0"/>
    <x v="1"/>
    <x v="15"/>
    <x v="1"/>
    <x v="1"/>
    <n v="-23.5"/>
    <m/>
  </r>
  <r>
    <x v="0"/>
    <x v="1"/>
    <x v="5"/>
    <x v="0"/>
    <x v="4"/>
    <n v="35.32"/>
    <s v="Farm Boy"/>
  </r>
  <r>
    <x v="0"/>
    <x v="1"/>
    <x v="5"/>
    <x v="1"/>
    <x v="1"/>
    <n v="-35.32"/>
    <s v="Farm Boy"/>
  </r>
  <r>
    <x v="0"/>
    <x v="1"/>
    <x v="9"/>
    <x v="0"/>
    <x v="5"/>
    <n v="26.96"/>
    <s v="life insurance August"/>
  </r>
  <r>
    <x v="0"/>
    <x v="1"/>
    <x v="9"/>
    <x v="1"/>
    <x v="1"/>
    <n v="-26.96"/>
    <s v="lfie insurance August"/>
  </r>
  <r>
    <x v="0"/>
    <x v="1"/>
    <x v="46"/>
    <x v="1"/>
    <x v="1"/>
    <n v="1625.48"/>
    <m/>
  </r>
  <r>
    <x v="0"/>
    <x v="1"/>
    <x v="46"/>
    <x v="2"/>
    <x v="24"/>
    <n v="1625.48"/>
    <m/>
  </r>
  <r>
    <x v="0"/>
    <x v="1"/>
    <x v="8"/>
    <x v="0"/>
    <x v="4"/>
    <n v="9.93"/>
    <s v="Tim Horton"/>
  </r>
  <r>
    <x v="0"/>
    <x v="1"/>
    <x v="8"/>
    <x v="1"/>
    <x v="1"/>
    <n v="-9.93"/>
    <s v="Tim Horton"/>
  </r>
  <r>
    <x v="0"/>
    <x v="1"/>
    <x v="40"/>
    <x v="1"/>
    <x v="25"/>
    <n v="30"/>
    <s v="Presto"/>
  </r>
  <r>
    <x v="0"/>
    <x v="1"/>
    <x v="40"/>
    <x v="3"/>
    <x v="8"/>
    <n v="30"/>
    <s v="Presto"/>
  </r>
  <r>
    <x v="0"/>
    <x v="1"/>
    <x v="47"/>
    <x v="0"/>
    <x v="0"/>
    <n v="6.77"/>
    <m/>
  </r>
  <r>
    <x v="0"/>
    <x v="1"/>
    <x v="47"/>
    <x v="3"/>
    <x v="8"/>
    <n v="6.77"/>
    <m/>
  </r>
  <r>
    <x v="0"/>
    <x v="1"/>
    <x v="4"/>
    <x v="0"/>
    <x v="3"/>
    <n v="9.76"/>
    <s v="chips, jujubes"/>
  </r>
  <r>
    <x v="0"/>
    <x v="1"/>
    <x v="5"/>
    <x v="0"/>
    <x v="4"/>
    <n v="6"/>
    <s v="Farm Boy"/>
  </r>
  <r>
    <x v="0"/>
    <x v="1"/>
    <x v="48"/>
    <x v="0"/>
    <x v="4"/>
    <n v="-15.76"/>
    <s v="Farm Boy"/>
  </r>
  <r>
    <x v="0"/>
    <x v="1"/>
    <x v="4"/>
    <x v="0"/>
    <x v="3"/>
    <n v="7.89"/>
    <s v="Wendys"/>
  </r>
  <r>
    <x v="0"/>
    <x v="1"/>
    <x v="4"/>
    <x v="1"/>
    <x v="1"/>
    <n v="-7.89"/>
    <s v="Wendy's"/>
  </r>
  <r>
    <x v="0"/>
    <x v="1"/>
    <x v="11"/>
    <x v="0"/>
    <x v="0"/>
    <n v="3"/>
    <m/>
  </r>
  <r>
    <x v="0"/>
    <x v="1"/>
    <x v="11"/>
    <x v="3"/>
    <x v="8"/>
    <n v="3"/>
    <m/>
  </r>
  <r>
    <x v="0"/>
    <x v="1"/>
    <x v="49"/>
    <x v="0"/>
    <x v="14"/>
    <n v="67"/>
    <m/>
  </r>
  <r>
    <x v="0"/>
    <x v="1"/>
    <x v="49"/>
    <x v="3"/>
    <x v="8"/>
    <n v="67"/>
    <m/>
  </r>
  <r>
    <x v="0"/>
    <x v="1"/>
    <x v="50"/>
    <x v="0"/>
    <x v="17"/>
    <n v="8.9499999999999993"/>
    <m/>
  </r>
  <r>
    <x v="0"/>
    <x v="1"/>
    <x v="50"/>
    <x v="3"/>
    <x v="8"/>
    <n v="8.9499999999999993"/>
    <m/>
  </r>
  <r>
    <x v="0"/>
    <x v="1"/>
    <x v="8"/>
    <x v="0"/>
    <x v="4"/>
    <n v="11.84"/>
    <s v="McDonald's"/>
  </r>
  <r>
    <x v="0"/>
    <x v="1"/>
    <x v="8"/>
    <x v="1"/>
    <x v="1"/>
    <n v="-11.84"/>
    <s v="McDonald's"/>
  </r>
  <r>
    <x v="0"/>
    <x v="1"/>
    <x v="12"/>
    <x v="0"/>
    <x v="0"/>
    <n v="11.29"/>
    <m/>
  </r>
  <r>
    <x v="0"/>
    <x v="1"/>
    <x v="12"/>
    <x v="3"/>
    <x v="8"/>
    <n v="11.29"/>
    <m/>
  </r>
  <r>
    <x v="0"/>
    <x v="1"/>
    <x v="51"/>
    <x v="0"/>
    <x v="16"/>
    <n v="18.07"/>
    <s v="phone case"/>
  </r>
  <r>
    <x v="0"/>
    <x v="1"/>
    <x v="51"/>
    <x v="3"/>
    <x v="8"/>
    <n v="18.07"/>
    <s v="phone case"/>
  </r>
  <r>
    <x v="0"/>
    <x v="1"/>
    <x v="18"/>
    <x v="3"/>
    <x v="8"/>
    <n v="-133.79"/>
    <s v="30-6.77-3-67-8.95-18.07"/>
  </r>
  <r>
    <x v="0"/>
    <x v="1"/>
    <x v="18"/>
    <x v="1"/>
    <x v="1"/>
    <n v="-133.79"/>
    <s v="30-6.77-3-67-8.95-18.07"/>
  </r>
  <r>
    <x v="0"/>
    <x v="1"/>
    <x v="52"/>
    <x v="1"/>
    <x v="1"/>
    <n v="20"/>
    <s v="e-transfer from mom"/>
  </r>
  <r>
    <x v="0"/>
    <x v="1"/>
    <x v="52"/>
    <x v="2"/>
    <x v="26"/>
    <n v="20"/>
    <m/>
  </r>
  <r>
    <x v="0"/>
    <x v="1"/>
    <x v="1"/>
    <x v="0"/>
    <x v="0"/>
    <n v="16.940000000000001"/>
    <s v="X-Files"/>
  </r>
  <r>
    <x v="0"/>
    <x v="1"/>
    <x v="1"/>
    <x v="3"/>
    <x v="8"/>
    <n v="16.940000000000001"/>
    <s v="X-Files"/>
  </r>
  <r>
    <x v="0"/>
    <x v="1"/>
    <x v="13"/>
    <x v="0"/>
    <x v="7"/>
    <n v="31.86"/>
    <m/>
  </r>
  <r>
    <x v="0"/>
    <x v="1"/>
    <x v="13"/>
    <x v="3"/>
    <x v="8"/>
    <n v="31.86"/>
    <m/>
  </r>
  <r>
    <x v="0"/>
    <x v="1"/>
    <x v="53"/>
    <x v="0"/>
    <x v="12"/>
    <n v="148.31"/>
    <s v="tinder sub for 6 months"/>
  </r>
  <r>
    <x v="0"/>
    <x v="1"/>
    <x v="53"/>
    <x v="3"/>
    <x v="8"/>
    <n v="148.31"/>
    <s v="tinder sub for 6 months"/>
  </r>
  <r>
    <x v="0"/>
    <x v="1"/>
    <x v="18"/>
    <x v="3"/>
    <x v="8"/>
    <n v="-148.31"/>
    <s v="tinder sub"/>
  </r>
  <r>
    <x v="0"/>
    <x v="1"/>
    <x v="18"/>
    <x v="1"/>
    <x v="1"/>
    <n v="-148.31"/>
    <s v="tinder sub"/>
  </r>
  <r>
    <x v="0"/>
    <x v="1"/>
    <x v="5"/>
    <x v="0"/>
    <x v="4"/>
    <n v="33.85"/>
    <s v="Metro"/>
  </r>
  <r>
    <x v="0"/>
    <x v="1"/>
    <x v="5"/>
    <x v="1"/>
    <x v="1"/>
    <n v="-33.85"/>
    <s v="Metro"/>
  </r>
  <r>
    <x v="0"/>
    <x v="1"/>
    <x v="8"/>
    <x v="0"/>
    <x v="4"/>
    <n v="34.65"/>
    <s v="Thai for mom and I"/>
  </r>
  <r>
    <x v="0"/>
    <x v="1"/>
    <x v="8"/>
    <x v="1"/>
    <x v="1"/>
    <n v="-34.65"/>
    <s v="Thai for mom and I"/>
  </r>
  <r>
    <x v="0"/>
    <x v="1"/>
    <x v="54"/>
    <x v="1"/>
    <x v="27"/>
    <n v="20"/>
    <m/>
  </r>
  <r>
    <x v="0"/>
    <x v="1"/>
    <x v="54"/>
    <x v="2"/>
    <x v="26"/>
    <n v="20"/>
    <m/>
  </r>
  <r>
    <x v="0"/>
    <x v="1"/>
    <x v="55"/>
    <x v="0"/>
    <x v="0"/>
    <n v="31.63"/>
    <s v="gym bag"/>
  </r>
  <r>
    <x v="0"/>
    <x v="1"/>
    <x v="55"/>
    <x v="1"/>
    <x v="27"/>
    <n v="-20"/>
    <m/>
  </r>
  <r>
    <x v="0"/>
    <x v="1"/>
    <x v="55"/>
    <x v="3"/>
    <x v="8"/>
    <n v="11.63"/>
    <s v="gym bag"/>
  </r>
  <r>
    <x v="0"/>
    <x v="1"/>
    <x v="18"/>
    <x v="3"/>
    <x v="8"/>
    <n v="-70.94"/>
    <s v="11.29-16.94-31.08-11.63"/>
  </r>
  <r>
    <x v="0"/>
    <x v="1"/>
    <x v="18"/>
    <x v="1"/>
    <x v="1"/>
    <n v="-70.94"/>
    <s v="11.29-16.94-31.08-11.63"/>
  </r>
  <r>
    <x v="0"/>
    <x v="1"/>
    <x v="56"/>
    <x v="0"/>
    <x v="14"/>
    <n v="42"/>
    <s v="locker"/>
  </r>
  <r>
    <x v="0"/>
    <x v="1"/>
    <x v="56"/>
    <x v="3"/>
    <x v="8"/>
    <n v="42"/>
    <s v="locker"/>
  </r>
  <r>
    <x v="0"/>
    <x v="1"/>
    <x v="5"/>
    <x v="0"/>
    <x v="4"/>
    <n v="58.26"/>
    <s v="Metro"/>
  </r>
  <r>
    <x v="0"/>
    <x v="1"/>
    <x v="5"/>
    <x v="1"/>
    <x v="1"/>
    <n v="-58.26"/>
    <s v="Metro"/>
  </r>
  <r>
    <x v="0"/>
    <x v="1"/>
    <x v="52"/>
    <x v="1"/>
    <x v="1"/>
    <n v="40"/>
    <m/>
  </r>
  <r>
    <x v="0"/>
    <x v="1"/>
    <x v="52"/>
    <x v="2"/>
    <x v="26"/>
    <n v="40"/>
    <m/>
  </r>
  <r>
    <x v="0"/>
    <x v="1"/>
    <x v="57"/>
    <x v="0"/>
    <x v="20"/>
    <n v="73.400000000000006"/>
    <s v="vac filter and bag"/>
  </r>
  <r>
    <x v="0"/>
    <x v="1"/>
    <x v="57"/>
    <x v="1"/>
    <x v="1"/>
    <n v="-73.400000000000006"/>
    <s v="vac filter and bag"/>
  </r>
  <r>
    <x v="0"/>
    <x v="1"/>
    <x v="58"/>
    <x v="0"/>
    <x v="28"/>
    <n v="0.78"/>
    <s v="unknown extra on credit card"/>
  </r>
  <r>
    <x v="0"/>
    <x v="1"/>
    <x v="58"/>
    <x v="3"/>
    <x v="8"/>
    <n v="0.78"/>
    <m/>
  </r>
  <r>
    <x v="0"/>
    <x v="1"/>
    <x v="18"/>
    <x v="3"/>
    <x v="8"/>
    <n v="-42.78"/>
    <s v="locker"/>
  </r>
  <r>
    <x v="0"/>
    <x v="1"/>
    <x v="18"/>
    <x v="1"/>
    <x v="1"/>
    <n v="-42.78"/>
    <s v="locker"/>
  </r>
  <r>
    <x v="0"/>
    <x v="1"/>
    <x v="59"/>
    <x v="1"/>
    <x v="29"/>
    <n v="0.28000000000000003"/>
    <m/>
  </r>
  <r>
    <x v="0"/>
    <x v="1"/>
    <x v="59"/>
    <x v="2"/>
    <x v="26"/>
    <n v="0.28000000000000003"/>
    <m/>
  </r>
  <r>
    <x v="0"/>
    <x v="1"/>
    <x v="34"/>
    <x v="0"/>
    <x v="0"/>
    <n v="7.65"/>
    <m/>
  </r>
  <r>
    <x v="0"/>
    <x v="1"/>
    <x v="34"/>
    <x v="3"/>
    <x v="8"/>
    <n v="7.65"/>
    <m/>
  </r>
  <r>
    <x v="0"/>
    <x v="1"/>
    <x v="5"/>
    <x v="0"/>
    <x v="4"/>
    <n v="43.85"/>
    <s v="Farm Boy"/>
  </r>
  <r>
    <x v="0"/>
    <x v="1"/>
    <x v="5"/>
    <x v="1"/>
    <x v="1"/>
    <n v="-43.85"/>
    <s v="Farm Boy"/>
  </r>
  <r>
    <x v="0"/>
    <x v="1"/>
    <x v="5"/>
    <x v="0"/>
    <x v="4"/>
    <n v="53.62"/>
    <s v="Metro"/>
  </r>
  <r>
    <x v="0"/>
    <x v="1"/>
    <x v="5"/>
    <x v="1"/>
    <x v="1"/>
    <n v="-53.62"/>
    <m/>
  </r>
  <r>
    <x v="0"/>
    <x v="1"/>
    <x v="50"/>
    <x v="0"/>
    <x v="17"/>
    <n v="12.07"/>
    <m/>
  </r>
  <r>
    <x v="0"/>
    <x v="1"/>
    <x v="50"/>
    <x v="3"/>
    <x v="8"/>
    <n v="12.07"/>
    <m/>
  </r>
  <r>
    <x v="0"/>
    <x v="1"/>
    <x v="7"/>
    <x v="0"/>
    <x v="3"/>
    <n v="10.61"/>
    <s v="OF"/>
  </r>
  <r>
    <x v="0"/>
    <x v="1"/>
    <x v="7"/>
    <x v="3"/>
    <x v="8"/>
    <n v="10.61"/>
    <s v="OF"/>
  </r>
  <r>
    <x v="0"/>
    <x v="1"/>
    <x v="5"/>
    <x v="0"/>
    <x v="4"/>
    <n v="23.89"/>
    <s v="Metro"/>
  </r>
  <r>
    <x v="0"/>
    <x v="1"/>
    <x v="5"/>
    <x v="1"/>
    <x v="1"/>
    <n v="-23.89"/>
    <s v="Metro"/>
  </r>
  <r>
    <x v="0"/>
    <x v="1"/>
    <x v="50"/>
    <x v="0"/>
    <x v="17"/>
    <n v="2"/>
    <m/>
  </r>
  <r>
    <x v="0"/>
    <x v="1"/>
    <x v="50"/>
    <x v="3"/>
    <x v="8"/>
    <n v="2"/>
    <m/>
  </r>
  <r>
    <x v="0"/>
    <x v="1"/>
    <x v="35"/>
    <x v="0"/>
    <x v="0"/>
    <n v="3.38"/>
    <m/>
  </r>
  <r>
    <x v="0"/>
    <x v="1"/>
    <x v="35"/>
    <x v="3"/>
    <x v="8"/>
    <n v="3.38"/>
    <m/>
  </r>
  <r>
    <x v="0"/>
    <x v="1"/>
    <x v="1"/>
    <x v="0"/>
    <x v="0"/>
    <n v="17.23"/>
    <s v="Alien Romulus"/>
  </r>
  <r>
    <x v="0"/>
    <x v="1"/>
    <x v="1"/>
    <x v="1"/>
    <x v="1"/>
    <n v="-17.23"/>
    <s v="Alien Romulus"/>
  </r>
  <r>
    <x v="0"/>
    <x v="1"/>
    <x v="18"/>
    <x v="3"/>
    <x v="8"/>
    <n v="-35.71"/>
    <m/>
  </r>
  <r>
    <x v="0"/>
    <x v="1"/>
    <x v="18"/>
    <x v="1"/>
    <x v="1"/>
    <n v="-35.71"/>
    <m/>
  </r>
  <r>
    <x v="0"/>
    <x v="1"/>
    <x v="60"/>
    <x v="0"/>
    <x v="0"/>
    <n v="25"/>
    <s v="Mike Munnik (15 for drinks, 10 ticket)"/>
  </r>
  <r>
    <x v="0"/>
    <x v="1"/>
    <x v="60"/>
    <x v="1"/>
    <x v="9"/>
    <n v="-25"/>
    <s v="Mike Munnik (15 for drinks, 10 ticket)"/>
  </r>
  <r>
    <x v="0"/>
    <x v="1"/>
    <x v="61"/>
    <x v="0"/>
    <x v="20"/>
    <n v="19.2"/>
    <s v="Thermometer"/>
  </r>
  <r>
    <x v="0"/>
    <x v="1"/>
    <x v="61"/>
    <x v="3"/>
    <x v="8"/>
    <n v="19.2"/>
    <s v="Thermometer"/>
  </r>
  <r>
    <x v="0"/>
    <x v="1"/>
    <x v="8"/>
    <x v="0"/>
    <x v="4"/>
    <n v="8.61"/>
    <s v="qch café"/>
  </r>
  <r>
    <x v="0"/>
    <x v="1"/>
    <x v="8"/>
    <x v="1"/>
    <x v="1"/>
    <n v="-8.61"/>
    <s v="qch café"/>
  </r>
  <r>
    <x v="0"/>
    <x v="1"/>
    <x v="46"/>
    <x v="1"/>
    <x v="1"/>
    <n v="2172.7800000000002"/>
    <m/>
  </r>
  <r>
    <x v="0"/>
    <x v="1"/>
    <x v="46"/>
    <x v="2"/>
    <x v="24"/>
    <n v="2172.7800000000002"/>
    <m/>
  </r>
  <r>
    <x v="0"/>
    <x v="1"/>
    <x v="8"/>
    <x v="0"/>
    <x v="4"/>
    <n v="9.25"/>
    <s v="McDonald's"/>
  </r>
  <r>
    <x v="0"/>
    <x v="1"/>
    <x v="8"/>
    <x v="1"/>
    <x v="1"/>
    <n v="-9.25"/>
    <s v="Mcdonalds"/>
  </r>
  <r>
    <x v="0"/>
    <x v="1"/>
    <x v="8"/>
    <x v="0"/>
    <x v="4"/>
    <n v="13.53"/>
    <s v="qch café"/>
  </r>
  <r>
    <x v="0"/>
    <x v="1"/>
    <x v="8"/>
    <x v="1"/>
    <x v="1"/>
    <n v="-13.53"/>
    <s v="qch café"/>
  </r>
  <r>
    <x v="0"/>
    <x v="1"/>
    <x v="5"/>
    <x v="0"/>
    <x v="4"/>
    <n v="59.7"/>
    <s v="Metro"/>
  </r>
  <r>
    <x v="0"/>
    <x v="1"/>
    <x v="5"/>
    <x v="1"/>
    <x v="1"/>
    <n v="-59.7"/>
    <s v="Metro"/>
  </r>
  <r>
    <x v="0"/>
    <x v="1"/>
    <x v="19"/>
    <x v="0"/>
    <x v="7"/>
    <n v="14.18"/>
    <m/>
  </r>
  <r>
    <x v="0"/>
    <x v="1"/>
    <x v="19"/>
    <x v="3"/>
    <x v="8"/>
    <n v="14.18"/>
    <m/>
  </r>
  <r>
    <x v="0"/>
    <x v="1"/>
    <x v="8"/>
    <x v="0"/>
    <x v="4"/>
    <n v="9.0299999999999994"/>
    <s v="Tim Horton"/>
  </r>
  <r>
    <x v="0"/>
    <x v="1"/>
    <x v="8"/>
    <x v="1"/>
    <x v="1"/>
    <n v="-9.0299999999999994"/>
    <m/>
  </r>
  <r>
    <x v="0"/>
    <x v="1"/>
    <x v="62"/>
    <x v="1"/>
    <x v="9"/>
    <n v="700"/>
    <s v="taking money out for escort"/>
  </r>
  <r>
    <x v="0"/>
    <x v="1"/>
    <x v="62"/>
    <x v="1"/>
    <x v="1"/>
    <n v="-700"/>
    <s v="taking money out for escort"/>
  </r>
  <r>
    <x v="0"/>
    <x v="1"/>
    <x v="7"/>
    <x v="0"/>
    <x v="3"/>
    <n v="600"/>
    <s v="escort date"/>
  </r>
  <r>
    <x v="0"/>
    <x v="1"/>
    <x v="7"/>
    <x v="1"/>
    <x v="9"/>
    <n v="-600"/>
    <s v="escort date"/>
  </r>
  <r>
    <x v="0"/>
    <x v="1"/>
    <x v="7"/>
    <x v="0"/>
    <x v="3"/>
    <n v="115.35"/>
    <s v="escort date dinner"/>
  </r>
  <r>
    <x v="0"/>
    <x v="1"/>
    <x v="7"/>
    <x v="1"/>
    <x v="1"/>
    <n v="-115.35"/>
    <s v="escort date dinner"/>
  </r>
  <r>
    <x v="0"/>
    <x v="1"/>
    <x v="7"/>
    <x v="0"/>
    <x v="3"/>
    <n v="10.8"/>
    <s v="escort gift - cupcakes"/>
  </r>
  <r>
    <x v="0"/>
    <x v="1"/>
    <x v="7"/>
    <x v="1"/>
    <x v="9"/>
    <n v="-10.8"/>
    <s v="escort gift - cupcakes"/>
  </r>
  <r>
    <x v="0"/>
    <x v="1"/>
    <x v="7"/>
    <x v="0"/>
    <x v="3"/>
    <n v="24.83"/>
    <s v="escort gift -candles"/>
  </r>
  <r>
    <x v="0"/>
    <x v="1"/>
    <x v="7"/>
    <x v="1"/>
    <x v="1"/>
    <n v="-24.83"/>
    <s v="escort gift -candles"/>
  </r>
  <r>
    <x v="0"/>
    <x v="1"/>
    <x v="8"/>
    <x v="0"/>
    <x v="4"/>
    <n v="10.17"/>
    <s v="AC café"/>
  </r>
  <r>
    <x v="0"/>
    <x v="1"/>
    <x v="8"/>
    <x v="1"/>
    <x v="1"/>
    <n v="-10.17"/>
    <s v="Ac café"/>
  </r>
  <r>
    <x v="0"/>
    <x v="1"/>
    <x v="27"/>
    <x v="0"/>
    <x v="7"/>
    <n v="161.44999999999999"/>
    <m/>
  </r>
  <r>
    <x v="0"/>
    <x v="1"/>
    <x v="27"/>
    <x v="3"/>
    <x v="8"/>
    <n v="161.44999999999999"/>
    <m/>
  </r>
  <r>
    <x v="0"/>
    <x v="1"/>
    <x v="18"/>
    <x v="3"/>
    <x v="8"/>
    <n v="-194.83"/>
    <m/>
  </r>
  <r>
    <x v="0"/>
    <x v="1"/>
    <x v="18"/>
    <x v="1"/>
    <x v="1"/>
    <n v="-194.83"/>
    <m/>
  </r>
  <r>
    <x v="0"/>
    <x v="1"/>
    <x v="8"/>
    <x v="0"/>
    <x v="4"/>
    <n v="11"/>
    <s v="qch café"/>
  </r>
  <r>
    <x v="0"/>
    <x v="1"/>
    <x v="8"/>
    <x v="1"/>
    <x v="9"/>
    <n v="-11"/>
    <s v="qch café"/>
  </r>
  <r>
    <x v="0"/>
    <x v="1"/>
    <x v="63"/>
    <x v="0"/>
    <x v="28"/>
    <n v="86"/>
    <s v="clearing debt. Covers gas, groceries."/>
  </r>
  <r>
    <x v="0"/>
    <x v="1"/>
    <x v="63"/>
    <x v="1"/>
    <x v="30"/>
    <n v="-86"/>
    <s v="clearing debt. Covers gas, groceries."/>
  </r>
  <r>
    <x v="0"/>
    <x v="1"/>
    <x v="4"/>
    <x v="0"/>
    <x v="3"/>
    <n v="2.4"/>
    <s v="qch café"/>
  </r>
  <r>
    <x v="0"/>
    <x v="1"/>
    <x v="4"/>
    <x v="1"/>
    <x v="9"/>
    <n v="-2.4"/>
    <s v="qch café"/>
  </r>
  <r>
    <x v="0"/>
    <x v="1"/>
    <x v="8"/>
    <x v="0"/>
    <x v="4"/>
    <n v="4.5999999999999996"/>
    <s v="Farm Boy sald bar"/>
  </r>
  <r>
    <x v="0"/>
    <x v="1"/>
    <x v="5"/>
    <x v="0"/>
    <x v="4"/>
    <n v="17.600000000000001"/>
    <s v="Farm Boy"/>
  </r>
  <r>
    <x v="0"/>
    <x v="1"/>
    <x v="20"/>
    <x v="1"/>
    <x v="9"/>
    <n v="-22.2"/>
    <s v="Farm Boy"/>
  </r>
  <r>
    <x v="0"/>
    <x v="1"/>
    <x v="8"/>
    <x v="0"/>
    <x v="4"/>
    <n v="2"/>
    <s v="qch café"/>
  </r>
  <r>
    <x v="0"/>
    <x v="1"/>
    <x v="4"/>
    <x v="0"/>
    <x v="3"/>
    <n v="2"/>
    <s v="qch café"/>
  </r>
  <r>
    <x v="0"/>
    <x v="1"/>
    <x v="48"/>
    <x v="1"/>
    <x v="9"/>
    <n v="-4"/>
    <s v="qch café"/>
  </r>
  <r>
    <x v="0"/>
    <x v="1"/>
    <x v="5"/>
    <x v="0"/>
    <x v="4"/>
    <n v="21.98"/>
    <s v="Metro"/>
  </r>
  <r>
    <x v="0"/>
    <x v="1"/>
    <x v="5"/>
    <x v="1"/>
    <x v="1"/>
    <n v="-21.98"/>
    <s v="Metro"/>
  </r>
  <r>
    <x v="0"/>
    <x v="1"/>
    <x v="64"/>
    <x v="0"/>
    <x v="14"/>
    <n v="62.63"/>
    <s v="Intro to Materials Management"/>
  </r>
  <r>
    <x v="0"/>
    <x v="1"/>
    <x v="64"/>
    <x v="3"/>
    <x v="8"/>
    <n v="62.63"/>
    <s v="Intro to Materials Management"/>
  </r>
  <r>
    <x v="0"/>
    <x v="1"/>
    <x v="18"/>
    <x v="3"/>
    <x v="8"/>
    <n v="-62.63"/>
    <s v="Intro to Materials Management"/>
  </r>
  <r>
    <x v="0"/>
    <x v="1"/>
    <x v="18"/>
    <x v="1"/>
    <x v="1"/>
    <n v="-62.63"/>
    <s v="Intro to Materials Management"/>
  </r>
  <r>
    <x v="0"/>
    <x v="1"/>
    <x v="63"/>
    <x v="1"/>
    <x v="30"/>
    <n v="30"/>
    <s v="Acronis Subsciption"/>
  </r>
  <r>
    <x v="0"/>
    <x v="1"/>
    <x v="63"/>
    <x v="2"/>
    <x v="26"/>
    <n v="30"/>
    <s v="Acronis subscription"/>
  </r>
  <r>
    <x v="0"/>
    <x v="1"/>
    <x v="52"/>
    <x v="1"/>
    <x v="9"/>
    <n v="1000"/>
    <s v="Dad- CPAP machine"/>
  </r>
  <r>
    <x v="0"/>
    <x v="1"/>
    <x v="52"/>
    <x v="2"/>
    <x v="31"/>
    <n v="1000"/>
    <s v="Dad- CPAP machine"/>
  </r>
  <r>
    <x v="2"/>
    <x v="1"/>
    <x v="46"/>
    <x v="2"/>
    <x v="24"/>
    <n v="3500"/>
    <m/>
  </r>
  <r>
    <x v="1"/>
    <x v="1"/>
    <x v="22"/>
    <x v="0"/>
    <x v="13"/>
    <n v="0"/>
    <m/>
  </r>
  <r>
    <x v="1"/>
    <x v="1"/>
    <x v="23"/>
    <x v="0"/>
    <x v="14"/>
    <n v="0"/>
    <m/>
  </r>
  <r>
    <x v="1"/>
    <x v="1"/>
    <x v="11"/>
    <x v="0"/>
    <x v="14"/>
    <n v="3"/>
    <m/>
  </r>
  <r>
    <x v="1"/>
    <x v="1"/>
    <x v="24"/>
    <x v="0"/>
    <x v="15"/>
    <n v="0"/>
    <m/>
  </r>
  <r>
    <x v="1"/>
    <x v="1"/>
    <x v="5"/>
    <x v="0"/>
    <x v="4"/>
    <n v="300"/>
    <m/>
  </r>
  <r>
    <x v="1"/>
    <x v="1"/>
    <x v="8"/>
    <x v="0"/>
    <x v="4"/>
    <n v="100"/>
    <m/>
  </r>
  <r>
    <x v="1"/>
    <x v="1"/>
    <x v="25"/>
    <x v="0"/>
    <x v="16"/>
    <n v="55"/>
    <m/>
  </r>
  <r>
    <x v="1"/>
    <x v="1"/>
    <x v="26"/>
    <x v="0"/>
    <x v="7"/>
    <n v="0"/>
    <m/>
  </r>
  <r>
    <x v="1"/>
    <x v="1"/>
    <x v="27"/>
    <x v="0"/>
    <x v="7"/>
    <n v="0"/>
    <m/>
  </r>
  <r>
    <x v="1"/>
    <x v="1"/>
    <x v="28"/>
    <x v="0"/>
    <x v="7"/>
    <n v="0"/>
    <m/>
  </r>
  <r>
    <x v="1"/>
    <x v="1"/>
    <x v="19"/>
    <x v="0"/>
    <x v="7"/>
    <n v="14.31"/>
    <m/>
  </r>
  <r>
    <x v="1"/>
    <x v="1"/>
    <x v="13"/>
    <x v="0"/>
    <x v="7"/>
    <n v="31.92"/>
    <m/>
  </r>
  <r>
    <x v="1"/>
    <x v="1"/>
    <x v="29"/>
    <x v="0"/>
    <x v="7"/>
    <n v="0"/>
    <m/>
  </r>
  <r>
    <x v="1"/>
    <x v="1"/>
    <x v="30"/>
    <x v="0"/>
    <x v="7"/>
    <n v="0"/>
    <m/>
  </r>
  <r>
    <x v="1"/>
    <x v="1"/>
    <x v="3"/>
    <x v="0"/>
    <x v="2"/>
    <n v="250"/>
    <m/>
  </r>
  <r>
    <x v="1"/>
    <x v="1"/>
    <x v="31"/>
    <x v="0"/>
    <x v="0"/>
    <n v="0"/>
    <m/>
  </r>
  <r>
    <x v="1"/>
    <x v="1"/>
    <x v="12"/>
    <x v="0"/>
    <x v="0"/>
    <n v="11.29"/>
    <m/>
  </r>
  <r>
    <x v="1"/>
    <x v="1"/>
    <x v="32"/>
    <x v="0"/>
    <x v="0"/>
    <n v="0"/>
    <m/>
  </r>
  <r>
    <x v="1"/>
    <x v="1"/>
    <x v="16"/>
    <x v="0"/>
    <x v="0"/>
    <n v="0"/>
    <m/>
  </r>
  <r>
    <x v="1"/>
    <x v="1"/>
    <x v="6"/>
    <x v="0"/>
    <x v="0"/>
    <n v="13.55"/>
    <m/>
  </r>
  <r>
    <x v="1"/>
    <x v="1"/>
    <x v="33"/>
    <x v="0"/>
    <x v="0"/>
    <n v="0"/>
    <m/>
  </r>
  <r>
    <x v="1"/>
    <x v="1"/>
    <x v="34"/>
    <x v="0"/>
    <x v="0"/>
    <n v="7.65"/>
    <m/>
  </r>
  <r>
    <x v="1"/>
    <x v="1"/>
    <x v="35"/>
    <x v="0"/>
    <x v="0"/>
    <n v="3.38"/>
    <m/>
  </r>
  <r>
    <x v="1"/>
    <x v="1"/>
    <x v="36"/>
    <x v="0"/>
    <x v="0"/>
    <n v="0"/>
    <m/>
  </r>
  <r>
    <x v="1"/>
    <x v="1"/>
    <x v="47"/>
    <x v="0"/>
    <x v="0"/>
    <n v="6.77"/>
    <m/>
  </r>
  <r>
    <x v="1"/>
    <x v="1"/>
    <x v="37"/>
    <x v="0"/>
    <x v="0"/>
    <n v="30"/>
    <m/>
  </r>
  <r>
    <x v="1"/>
    <x v="1"/>
    <x v="0"/>
    <x v="0"/>
    <x v="0"/>
    <n v="8.39"/>
    <m/>
  </r>
  <r>
    <x v="1"/>
    <x v="1"/>
    <x v="38"/>
    <x v="0"/>
    <x v="0"/>
    <n v="0"/>
    <m/>
  </r>
  <r>
    <x v="1"/>
    <x v="1"/>
    <x v="39"/>
    <x v="0"/>
    <x v="17"/>
    <n v="65"/>
    <m/>
  </r>
  <r>
    <x v="1"/>
    <x v="1"/>
    <x v="40"/>
    <x v="0"/>
    <x v="17"/>
    <n v="0"/>
    <m/>
  </r>
  <r>
    <x v="1"/>
    <x v="1"/>
    <x v="41"/>
    <x v="0"/>
    <x v="18"/>
    <n v="250"/>
    <m/>
  </r>
  <r>
    <x v="1"/>
    <x v="1"/>
    <x v="7"/>
    <x v="0"/>
    <x v="3"/>
    <n v="700"/>
    <m/>
  </r>
  <r>
    <x v="2"/>
    <x v="2"/>
    <x v="46"/>
    <x v="2"/>
    <x v="24"/>
    <n v="2000"/>
    <m/>
  </r>
  <r>
    <x v="2"/>
    <x v="2"/>
    <x v="52"/>
    <x v="2"/>
    <x v="31"/>
    <n v="500"/>
    <m/>
  </r>
  <r>
    <x v="1"/>
    <x v="2"/>
    <x v="21"/>
    <x v="0"/>
    <x v="12"/>
    <n v="0"/>
    <s v="gifts Christmas"/>
  </r>
  <r>
    <x v="1"/>
    <x v="2"/>
    <x v="22"/>
    <x v="0"/>
    <x v="13"/>
    <n v="0"/>
    <m/>
  </r>
  <r>
    <x v="1"/>
    <x v="2"/>
    <x v="23"/>
    <x v="0"/>
    <x v="14"/>
    <n v="0"/>
    <m/>
  </r>
  <r>
    <x v="1"/>
    <x v="2"/>
    <x v="11"/>
    <x v="0"/>
    <x v="14"/>
    <n v="3"/>
    <m/>
  </r>
  <r>
    <x v="1"/>
    <x v="2"/>
    <x v="24"/>
    <x v="0"/>
    <x v="15"/>
    <n v="0"/>
    <m/>
  </r>
  <r>
    <x v="1"/>
    <x v="2"/>
    <x v="5"/>
    <x v="0"/>
    <x v="4"/>
    <n v="400"/>
    <m/>
  </r>
  <r>
    <x v="1"/>
    <x v="2"/>
    <x v="8"/>
    <x v="0"/>
    <x v="4"/>
    <n v="50"/>
    <m/>
  </r>
  <r>
    <x v="1"/>
    <x v="2"/>
    <x v="25"/>
    <x v="0"/>
    <x v="16"/>
    <n v="80"/>
    <m/>
  </r>
  <r>
    <x v="1"/>
    <x v="2"/>
    <x v="26"/>
    <x v="0"/>
    <x v="7"/>
    <n v="0"/>
    <m/>
  </r>
  <r>
    <x v="1"/>
    <x v="2"/>
    <x v="27"/>
    <x v="0"/>
    <x v="7"/>
    <n v="0"/>
    <m/>
  </r>
  <r>
    <x v="1"/>
    <x v="2"/>
    <x v="28"/>
    <x v="0"/>
    <x v="7"/>
    <n v="0"/>
    <m/>
  </r>
  <r>
    <x v="1"/>
    <x v="2"/>
    <x v="19"/>
    <x v="0"/>
    <x v="7"/>
    <n v="14.31"/>
    <m/>
  </r>
  <r>
    <x v="1"/>
    <x v="2"/>
    <x v="13"/>
    <x v="0"/>
    <x v="7"/>
    <n v="31.92"/>
    <m/>
  </r>
  <r>
    <x v="1"/>
    <x v="2"/>
    <x v="29"/>
    <x v="0"/>
    <x v="7"/>
    <n v="0"/>
    <m/>
  </r>
  <r>
    <x v="1"/>
    <x v="2"/>
    <x v="30"/>
    <x v="0"/>
    <x v="7"/>
    <n v="0"/>
    <m/>
  </r>
  <r>
    <x v="1"/>
    <x v="2"/>
    <x v="31"/>
    <x v="0"/>
    <x v="0"/>
    <n v="0"/>
    <m/>
  </r>
  <r>
    <x v="1"/>
    <x v="2"/>
    <x v="12"/>
    <x v="0"/>
    <x v="0"/>
    <n v="11.29"/>
    <m/>
  </r>
  <r>
    <x v="1"/>
    <x v="2"/>
    <x v="32"/>
    <x v="0"/>
    <x v="0"/>
    <n v="0"/>
    <m/>
  </r>
  <r>
    <x v="1"/>
    <x v="2"/>
    <x v="16"/>
    <x v="0"/>
    <x v="0"/>
    <n v="0"/>
    <m/>
  </r>
  <r>
    <x v="1"/>
    <x v="2"/>
    <x v="6"/>
    <x v="0"/>
    <x v="0"/>
    <n v="13.55"/>
    <m/>
  </r>
  <r>
    <x v="1"/>
    <x v="2"/>
    <x v="33"/>
    <x v="0"/>
    <x v="0"/>
    <n v="0"/>
    <m/>
  </r>
  <r>
    <x v="1"/>
    <x v="2"/>
    <x v="34"/>
    <x v="0"/>
    <x v="0"/>
    <n v="7.65"/>
    <m/>
  </r>
  <r>
    <x v="1"/>
    <x v="2"/>
    <x v="35"/>
    <x v="0"/>
    <x v="0"/>
    <n v="3.38"/>
    <m/>
  </r>
  <r>
    <x v="1"/>
    <x v="2"/>
    <x v="36"/>
    <x v="0"/>
    <x v="0"/>
    <n v="0"/>
    <m/>
  </r>
  <r>
    <x v="1"/>
    <x v="2"/>
    <x v="47"/>
    <x v="0"/>
    <x v="0"/>
    <n v="6.77"/>
    <m/>
  </r>
  <r>
    <x v="1"/>
    <x v="2"/>
    <x v="0"/>
    <x v="0"/>
    <x v="0"/>
    <n v="8.39"/>
    <m/>
  </r>
  <r>
    <x v="1"/>
    <x v="2"/>
    <x v="38"/>
    <x v="0"/>
    <x v="0"/>
    <n v="0"/>
    <m/>
  </r>
  <r>
    <x v="1"/>
    <x v="2"/>
    <x v="39"/>
    <x v="0"/>
    <x v="17"/>
    <n v="65"/>
    <m/>
  </r>
  <r>
    <x v="1"/>
    <x v="2"/>
    <x v="40"/>
    <x v="0"/>
    <x v="17"/>
    <n v="0"/>
    <m/>
  </r>
  <r>
    <x v="0"/>
    <x v="3"/>
    <x v="0"/>
    <x v="0"/>
    <x v="0"/>
    <n v="8.39"/>
    <m/>
  </r>
  <r>
    <x v="0"/>
    <x v="3"/>
    <x v="2"/>
    <x v="1"/>
    <x v="1"/>
    <n v="-8.39"/>
    <m/>
  </r>
  <r>
    <x v="0"/>
    <x v="3"/>
    <x v="3"/>
    <x v="0"/>
    <x v="2"/>
    <n v="500"/>
    <s v="rent Feb. Date adjusted. Paid Jan 22"/>
  </r>
  <r>
    <x v="0"/>
    <x v="3"/>
    <x v="3"/>
    <x v="1"/>
    <x v="1"/>
    <n v="-500"/>
    <s v="rent Feb. Date adjusted. Paid Jan 22"/>
  </r>
  <r>
    <x v="0"/>
    <x v="3"/>
    <x v="7"/>
    <x v="0"/>
    <x v="3"/>
    <n v="18.739999999999998"/>
    <s v="OF"/>
  </r>
  <r>
    <x v="0"/>
    <x v="3"/>
    <x v="7"/>
    <x v="0"/>
    <x v="3"/>
    <n v="39.03"/>
    <s v="OF"/>
  </r>
  <r>
    <x v="0"/>
    <x v="3"/>
    <x v="7"/>
    <x v="0"/>
    <x v="3"/>
    <n v="31.22"/>
    <s v="OF"/>
  </r>
  <r>
    <x v="0"/>
    <x v="3"/>
    <x v="6"/>
    <x v="0"/>
    <x v="0"/>
    <n v="14.68"/>
    <m/>
  </r>
  <r>
    <x v="0"/>
    <x v="3"/>
    <x v="8"/>
    <x v="0"/>
    <x v="4"/>
    <n v="5.64"/>
    <s v="Wendy's"/>
  </r>
  <r>
    <x v="0"/>
    <x v="3"/>
    <x v="2"/>
    <x v="1"/>
    <x v="1"/>
    <n v="-109.31"/>
    <m/>
  </r>
  <r>
    <x v="0"/>
    <x v="3"/>
    <x v="7"/>
    <x v="0"/>
    <x v="3"/>
    <n v="150"/>
    <s v="escort date - Kamila"/>
  </r>
  <r>
    <x v="0"/>
    <x v="3"/>
    <x v="7"/>
    <x v="1"/>
    <x v="1"/>
    <n v="-150"/>
    <s v="escort date - Kamila"/>
  </r>
  <r>
    <x v="0"/>
    <x v="3"/>
    <x v="7"/>
    <x v="0"/>
    <x v="3"/>
    <n v="131"/>
    <s v="escort date - kamila"/>
  </r>
  <r>
    <x v="0"/>
    <x v="3"/>
    <x v="7"/>
    <x v="1"/>
    <x v="1"/>
    <n v="-131"/>
    <s v="escort date - Kamila"/>
  </r>
  <r>
    <x v="0"/>
    <x v="3"/>
    <x v="7"/>
    <x v="0"/>
    <x v="3"/>
    <n v="83.5"/>
    <s v="escort date"/>
  </r>
  <r>
    <x v="0"/>
    <x v="3"/>
    <x v="7"/>
    <x v="1"/>
    <x v="1"/>
    <n v="-83.5"/>
    <s v="escort date"/>
  </r>
  <r>
    <x v="0"/>
    <x v="3"/>
    <x v="50"/>
    <x v="0"/>
    <x v="17"/>
    <n v="2.35"/>
    <s v="Uber"/>
  </r>
  <r>
    <x v="0"/>
    <x v="3"/>
    <x v="8"/>
    <x v="0"/>
    <x v="4"/>
    <n v="13.65"/>
    <s v="Harvey's"/>
  </r>
  <r>
    <x v="0"/>
    <x v="3"/>
    <x v="5"/>
    <x v="0"/>
    <x v="4"/>
    <n v="17.850000000000001"/>
    <s v="Metro"/>
  </r>
  <r>
    <x v="0"/>
    <x v="3"/>
    <x v="5"/>
    <x v="0"/>
    <x v="4"/>
    <n v="10.119999999999999"/>
    <s v="Metro"/>
  </r>
  <r>
    <x v="0"/>
    <x v="3"/>
    <x v="8"/>
    <x v="0"/>
    <x v="4"/>
    <n v="11.3"/>
    <s v="AC Café"/>
  </r>
  <r>
    <x v="0"/>
    <x v="3"/>
    <x v="65"/>
    <x v="0"/>
    <x v="15"/>
    <n v="340"/>
    <m/>
  </r>
  <r>
    <x v="0"/>
    <x v="3"/>
    <x v="2"/>
    <x v="1"/>
    <x v="1"/>
    <n v="-395.27"/>
    <m/>
  </r>
  <r>
    <x v="0"/>
    <x v="3"/>
    <x v="58"/>
    <x v="0"/>
    <x v="28"/>
    <n v="55"/>
    <s v="e-transfer to mom"/>
  </r>
  <r>
    <x v="0"/>
    <x v="3"/>
    <x v="58"/>
    <x v="1"/>
    <x v="1"/>
    <n v="-55"/>
    <s v="e-transfer to mom"/>
  </r>
  <r>
    <x v="0"/>
    <x v="3"/>
    <x v="5"/>
    <x v="0"/>
    <x v="4"/>
    <n v="17.559999999999999"/>
    <s v="Metro"/>
  </r>
  <r>
    <x v="0"/>
    <x v="3"/>
    <x v="8"/>
    <x v="0"/>
    <x v="4"/>
    <n v="4.8"/>
    <s v="AC Café"/>
  </r>
  <r>
    <x v="0"/>
    <x v="3"/>
    <x v="8"/>
    <x v="0"/>
    <x v="4"/>
    <n v="5.97"/>
    <s v="Wendy's"/>
  </r>
  <r>
    <x v="0"/>
    <x v="3"/>
    <x v="5"/>
    <x v="0"/>
    <x v="4"/>
    <n v="10.94"/>
    <s v="Metro"/>
  </r>
  <r>
    <x v="0"/>
    <x v="3"/>
    <x v="2"/>
    <x v="1"/>
    <x v="1"/>
    <n v="-39.270000000000003"/>
    <m/>
  </r>
  <r>
    <x v="0"/>
    <x v="3"/>
    <x v="9"/>
    <x v="0"/>
    <x v="5"/>
    <n v="26.96"/>
    <s v="February"/>
  </r>
  <r>
    <x v="0"/>
    <x v="3"/>
    <x v="9"/>
    <x v="1"/>
    <x v="1"/>
    <n v="-26.96"/>
    <s v="February"/>
  </r>
  <r>
    <x v="0"/>
    <x v="3"/>
    <x v="58"/>
    <x v="0"/>
    <x v="28"/>
    <n v="27"/>
    <s v="e-transfer to mom"/>
  </r>
  <r>
    <x v="0"/>
    <x v="3"/>
    <x v="58"/>
    <x v="1"/>
    <x v="9"/>
    <n v="-27"/>
    <s v="e-transfer to mom"/>
  </r>
  <r>
    <x v="0"/>
    <x v="3"/>
    <x v="65"/>
    <x v="1"/>
    <x v="1"/>
    <n v="102"/>
    <s v="Purchase Return BetterHelp"/>
  </r>
  <r>
    <x v="0"/>
    <x v="3"/>
    <x v="65"/>
    <x v="2"/>
    <x v="32"/>
    <n v="102"/>
    <s v="Purchase Return BetterHelp"/>
  </r>
  <r>
    <x v="0"/>
    <x v="3"/>
    <x v="11"/>
    <x v="0"/>
    <x v="14"/>
    <n v="3"/>
    <m/>
  </r>
  <r>
    <x v="0"/>
    <x v="3"/>
    <x v="11"/>
    <x v="1"/>
    <x v="1"/>
    <n v="-3"/>
    <m/>
  </r>
  <r>
    <x v="0"/>
    <x v="3"/>
    <x v="58"/>
    <x v="1"/>
    <x v="1"/>
    <n v="20"/>
    <s v="E-Transfer to Paul"/>
  </r>
  <r>
    <x v="0"/>
    <x v="3"/>
    <x v="58"/>
    <x v="0"/>
    <x v="28"/>
    <n v="-20"/>
    <s v="unknown e-transfer to Paul"/>
  </r>
  <r>
    <x v="0"/>
    <x v="3"/>
    <x v="4"/>
    <x v="0"/>
    <x v="3"/>
    <n v="3.15"/>
    <s v="food"/>
  </r>
  <r>
    <x v="0"/>
    <x v="3"/>
    <x v="4"/>
    <x v="1"/>
    <x v="1"/>
    <n v="-3.15"/>
    <m/>
  </r>
  <r>
    <x v="0"/>
    <x v="3"/>
    <x v="65"/>
    <x v="1"/>
    <x v="1"/>
    <n v="238"/>
    <s v="Purchase Return BetterHelp"/>
  </r>
  <r>
    <x v="0"/>
    <x v="3"/>
    <x v="65"/>
    <x v="2"/>
    <x v="32"/>
    <n v="238"/>
    <m/>
  </r>
  <r>
    <x v="0"/>
    <x v="3"/>
    <x v="12"/>
    <x v="0"/>
    <x v="0"/>
    <n v="11.29"/>
    <m/>
  </r>
  <r>
    <x v="0"/>
    <x v="3"/>
    <x v="8"/>
    <x v="0"/>
    <x v="4"/>
    <n v="7.28"/>
    <s v="Wendy's"/>
  </r>
  <r>
    <x v="0"/>
    <x v="3"/>
    <x v="4"/>
    <x v="0"/>
    <x v="3"/>
    <n v="4.28"/>
    <s v="food"/>
  </r>
  <r>
    <x v="0"/>
    <x v="3"/>
    <x v="4"/>
    <x v="0"/>
    <x v="4"/>
    <n v="9.02"/>
    <s v="McDonald's"/>
  </r>
  <r>
    <x v="0"/>
    <x v="3"/>
    <x v="4"/>
    <x v="0"/>
    <x v="4"/>
    <n v="6.78"/>
    <s v="AC Café"/>
  </r>
  <r>
    <x v="0"/>
    <x v="3"/>
    <x v="5"/>
    <x v="0"/>
    <x v="4"/>
    <n v="17.440000000000001"/>
    <s v="Metro"/>
  </r>
  <r>
    <x v="0"/>
    <x v="3"/>
    <x v="8"/>
    <x v="0"/>
    <x v="4"/>
    <n v="9.02"/>
    <s v="McDonald's"/>
  </r>
  <r>
    <x v="0"/>
    <x v="3"/>
    <x v="8"/>
    <x v="0"/>
    <x v="4"/>
    <n v="14.22"/>
    <s v="Subway"/>
  </r>
  <r>
    <x v="0"/>
    <x v="3"/>
    <x v="5"/>
    <x v="0"/>
    <x v="4"/>
    <n v="48.37"/>
    <s v="Metro"/>
  </r>
  <r>
    <x v="0"/>
    <x v="3"/>
    <x v="66"/>
    <x v="0"/>
    <x v="14"/>
    <n v="8"/>
    <s v="Tutor"/>
  </r>
  <r>
    <x v="0"/>
    <x v="3"/>
    <x v="17"/>
    <x v="0"/>
    <x v="0"/>
    <n v="44.06"/>
    <s v="Video Games"/>
  </r>
  <r>
    <x v="0"/>
    <x v="3"/>
    <x v="8"/>
    <x v="0"/>
    <x v="4"/>
    <n v="13.41"/>
    <s v="McDonald's"/>
  </r>
  <r>
    <x v="0"/>
    <x v="3"/>
    <x v="17"/>
    <x v="0"/>
    <x v="0"/>
    <n v="1.46"/>
    <s v="Video Games"/>
  </r>
  <r>
    <x v="0"/>
    <x v="3"/>
    <x v="5"/>
    <x v="0"/>
    <x v="4"/>
    <n v="28.05"/>
    <s v="Farm Boy"/>
  </r>
  <r>
    <x v="0"/>
    <x v="3"/>
    <x v="2"/>
    <x v="1"/>
    <x v="1"/>
    <n v="-222.68"/>
    <m/>
  </r>
  <r>
    <x v="0"/>
    <x v="3"/>
    <x v="67"/>
    <x v="1"/>
    <x v="1"/>
    <n v="51.13"/>
    <s v="Unknown Amazon purchase return 51.13"/>
  </r>
  <r>
    <x v="0"/>
    <x v="3"/>
    <x v="67"/>
    <x v="2"/>
    <x v="32"/>
    <n v="51.13"/>
    <s v="Unknown Amazon purchase return 51.13"/>
  </r>
  <r>
    <x v="0"/>
    <x v="3"/>
    <x v="8"/>
    <x v="0"/>
    <x v="4"/>
    <n v="17.72"/>
    <s v="Thai Express"/>
  </r>
  <r>
    <x v="0"/>
    <x v="3"/>
    <x v="16"/>
    <x v="0"/>
    <x v="0"/>
    <n v="18.63"/>
    <m/>
  </r>
  <r>
    <x v="0"/>
    <x v="3"/>
    <x v="8"/>
    <x v="0"/>
    <x v="4"/>
    <n v="10.88"/>
    <s v="AC Café"/>
  </r>
  <r>
    <x v="0"/>
    <x v="3"/>
    <x v="8"/>
    <x v="0"/>
    <x v="4"/>
    <n v="17"/>
    <s v="AC Café"/>
  </r>
  <r>
    <x v="0"/>
    <x v="3"/>
    <x v="5"/>
    <x v="0"/>
    <x v="4"/>
    <n v="47.67"/>
    <s v="Metro"/>
  </r>
  <r>
    <x v="0"/>
    <x v="3"/>
    <x v="17"/>
    <x v="0"/>
    <x v="0"/>
    <n v="11.85"/>
    <s v="Video Games"/>
  </r>
  <r>
    <x v="0"/>
    <x v="3"/>
    <x v="25"/>
    <x v="0"/>
    <x v="16"/>
    <n v="101.7"/>
    <s v="Bill Phone"/>
  </r>
  <r>
    <x v="0"/>
    <x v="3"/>
    <x v="8"/>
    <x v="0"/>
    <x v="4"/>
    <n v="11.73"/>
    <s v="Wendy's"/>
  </r>
  <r>
    <x v="0"/>
    <x v="3"/>
    <x v="5"/>
    <x v="0"/>
    <x v="4"/>
    <n v="24.33"/>
    <s v="Metro"/>
  </r>
  <r>
    <x v="0"/>
    <x v="3"/>
    <x v="8"/>
    <x v="0"/>
    <x v="4"/>
    <n v="16.89"/>
    <s v="Shawarma"/>
  </r>
  <r>
    <x v="0"/>
    <x v="3"/>
    <x v="17"/>
    <x v="0"/>
    <x v="0"/>
    <n v="29.37"/>
    <s v="Video Games"/>
  </r>
  <r>
    <x v="0"/>
    <x v="3"/>
    <x v="2"/>
    <x v="1"/>
    <x v="1"/>
    <n v="-307.77"/>
    <m/>
  </r>
  <r>
    <x v="0"/>
    <x v="3"/>
    <x v="68"/>
    <x v="0"/>
    <x v="15"/>
    <n v="327.7"/>
    <s v="teeth cleaning"/>
  </r>
  <r>
    <x v="0"/>
    <x v="3"/>
    <x v="68"/>
    <x v="1"/>
    <x v="1"/>
    <n v="-327.7"/>
    <s v="teeth cleaning"/>
  </r>
  <r>
    <x v="0"/>
    <x v="3"/>
    <x v="69"/>
    <x v="1"/>
    <x v="1"/>
    <n v="307"/>
    <s v="Insurance Claim"/>
  </r>
  <r>
    <x v="0"/>
    <x v="3"/>
    <x v="69"/>
    <x v="2"/>
    <x v="26"/>
    <n v="307"/>
    <s v="insurance claim"/>
  </r>
  <r>
    <x v="0"/>
    <x v="3"/>
    <x v="1"/>
    <x v="0"/>
    <x v="0"/>
    <n v="26.5"/>
    <s v="movie - jazz"/>
  </r>
  <r>
    <x v="0"/>
    <x v="3"/>
    <x v="1"/>
    <x v="1"/>
    <x v="1"/>
    <n v="-26.5"/>
    <s v="Movie - Jazz"/>
  </r>
  <r>
    <x v="0"/>
    <x v="3"/>
    <x v="8"/>
    <x v="0"/>
    <x v="4"/>
    <n v="19.190000000000001"/>
    <s v="Shawarma"/>
  </r>
  <r>
    <x v="0"/>
    <x v="3"/>
    <x v="8"/>
    <x v="0"/>
    <x v="4"/>
    <n v="9.93"/>
    <s v="Wendy's"/>
  </r>
  <r>
    <x v="0"/>
    <x v="3"/>
    <x v="2"/>
    <x v="1"/>
    <x v="1"/>
    <n v="-29.12"/>
    <m/>
  </r>
  <r>
    <x v="1"/>
    <x v="3"/>
    <x v="21"/>
    <x v="0"/>
    <x v="12"/>
    <n v="0"/>
    <s v="gifts Christmas"/>
  </r>
  <r>
    <x v="1"/>
    <x v="3"/>
    <x v="22"/>
    <x v="0"/>
    <x v="13"/>
    <n v="0"/>
    <m/>
  </r>
  <r>
    <x v="1"/>
    <x v="3"/>
    <x v="23"/>
    <x v="0"/>
    <x v="14"/>
    <n v="0"/>
    <m/>
  </r>
  <r>
    <x v="1"/>
    <x v="3"/>
    <x v="11"/>
    <x v="0"/>
    <x v="14"/>
    <n v="3"/>
    <m/>
  </r>
  <r>
    <x v="1"/>
    <x v="3"/>
    <x v="24"/>
    <x v="0"/>
    <x v="15"/>
    <n v="0"/>
    <m/>
  </r>
  <r>
    <x v="1"/>
    <x v="3"/>
    <x v="5"/>
    <x v="0"/>
    <x v="4"/>
    <n v="400"/>
    <m/>
  </r>
  <r>
    <x v="1"/>
    <x v="3"/>
    <x v="8"/>
    <x v="0"/>
    <x v="4"/>
    <n v="60"/>
    <m/>
  </r>
  <r>
    <x v="1"/>
    <x v="3"/>
    <x v="25"/>
    <x v="0"/>
    <x v="16"/>
    <n v="55"/>
    <m/>
  </r>
  <r>
    <x v="1"/>
    <x v="3"/>
    <x v="26"/>
    <x v="0"/>
    <x v="7"/>
    <n v="0"/>
    <m/>
  </r>
  <r>
    <x v="1"/>
    <x v="3"/>
    <x v="27"/>
    <x v="0"/>
    <x v="7"/>
    <n v="0"/>
    <m/>
  </r>
  <r>
    <x v="1"/>
    <x v="3"/>
    <x v="28"/>
    <x v="0"/>
    <x v="7"/>
    <n v="0"/>
    <m/>
  </r>
  <r>
    <x v="1"/>
    <x v="3"/>
    <x v="19"/>
    <x v="0"/>
    <x v="7"/>
    <n v="0"/>
    <m/>
  </r>
  <r>
    <x v="1"/>
    <x v="3"/>
    <x v="13"/>
    <x v="0"/>
    <x v="7"/>
    <n v="0"/>
    <m/>
  </r>
  <r>
    <x v="1"/>
    <x v="3"/>
    <x v="29"/>
    <x v="0"/>
    <x v="7"/>
    <n v="0"/>
    <m/>
  </r>
  <r>
    <x v="1"/>
    <x v="3"/>
    <x v="30"/>
    <x v="0"/>
    <x v="7"/>
    <n v="0"/>
    <m/>
  </r>
  <r>
    <x v="1"/>
    <x v="3"/>
    <x v="3"/>
    <x v="0"/>
    <x v="2"/>
    <n v="150"/>
    <m/>
  </r>
  <r>
    <x v="1"/>
    <x v="3"/>
    <x v="31"/>
    <x v="0"/>
    <x v="0"/>
    <n v="0"/>
    <m/>
  </r>
  <r>
    <x v="1"/>
    <x v="3"/>
    <x v="12"/>
    <x v="0"/>
    <x v="0"/>
    <n v="11.29"/>
    <m/>
  </r>
  <r>
    <x v="1"/>
    <x v="3"/>
    <x v="32"/>
    <x v="0"/>
    <x v="0"/>
    <n v="0"/>
    <m/>
  </r>
  <r>
    <x v="1"/>
    <x v="3"/>
    <x v="16"/>
    <x v="0"/>
    <x v="0"/>
    <n v="0"/>
    <m/>
  </r>
  <r>
    <x v="1"/>
    <x v="3"/>
    <x v="6"/>
    <x v="0"/>
    <x v="0"/>
    <n v="13.55"/>
    <m/>
  </r>
  <r>
    <x v="1"/>
    <x v="3"/>
    <x v="33"/>
    <x v="0"/>
    <x v="0"/>
    <n v="0"/>
    <m/>
  </r>
  <r>
    <x v="1"/>
    <x v="3"/>
    <x v="34"/>
    <x v="0"/>
    <x v="0"/>
    <n v="0"/>
    <m/>
  </r>
  <r>
    <x v="1"/>
    <x v="3"/>
    <x v="35"/>
    <x v="0"/>
    <x v="0"/>
    <n v="0"/>
    <m/>
  </r>
  <r>
    <x v="1"/>
    <x v="3"/>
    <x v="36"/>
    <x v="0"/>
    <x v="0"/>
    <n v="0"/>
    <m/>
  </r>
  <r>
    <x v="1"/>
    <x v="3"/>
    <x v="0"/>
    <x v="0"/>
    <x v="0"/>
    <n v="8.39"/>
    <m/>
  </r>
  <r>
    <x v="1"/>
    <x v="3"/>
    <x v="38"/>
    <x v="0"/>
    <x v="0"/>
    <n v="0"/>
    <m/>
  </r>
  <r>
    <x v="1"/>
    <x v="3"/>
    <x v="39"/>
    <x v="0"/>
    <x v="17"/>
    <n v="0"/>
    <m/>
  </r>
  <r>
    <x v="1"/>
    <x v="3"/>
    <x v="40"/>
    <x v="0"/>
    <x v="17"/>
    <n v="0"/>
    <m/>
  </r>
  <r>
    <x v="1"/>
    <x v="3"/>
    <x v="41"/>
    <x v="0"/>
    <x v="18"/>
    <n v="0"/>
    <m/>
  </r>
  <r>
    <x v="0"/>
    <x v="4"/>
    <x v="70"/>
    <x v="3"/>
    <x v="8"/>
    <n v="-743.13"/>
    <s v="balancing out credit card"/>
  </r>
  <r>
    <x v="0"/>
    <x v="4"/>
    <x v="71"/>
    <x v="1"/>
    <x v="9"/>
    <n v="-116.58"/>
    <s v="balancing cash"/>
  </r>
  <r>
    <x v="0"/>
    <x v="4"/>
    <x v="70"/>
    <x v="2"/>
    <x v="26"/>
    <n v="743.13"/>
    <s v="balancing out credit card"/>
  </r>
  <r>
    <x v="0"/>
    <x v="4"/>
    <x v="71"/>
    <x v="1"/>
    <x v="1"/>
    <n v="-2909.57"/>
    <s v="balancing out chequing account"/>
  </r>
  <r>
    <x v="0"/>
    <x v="4"/>
    <x v="0"/>
    <x v="1"/>
    <x v="1"/>
    <n v="-8.39"/>
    <m/>
  </r>
  <r>
    <x v="0"/>
    <x v="4"/>
    <x v="43"/>
    <x v="1"/>
    <x v="1"/>
    <n v="6673.6"/>
    <s v="initializing chequing account"/>
  </r>
  <r>
    <x v="0"/>
    <x v="4"/>
    <x v="43"/>
    <x v="1"/>
    <x v="1"/>
    <n v="6970"/>
    <s v="covers winter 2024 and fall 2023"/>
  </r>
  <r>
    <x v="0"/>
    <x v="4"/>
    <x v="22"/>
    <x v="1"/>
    <x v="1"/>
    <n v="-5696.68"/>
    <s v="this covers fall 2023 and the remaining balance of winter 2024(Jan 6)"/>
  </r>
  <r>
    <x v="0"/>
    <x v="4"/>
    <x v="2"/>
    <x v="1"/>
    <x v="1"/>
    <n v="-106.92"/>
    <m/>
  </r>
  <r>
    <x v="0"/>
    <x v="4"/>
    <x v="2"/>
    <x v="1"/>
    <x v="1"/>
    <n v="-23.42"/>
    <m/>
  </r>
  <r>
    <x v="0"/>
    <x v="4"/>
    <x v="7"/>
    <x v="1"/>
    <x v="1"/>
    <n v="-403.5"/>
    <s v="escort date"/>
  </r>
  <r>
    <x v="0"/>
    <x v="4"/>
    <x v="2"/>
    <x v="1"/>
    <x v="1"/>
    <n v="-81.88"/>
    <m/>
  </r>
  <r>
    <x v="0"/>
    <x v="4"/>
    <x v="2"/>
    <x v="1"/>
    <x v="1"/>
    <n v="-2.5099999999999998"/>
    <m/>
  </r>
  <r>
    <x v="0"/>
    <x v="4"/>
    <x v="2"/>
    <x v="1"/>
    <x v="1"/>
    <n v="-153.94"/>
    <m/>
  </r>
  <r>
    <x v="0"/>
    <x v="4"/>
    <x v="22"/>
    <x v="1"/>
    <x v="1"/>
    <n v="-1273.32"/>
    <s v="Winter 2024"/>
  </r>
  <r>
    <x v="0"/>
    <x v="4"/>
    <x v="2"/>
    <x v="1"/>
    <x v="1"/>
    <n v="-55.3"/>
    <m/>
  </r>
  <r>
    <x v="0"/>
    <x v="4"/>
    <x v="3"/>
    <x v="1"/>
    <x v="1"/>
    <n v="-500"/>
    <s v="rent January"/>
  </r>
  <r>
    <x v="0"/>
    <x v="4"/>
    <x v="2"/>
    <x v="1"/>
    <x v="1"/>
    <n v="-30.97"/>
    <m/>
  </r>
  <r>
    <x v="0"/>
    <x v="4"/>
    <x v="70"/>
    <x v="0"/>
    <x v="28"/>
    <n v="0.75"/>
    <s v="balancing out credit card"/>
  </r>
  <r>
    <x v="0"/>
    <x v="4"/>
    <x v="71"/>
    <x v="0"/>
    <x v="28"/>
    <n v="116.58"/>
    <s v="balancing cash"/>
  </r>
  <r>
    <x v="0"/>
    <x v="4"/>
    <x v="71"/>
    <x v="0"/>
    <x v="28"/>
    <n v="2909.57"/>
    <s v="balancing out chequing account"/>
  </r>
  <r>
    <x v="0"/>
    <x v="4"/>
    <x v="67"/>
    <x v="0"/>
    <x v="28"/>
    <n v="38.409999999999997"/>
    <s v="Amazon"/>
  </r>
  <r>
    <x v="0"/>
    <x v="4"/>
    <x v="67"/>
    <x v="0"/>
    <x v="28"/>
    <n v="16.89"/>
    <s v="Amazon"/>
  </r>
  <r>
    <x v="0"/>
    <x v="4"/>
    <x v="43"/>
    <x v="1"/>
    <x v="29"/>
    <n v="992.82"/>
    <s v="initializing savings account"/>
  </r>
  <r>
    <x v="0"/>
    <x v="4"/>
    <x v="70"/>
    <x v="3"/>
    <x v="11"/>
    <n v="0.75"/>
    <s v="balancing out credit card"/>
  </r>
  <r>
    <x v="0"/>
    <x v="4"/>
    <x v="0"/>
    <x v="0"/>
    <x v="0"/>
    <n v="8.39"/>
    <m/>
  </r>
  <r>
    <x v="0"/>
    <x v="4"/>
    <x v="6"/>
    <x v="0"/>
    <x v="0"/>
    <n v="14.68"/>
    <m/>
  </r>
  <r>
    <x v="0"/>
    <x v="4"/>
    <x v="17"/>
    <x v="0"/>
    <x v="0"/>
    <n v="11.85"/>
    <s v="Video Game"/>
  </r>
  <r>
    <x v="0"/>
    <x v="4"/>
    <x v="43"/>
    <x v="4"/>
    <x v="22"/>
    <n v="992.82"/>
    <s v="initializing savings account"/>
  </r>
  <r>
    <x v="0"/>
    <x v="4"/>
    <x v="43"/>
    <x v="4"/>
    <x v="22"/>
    <n v="6673.6"/>
    <s v="initializing chequing account"/>
  </r>
  <r>
    <x v="0"/>
    <x v="4"/>
    <x v="43"/>
    <x v="3"/>
    <x v="33"/>
    <n v="6970"/>
    <s v="covers winter 2024 and fall 2023"/>
  </r>
  <r>
    <x v="0"/>
    <x v="4"/>
    <x v="22"/>
    <x v="0"/>
    <x v="14"/>
    <n v="5696.68"/>
    <s v="this covers fall 2023 and the remaining balance of winter 2024(Jan 6)"/>
  </r>
  <r>
    <x v="0"/>
    <x v="4"/>
    <x v="22"/>
    <x v="0"/>
    <x v="14"/>
    <n v="1273.32"/>
    <s v="Winter 2024"/>
  </r>
  <r>
    <x v="0"/>
    <x v="4"/>
    <x v="50"/>
    <x v="0"/>
    <x v="17"/>
    <n v="57.72"/>
    <s v="Uber"/>
  </r>
  <r>
    <x v="0"/>
    <x v="4"/>
    <x v="50"/>
    <x v="0"/>
    <x v="17"/>
    <n v="3"/>
    <s v="uber"/>
  </r>
  <r>
    <x v="0"/>
    <x v="4"/>
    <x v="50"/>
    <x v="0"/>
    <x v="17"/>
    <n v="11.31"/>
    <s v="Uber"/>
  </r>
  <r>
    <x v="0"/>
    <x v="4"/>
    <x v="50"/>
    <x v="0"/>
    <x v="17"/>
    <n v="2.5099999999999998"/>
    <s v="Uber"/>
  </r>
  <r>
    <x v="0"/>
    <x v="4"/>
    <x v="5"/>
    <x v="0"/>
    <x v="4"/>
    <n v="14.51"/>
    <s v="Metro"/>
  </r>
  <r>
    <x v="0"/>
    <x v="4"/>
    <x v="8"/>
    <x v="0"/>
    <x v="4"/>
    <n v="11.21"/>
    <s v="QCH Café"/>
  </r>
  <r>
    <x v="0"/>
    <x v="4"/>
    <x v="8"/>
    <x v="0"/>
    <x v="4"/>
    <n v="8.8000000000000007"/>
    <s v="Tim Horton"/>
  </r>
  <r>
    <x v="0"/>
    <x v="4"/>
    <x v="8"/>
    <x v="0"/>
    <x v="4"/>
    <n v="8.8000000000000007"/>
    <s v="Tim Horton"/>
  </r>
  <r>
    <x v="0"/>
    <x v="4"/>
    <x v="8"/>
    <x v="0"/>
    <x v="4"/>
    <n v="11.62"/>
    <s v="QCH Café"/>
  </r>
  <r>
    <x v="0"/>
    <x v="4"/>
    <x v="8"/>
    <x v="0"/>
    <x v="4"/>
    <n v="18.82"/>
    <s v="Unknown takeout expense"/>
  </r>
  <r>
    <x v="0"/>
    <x v="4"/>
    <x v="5"/>
    <x v="0"/>
    <x v="4"/>
    <n v="19.12"/>
    <s v="Metro"/>
  </r>
  <r>
    <x v="0"/>
    <x v="4"/>
    <x v="7"/>
    <x v="0"/>
    <x v="3"/>
    <n v="403.5"/>
    <s v="escort date"/>
  </r>
  <r>
    <x v="0"/>
    <x v="4"/>
    <x v="7"/>
    <x v="0"/>
    <x v="3"/>
    <n v="29.43"/>
    <s v="OF"/>
  </r>
  <r>
    <x v="0"/>
    <x v="4"/>
    <x v="60"/>
    <x v="0"/>
    <x v="12"/>
    <n v="22.32"/>
    <s v="resturant"/>
  </r>
  <r>
    <x v="0"/>
    <x v="4"/>
    <x v="21"/>
    <x v="0"/>
    <x v="12"/>
    <n v="153.94"/>
    <s v="Mom Birthday"/>
  </r>
  <r>
    <x v="0"/>
    <x v="4"/>
    <x v="3"/>
    <x v="0"/>
    <x v="2"/>
    <n v="500"/>
    <s v="rent January"/>
  </r>
  <r>
    <x v="0"/>
    <x v="4"/>
    <x v="9"/>
    <x v="0"/>
    <x v="5"/>
    <n v="26.96"/>
    <m/>
  </r>
  <r>
    <x v="0"/>
    <x v="4"/>
    <x v="9"/>
    <x v="0"/>
    <x v="5"/>
    <n v="-26.96"/>
    <m/>
  </r>
  <r>
    <x v="0"/>
    <x v="4"/>
    <x v="64"/>
    <x v="0"/>
    <x v="14"/>
    <n v="88.09"/>
    <s v="AC Bookstore"/>
  </r>
  <r>
    <x v="0"/>
    <x v="4"/>
    <x v="64"/>
    <x v="0"/>
    <x v="14"/>
    <n v="96.04"/>
    <s v="AC Bookstore"/>
  </r>
  <r>
    <x v="0"/>
    <x v="4"/>
    <x v="8"/>
    <x v="0"/>
    <x v="4"/>
    <n v="7.78"/>
    <s v="Wendy's"/>
  </r>
  <r>
    <x v="0"/>
    <x v="4"/>
    <x v="11"/>
    <x v="0"/>
    <x v="14"/>
    <n v="3"/>
    <m/>
  </r>
  <r>
    <x v="0"/>
    <x v="4"/>
    <x v="8"/>
    <x v="0"/>
    <x v="4"/>
    <n v="20.49"/>
    <s v="AC Café"/>
  </r>
  <r>
    <x v="0"/>
    <x v="4"/>
    <x v="5"/>
    <x v="0"/>
    <x v="4"/>
    <n v="21.81"/>
    <s v="Farm Boy"/>
  </r>
  <r>
    <x v="0"/>
    <x v="4"/>
    <x v="2"/>
    <x v="1"/>
    <x v="1"/>
    <n v="-237.21"/>
    <m/>
  </r>
  <r>
    <x v="0"/>
    <x v="4"/>
    <x v="8"/>
    <x v="0"/>
    <x v="4"/>
    <n v="17.149999999999999"/>
    <s v="Thai Express"/>
  </r>
  <r>
    <x v="0"/>
    <x v="4"/>
    <x v="8"/>
    <x v="0"/>
    <x v="4"/>
    <n v="5.65"/>
    <s v="AC Café"/>
  </r>
  <r>
    <x v="0"/>
    <x v="4"/>
    <x v="58"/>
    <x v="0"/>
    <x v="28"/>
    <n v="41.32"/>
    <s v="Amazon"/>
  </r>
  <r>
    <x v="0"/>
    <x v="4"/>
    <x v="2"/>
    <x v="1"/>
    <x v="1"/>
    <n v="-64.12"/>
    <m/>
  </r>
  <r>
    <x v="0"/>
    <x v="4"/>
    <x v="46"/>
    <x v="1"/>
    <x v="1"/>
    <n v="1822.54"/>
    <m/>
  </r>
  <r>
    <x v="0"/>
    <x v="4"/>
    <x v="46"/>
    <x v="2"/>
    <x v="24"/>
    <n v="1822.54"/>
    <m/>
  </r>
  <r>
    <x v="0"/>
    <x v="4"/>
    <x v="12"/>
    <x v="0"/>
    <x v="0"/>
    <n v="11.29"/>
    <m/>
  </r>
  <r>
    <x v="0"/>
    <x v="4"/>
    <x v="12"/>
    <x v="1"/>
    <x v="1"/>
    <n v="-11.29"/>
    <m/>
  </r>
  <r>
    <x v="0"/>
    <x v="4"/>
    <x v="72"/>
    <x v="1"/>
    <x v="1"/>
    <n v="70"/>
    <s v="Paul"/>
  </r>
  <r>
    <x v="0"/>
    <x v="4"/>
    <x v="72"/>
    <x v="2"/>
    <x v="26"/>
    <n v="70"/>
    <s v="Paul"/>
  </r>
  <r>
    <x v="0"/>
    <x v="4"/>
    <x v="5"/>
    <x v="0"/>
    <x v="4"/>
    <n v="88.95"/>
    <s v="Metro"/>
  </r>
  <r>
    <x v="0"/>
    <x v="4"/>
    <x v="5"/>
    <x v="0"/>
    <x v="4"/>
    <n v="15.06"/>
    <s v="Unknown grocery expense"/>
  </r>
  <r>
    <x v="0"/>
    <x v="4"/>
    <x v="2"/>
    <x v="1"/>
    <x v="1"/>
    <n v="-104.01"/>
    <m/>
  </r>
  <r>
    <x v="0"/>
    <x v="4"/>
    <x v="4"/>
    <x v="0"/>
    <x v="3"/>
    <n v="10.71"/>
    <s v="food"/>
  </r>
  <r>
    <x v="0"/>
    <x v="4"/>
    <x v="4"/>
    <x v="1"/>
    <x v="1"/>
    <n v="-10.71"/>
    <s v="food"/>
  </r>
  <r>
    <x v="0"/>
    <x v="4"/>
    <x v="10"/>
    <x v="1"/>
    <x v="1"/>
    <n v="122"/>
    <m/>
  </r>
  <r>
    <x v="0"/>
    <x v="4"/>
    <x v="10"/>
    <x v="2"/>
    <x v="6"/>
    <n v="122"/>
    <m/>
  </r>
  <r>
    <x v="0"/>
    <x v="4"/>
    <x v="50"/>
    <x v="0"/>
    <x v="17"/>
    <n v="11.33"/>
    <s v="Uber"/>
  </r>
  <r>
    <x v="0"/>
    <x v="4"/>
    <x v="5"/>
    <x v="0"/>
    <x v="4"/>
    <n v="8.56"/>
    <s v="Unknown grocery expense"/>
  </r>
  <r>
    <x v="0"/>
    <x v="4"/>
    <x v="2"/>
    <x v="1"/>
    <x v="1"/>
    <n v="-19.89"/>
    <m/>
  </r>
  <r>
    <x v="0"/>
    <x v="4"/>
    <x v="8"/>
    <x v="0"/>
    <x v="4"/>
    <n v="5.97"/>
    <s v="Wendy's"/>
  </r>
  <r>
    <x v="0"/>
    <x v="4"/>
    <x v="8"/>
    <x v="1"/>
    <x v="1"/>
    <n v="-5.97"/>
    <s v="Wendy's"/>
  </r>
  <r>
    <x v="0"/>
    <x v="4"/>
    <x v="7"/>
    <x v="0"/>
    <x v="3"/>
    <n v="111"/>
    <s v="unknown escort expense"/>
  </r>
  <r>
    <x v="0"/>
    <x v="4"/>
    <x v="7"/>
    <x v="1"/>
    <x v="1"/>
    <n v="-111"/>
    <s v="unknown escort expense"/>
  </r>
  <r>
    <x v="0"/>
    <x v="4"/>
    <x v="7"/>
    <x v="0"/>
    <x v="3"/>
    <n v="21.95"/>
    <s v="OF"/>
  </r>
  <r>
    <x v="0"/>
    <x v="4"/>
    <x v="7"/>
    <x v="0"/>
    <x v="3"/>
    <n v="10.98"/>
    <s v="OF"/>
  </r>
  <r>
    <x v="0"/>
    <x v="4"/>
    <x v="25"/>
    <x v="0"/>
    <x v="16"/>
    <n v="54.18"/>
    <s v="Bill Phone"/>
  </r>
  <r>
    <x v="0"/>
    <x v="4"/>
    <x v="5"/>
    <x v="0"/>
    <x v="4"/>
    <n v="22.9"/>
    <s v="Unknown grocery expense"/>
  </r>
  <r>
    <x v="0"/>
    <x v="4"/>
    <x v="2"/>
    <x v="1"/>
    <x v="1"/>
    <n v="-110.01"/>
    <m/>
  </r>
  <r>
    <x v="0"/>
    <x v="4"/>
    <x v="8"/>
    <x v="0"/>
    <x v="4"/>
    <n v="8.4600000000000009"/>
    <s v="Pizza Pizza"/>
  </r>
  <r>
    <x v="0"/>
    <x v="4"/>
    <x v="50"/>
    <x v="0"/>
    <x v="17"/>
    <n v="16.600000000000001"/>
    <s v="Uber"/>
  </r>
  <r>
    <x v="0"/>
    <x v="4"/>
    <x v="50"/>
    <x v="0"/>
    <x v="17"/>
    <n v="17.399999999999999"/>
    <s v="Uber"/>
  </r>
  <r>
    <x v="0"/>
    <x v="4"/>
    <x v="2"/>
    <x v="1"/>
    <x v="1"/>
    <n v="-42.46"/>
    <m/>
  </r>
  <r>
    <x v="0"/>
    <x v="4"/>
    <x v="58"/>
    <x v="0"/>
    <x v="28"/>
    <n v="75"/>
    <s v="e-transfer to mom"/>
  </r>
  <r>
    <x v="0"/>
    <x v="4"/>
    <x v="58"/>
    <x v="1"/>
    <x v="1"/>
    <n v="-75"/>
    <s v="e-transfer to mom"/>
  </r>
  <r>
    <x v="0"/>
    <x v="4"/>
    <x v="1"/>
    <x v="0"/>
    <x v="0"/>
    <n v="7.9"/>
    <s v="Movie"/>
  </r>
  <r>
    <x v="0"/>
    <x v="4"/>
    <x v="8"/>
    <x v="0"/>
    <x v="4"/>
    <n v="8.8000000000000007"/>
    <s v="Tim Horton"/>
  </r>
  <r>
    <x v="0"/>
    <x v="4"/>
    <x v="2"/>
    <x v="1"/>
    <x v="1"/>
    <n v="-16.7"/>
    <m/>
  </r>
  <r>
    <x v="0"/>
    <x v="4"/>
    <x v="73"/>
    <x v="1"/>
    <x v="1"/>
    <n v="45"/>
    <s v="money from Jack for textbook"/>
  </r>
  <r>
    <x v="0"/>
    <x v="4"/>
    <x v="73"/>
    <x v="2"/>
    <x v="26"/>
    <n v="45"/>
    <s v="money from Jack for textbook"/>
  </r>
  <r>
    <x v="0"/>
    <x v="4"/>
    <x v="16"/>
    <x v="0"/>
    <x v="0"/>
    <n v="18.63"/>
    <m/>
  </r>
  <r>
    <x v="0"/>
    <x v="4"/>
    <x v="8"/>
    <x v="0"/>
    <x v="4"/>
    <n v="7.78"/>
    <s v="Wendy's"/>
  </r>
  <r>
    <x v="0"/>
    <x v="4"/>
    <x v="8"/>
    <x v="0"/>
    <x v="4"/>
    <n v="17.52"/>
    <s v="AC Café"/>
  </r>
  <r>
    <x v="0"/>
    <x v="4"/>
    <x v="8"/>
    <x v="0"/>
    <x v="4"/>
    <n v="5.65"/>
    <s v="AC Café"/>
  </r>
  <r>
    <x v="0"/>
    <x v="4"/>
    <x v="2"/>
    <x v="1"/>
    <x v="1"/>
    <n v="-49.58"/>
    <m/>
  </r>
  <r>
    <x v="0"/>
    <x v="4"/>
    <x v="68"/>
    <x v="0"/>
    <x v="15"/>
    <n v="253.9"/>
    <s v="x-rays"/>
  </r>
  <r>
    <x v="0"/>
    <x v="4"/>
    <x v="68"/>
    <x v="1"/>
    <x v="1"/>
    <n v="-253.9"/>
    <s v="x-rays"/>
  </r>
  <r>
    <x v="0"/>
    <x v="4"/>
    <x v="8"/>
    <x v="0"/>
    <x v="4"/>
    <n v="16.89"/>
    <s v="Shawarma"/>
  </r>
  <r>
    <x v="0"/>
    <x v="4"/>
    <x v="8"/>
    <x v="0"/>
    <x v="4"/>
    <n v="8.69"/>
    <s v="McDonald's"/>
  </r>
  <r>
    <x v="0"/>
    <x v="4"/>
    <x v="67"/>
    <x v="0"/>
    <x v="28"/>
    <n v="47.66"/>
    <s v="Unknown Amazon purchase"/>
  </r>
  <r>
    <x v="0"/>
    <x v="4"/>
    <x v="67"/>
    <x v="0"/>
    <x v="28"/>
    <n v="17.48"/>
    <s v="Unknown Amazon purchase"/>
  </r>
  <r>
    <x v="0"/>
    <x v="4"/>
    <x v="67"/>
    <x v="0"/>
    <x v="28"/>
    <n v="60.23"/>
    <s v="Amazon"/>
  </r>
  <r>
    <x v="0"/>
    <x v="4"/>
    <x v="8"/>
    <x v="0"/>
    <x v="4"/>
    <n v="13.14"/>
    <s v="McDonald's"/>
  </r>
  <r>
    <x v="0"/>
    <x v="4"/>
    <x v="5"/>
    <x v="0"/>
    <x v="4"/>
    <n v="17.77"/>
    <s v="Farm Boy"/>
  </r>
  <r>
    <x v="0"/>
    <x v="4"/>
    <x v="5"/>
    <x v="0"/>
    <x v="4"/>
    <n v="42.15"/>
    <s v="Metro"/>
  </r>
  <r>
    <x v="0"/>
    <x v="4"/>
    <x v="58"/>
    <x v="0"/>
    <x v="28"/>
    <n v="7.33"/>
    <m/>
  </r>
  <r>
    <x v="0"/>
    <x v="4"/>
    <x v="2"/>
    <x v="1"/>
    <x v="1"/>
    <n v="-231.34"/>
    <m/>
  </r>
  <r>
    <x v="0"/>
    <x v="4"/>
    <x v="46"/>
    <x v="1"/>
    <x v="1"/>
    <n v="369.74"/>
    <m/>
  </r>
  <r>
    <x v="0"/>
    <x v="4"/>
    <x v="46"/>
    <x v="2"/>
    <x v="24"/>
    <n v="369.74"/>
    <m/>
  </r>
  <r>
    <x v="0"/>
    <x v="4"/>
    <x v="8"/>
    <x v="0"/>
    <x v="4"/>
    <n v="7.78"/>
    <s v="Wendy's"/>
  </r>
  <r>
    <x v="0"/>
    <x v="4"/>
    <x v="67"/>
    <x v="0"/>
    <x v="28"/>
    <n v="33.74"/>
    <s v="Amazon"/>
  </r>
  <r>
    <x v="0"/>
    <x v="4"/>
    <x v="5"/>
    <x v="0"/>
    <x v="4"/>
    <n v="21.97"/>
    <s v="Metro"/>
  </r>
  <r>
    <x v="0"/>
    <x v="4"/>
    <x v="2"/>
    <x v="1"/>
    <x v="1"/>
    <n v="-63.49"/>
    <m/>
  </r>
  <r>
    <x v="2"/>
    <x v="4"/>
    <x v="46"/>
    <x v="2"/>
    <x v="24"/>
    <n v="500"/>
    <m/>
  </r>
  <r>
    <x v="1"/>
    <x v="4"/>
    <x v="21"/>
    <x v="0"/>
    <x v="12"/>
    <n v="0"/>
    <s v="gifts Christmas"/>
  </r>
  <r>
    <x v="1"/>
    <x v="4"/>
    <x v="22"/>
    <x v="0"/>
    <x v="13"/>
    <n v="0"/>
    <m/>
  </r>
  <r>
    <x v="1"/>
    <x v="4"/>
    <x v="23"/>
    <x v="0"/>
    <x v="14"/>
    <n v="0"/>
    <m/>
  </r>
  <r>
    <x v="1"/>
    <x v="4"/>
    <x v="11"/>
    <x v="0"/>
    <x v="14"/>
    <n v="3"/>
    <m/>
  </r>
  <r>
    <x v="1"/>
    <x v="4"/>
    <x v="24"/>
    <x v="0"/>
    <x v="15"/>
    <n v="0"/>
    <m/>
  </r>
  <r>
    <x v="1"/>
    <x v="4"/>
    <x v="5"/>
    <x v="0"/>
    <x v="4"/>
    <n v="0"/>
    <m/>
  </r>
  <r>
    <x v="1"/>
    <x v="4"/>
    <x v="8"/>
    <x v="0"/>
    <x v="4"/>
    <n v="0"/>
    <m/>
  </r>
  <r>
    <x v="1"/>
    <x v="4"/>
    <x v="25"/>
    <x v="0"/>
    <x v="16"/>
    <n v="0"/>
    <m/>
  </r>
  <r>
    <x v="1"/>
    <x v="4"/>
    <x v="26"/>
    <x v="0"/>
    <x v="7"/>
    <n v="0"/>
    <m/>
  </r>
  <r>
    <x v="1"/>
    <x v="4"/>
    <x v="27"/>
    <x v="0"/>
    <x v="7"/>
    <n v="0"/>
    <m/>
  </r>
  <r>
    <x v="1"/>
    <x v="4"/>
    <x v="28"/>
    <x v="0"/>
    <x v="7"/>
    <n v="0"/>
    <m/>
  </r>
  <r>
    <x v="1"/>
    <x v="4"/>
    <x v="19"/>
    <x v="0"/>
    <x v="7"/>
    <n v="0"/>
    <m/>
  </r>
  <r>
    <x v="1"/>
    <x v="4"/>
    <x v="13"/>
    <x v="0"/>
    <x v="7"/>
    <n v="0"/>
    <m/>
  </r>
  <r>
    <x v="1"/>
    <x v="4"/>
    <x v="29"/>
    <x v="0"/>
    <x v="7"/>
    <n v="0"/>
    <m/>
  </r>
  <r>
    <x v="1"/>
    <x v="4"/>
    <x v="30"/>
    <x v="0"/>
    <x v="7"/>
    <n v="0"/>
    <m/>
  </r>
  <r>
    <x v="1"/>
    <x v="4"/>
    <x v="3"/>
    <x v="0"/>
    <x v="2"/>
    <n v="0"/>
    <m/>
  </r>
  <r>
    <x v="1"/>
    <x v="4"/>
    <x v="31"/>
    <x v="0"/>
    <x v="0"/>
    <n v="0"/>
    <m/>
  </r>
  <r>
    <x v="1"/>
    <x v="4"/>
    <x v="12"/>
    <x v="0"/>
    <x v="0"/>
    <n v="11.29"/>
    <m/>
  </r>
  <r>
    <x v="1"/>
    <x v="4"/>
    <x v="32"/>
    <x v="0"/>
    <x v="0"/>
    <n v="0"/>
    <m/>
  </r>
  <r>
    <x v="1"/>
    <x v="4"/>
    <x v="16"/>
    <x v="0"/>
    <x v="0"/>
    <n v="0"/>
    <m/>
  </r>
  <r>
    <x v="1"/>
    <x v="4"/>
    <x v="6"/>
    <x v="0"/>
    <x v="0"/>
    <n v="0"/>
    <m/>
  </r>
  <r>
    <x v="1"/>
    <x v="4"/>
    <x v="33"/>
    <x v="0"/>
    <x v="0"/>
    <n v="0"/>
    <m/>
  </r>
  <r>
    <x v="1"/>
    <x v="4"/>
    <x v="34"/>
    <x v="0"/>
    <x v="0"/>
    <n v="0"/>
    <m/>
  </r>
  <r>
    <x v="1"/>
    <x v="4"/>
    <x v="35"/>
    <x v="0"/>
    <x v="0"/>
    <n v="0"/>
    <m/>
  </r>
  <r>
    <x v="1"/>
    <x v="4"/>
    <x v="36"/>
    <x v="0"/>
    <x v="0"/>
    <n v="0"/>
    <m/>
  </r>
  <r>
    <x v="1"/>
    <x v="4"/>
    <x v="0"/>
    <x v="0"/>
    <x v="0"/>
    <n v="0"/>
    <m/>
  </r>
  <r>
    <x v="1"/>
    <x v="4"/>
    <x v="38"/>
    <x v="0"/>
    <x v="0"/>
    <n v="0"/>
    <m/>
  </r>
  <r>
    <x v="1"/>
    <x v="4"/>
    <x v="39"/>
    <x v="0"/>
    <x v="17"/>
    <n v="0"/>
    <m/>
  </r>
  <r>
    <x v="1"/>
    <x v="4"/>
    <x v="40"/>
    <x v="0"/>
    <x v="17"/>
    <n v="0"/>
    <m/>
  </r>
  <r>
    <x v="1"/>
    <x v="4"/>
    <x v="41"/>
    <x v="0"/>
    <x v="18"/>
    <n v="0"/>
    <m/>
  </r>
  <r>
    <x v="0"/>
    <x v="5"/>
    <x v="39"/>
    <x v="0"/>
    <x v="17"/>
    <n v="65"/>
    <s v="car insurance July. Date adjusted. Paid June 28"/>
  </r>
  <r>
    <x v="0"/>
    <x v="5"/>
    <x v="39"/>
    <x v="1"/>
    <x v="1"/>
    <n v="-65"/>
    <s v="car insurance July. Date adjusted. Paid June 28"/>
  </r>
  <r>
    <x v="0"/>
    <x v="5"/>
    <x v="0"/>
    <x v="0"/>
    <x v="0"/>
    <n v="8.39"/>
    <m/>
  </r>
  <r>
    <x v="0"/>
    <x v="5"/>
    <x v="74"/>
    <x v="0"/>
    <x v="7"/>
    <n v="14.24"/>
    <s v="pen refills"/>
  </r>
  <r>
    <x v="0"/>
    <x v="5"/>
    <x v="74"/>
    <x v="3"/>
    <x v="8"/>
    <n v="14.24"/>
    <s v="pen refills"/>
  </r>
  <r>
    <x v="0"/>
    <x v="5"/>
    <x v="3"/>
    <x v="0"/>
    <x v="2"/>
    <n v="500"/>
    <s v="rent July. Date Adjusted"/>
  </r>
  <r>
    <x v="0"/>
    <x v="5"/>
    <x v="3"/>
    <x v="1"/>
    <x v="1"/>
    <n v="-500"/>
    <s v="rent July. Date Adjusted"/>
  </r>
  <r>
    <x v="0"/>
    <x v="5"/>
    <x v="31"/>
    <x v="3"/>
    <x v="8"/>
    <n v="8.39"/>
    <m/>
  </r>
  <r>
    <x v="0"/>
    <x v="5"/>
    <x v="8"/>
    <x v="0"/>
    <x v="4"/>
    <n v="16.579999999999998"/>
    <s v="A&amp;W"/>
  </r>
  <r>
    <x v="0"/>
    <x v="5"/>
    <x v="8"/>
    <x v="0"/>
    <x v="4"/>
    <n v="-16.579999999999998"/>
    <s v="A&amp;W"/>
  </r>
  <r>
    <x v="0"/>
    <x v="5"/>
    <x v="4"/>
    <x v="0"/>
    <x v="3"/>
    <n v="15.79"/>
    <s v="McDonald's"/>
  </r>
  <r>
    <x v="0"/>
    <x v="5"/>
    <x v="4"/>
    <x v="1"/>
    <x v="1"/>
    <n v="-15.79"/>
    <m/>
  </r>
  <r>
    <x v="0"/>
    <x v="5"/>
    <x v="5"/>
    <x v="0"/>
    <x v="4"/>
    <n v="26.25"/>
    <s v="Metro"/>
  </r>
  <r>
    <x v="0"/>
    <x v="5"/>
    <x v="5"/>
    <x v="0"/>
    <x v="4"/>
    <n v="-26.25"/>
    <m/>
  </r>
  <r>
    <x v="0"/>
    <x v="5"/>
    <x v="6"/>
    <x v="0"/>
    <x v="0"/>
    <n v="14.68"/>
    <m/>
  </r>
  <r>
    <x v="0"/>
    <x v="5"/>
    <x v="6"/>
    <x v="3"/>
    <x v="8"/>
    <n v="14.68"/>
    <m/>
  </r>
  <r>
    <x v="0"/>
    <x v="5"/>
    <x v="5"/>
    <x v="0"/>
    <x v="4"/>
    <n v="37.6"/>
    <s v="Metro"/>
  </r>
  <r>
    <x v="0"/>
    <x v="5"/>
    <x v="5"/>
    <x v="1"/>
    <x v="1"/>
    <n v="-37.6"/>
    <s v="Metro"/>
  </r>
  <r>
    <x v="0"/>
    <x v="5"/>
    <x v="75"/>
    <x v="1"/>
    <x v="1"/>
    <n v="129.75"/>
    <m/>
  </r>
  <r>
    <x v="0"/>
    <x v="5"/>
    <x v="75"/>
    <x v="2"/>
    <x v="6"/>
    <n v="129.75"/>
    <m/>
  </r>
  <r>
    <x v="0"/>
    <x v="5"/>
    <x v="8"/>
    <x v="0"/>
    <x v="4"/>
    <n v="27.75"/>
    <s v="Tim Horton"/>
  </r>
  <r>
    <x v="0"/>
    <x v="5"/>
    <x v="8"/>
    <x v="1"/>
    <x v="1"/>
    <n v="-27.75"/>
    <s v="Tim Horton"/>
  </r>
  <r>
    <x v="0"/>
    <x v="5"/>
    <x v="25"/>
    <x v="0"/>
    <x v="16"/>
    <n v="50.85"/>
    <s v="bill Phone July"/>
  </r>
  <r>
    <x v="0"/>
    <x v="5"/>
    <x v="25"/>
    <x v="1"/>
    <x v="1"/>
    <n v="-50.85"/>
    <s v="bill Phone July"/>
  </r>
  <r>
    <x v="0"/>
    <x v="5"/>
    <x v="5"/>
    <x v="0"/>
    <x v="4"/>
    <n v="30.5"/>
    <s v="Metro"/>
  </r>
  <r>
    <x v="0"/>
    <x v="5"/>
    <x v="5"/>
    <x v="1"/>
    <x v="1"/>
    <n v="-30.5"/>
    <s v="Metro"/>
  </r>
  <r>
    <x v="0"/>
    <x v="5"/>
    <x v="9"/>
    <x v="0"/>
    <x v="5"/>
    <n v="26.96"/>
    <s v="life insurance July"/>
  </r>
  <r>
    <x v="0"/>
    <x v="5"/>
    <x v="9"/>
    <x v="1"/>
    <x v="1"/>
    <n v="-26.96"/>
    <s v="life insurance July"/>
  </r>
  <r>
    <x v="0"/>
    <x v="5"/>
    <x v="4"/>
    <x v="0"/>
    <x v="3"/>
    <n v="2"/>
    <s v="peanuts"/>
  </r>
  <r>
    <x v="0"/>
    <x v="5"/>
    <x v="5"/>
    <x v="0"/>
    <x v="4"/>
    <n v="24.08"/>
    <s v="Metro"/>
  </r>
  <r>
    <x v="0"/>
    <x v="5"/>
    <x v="5"/>
    <x v="1"/>
    <x v="1"/>
    <n v="-26.08"/>
    <s v="Metro"/>
  </r>
  <r>
    <x v="0"/>
    <x v="5"/>
    <x v="1"/>
    <x v="0"/>
    <x v="0"/>
    <n v="10.17"/>
    <s v="Kill (Hindi)"/>
  </r>
  <r>
    <x v="0"/>
    <x v="5"/>
    <x v="1"/>
    <x v="1"/>
    <x v="1"/>
    <n v="-10.17"/>
    <s v="Kill (Hindi)"/>
  </r>
  <r>
    <x v="0"/>
    <x v="5"/>
    <x v="8"/>
    <x v="0"/>
    <x v="4"/>
    <n v="11.02"/>
    <s v="Shawarma"/>
  </r>
  <r>
    <x v="0"/>
    <x v="5"/>
    <x v="8"/>
    <x v="1"/>
    <x v="1"/>
    <n v="-11.02"/>
    <s v="Shawarma"/>
  </r>
  <r>
    <x v="0"/>
    <x v="5"/>
    <x v="18"/>
    <x v="3"/>
    <x v="8"/>
    <n v="-58.12"/>
    <s v="dividers, donation wiki, spotify"/>
  </r>
  <r>
    <x v="0"/>
    <x v="5"/>
    <x v="18"/>
    <x v="1"/>
    <x v="1"/>
    <n v="-58.12"/>
    <s v="dividers, donation wiki, spotify"/>
  </r>
  <r>
    <x v="0"/>
    <x v="5"/>
    <x v="11"/>
    <x v="0"/>
    <x v="14"/>
    <n v="3"/>
    <m/>
  </r>
  <r>
    <x v="0"/>
    <x v="5"/>
    <x v="11"/>
    <x v="3"/>
    <x v="8"/>
    <n v="3"/>
    <m/>
  </r>
  <r>
    <x v="0"/>
    <x v="5"/>
    <x v="74"/>
    <x v="0"/>
    <x v="7"/>
    <n v="48.35"/>
    <s v="dividers"/>
  </r>
  <r>
    <x v="0"/>
    <x v="5"/>
    <x v="74"/>
    <x v="3"/>
    <x v="8"/>
    <n v="48.35"/>
    <s v="dividers"/>
  </r>
  <r>
    <x v="0"/>
    <x v="5"/>
    <x v="47"/>
    <x v="0"/>
    <x v="0"/>
    <n v="6.77"/>
    <m/>
  </r>
  <r>
    <x v="0"/>
    <x v="5"/>
    <x v="47"/>
    <x v="3"/>
    <x v="8"/>
    <n v="6.77"/>
    <m/>
  </r>
  <r>
    <x v="0"/>
    <x v="5"/>
    <x v="5"/>
    <x v="0"/>
    <x v="4"/>
    <n v="34.520000000000003"/>
    <s v="Metro"/>
  </r>
  <r>
    <x v="0"/>
    <x v="5"/>
    <x v="5"/>
    <x v="1"/>
    <x v="1"/>
    <n v="-34.520000000000003"/>
    <s v="Metro"/>
  </r>
  <r>
    <x v="0"/>
    <x v="5"/>
    <x v="5"/>
    <x v="0"/>
    <x v="4"/>
    <n v="22.51"/>
    <s v="Metro"/>
  </r>
  <r>
    <x v="0"/>
    <x v="5"/>
    <x v="5"/>
    <x v="1"/>
    <x v="1"/>
    <n v="-22.51"/>
    <s v="Metro"/>
  </r>
  <r>
    <x v="0"/>
    <x v="5"/>
    <x v="46"/>
    <x v="1"/>
    <x v="1"/>
    <n v="1388.28"/>
    <m/>
  </r>
  <r>
    <x v="0"/>
    <x v="5"/>
    <x v="46"/>
    <x v="2"/>
    <x v="24"/>
    <n v="1388.28"/>
    <m/>
  </r>
  <r>
    <x v="0"/>
    <x v="5"/>
    <x v="12"/>
    <x v="0"/>
    <x v="0"/>
    <n v="11.29"/>
    <m/>
  </r>
  <r>
    <x v="0"/>
    <x v="5"/>
    <x v="12"/>
    <x v="3"/>
    <x v="8"/>
    <n v="11.29"/>
    <m/>
  </r>
  <r>
    <x v="0"/>
    <x v="5"/>
    <x v="76"/>
    <x v="0"/>
    <x v="0"/>
    <n v="14.68"/>
    <m/>
  </r>
  <r>
    <x v="0"/>
    <x v="5"/>
    <x v="76"/>
    <x v="3"/>
    <x v="8"/>
    <n v="14.68"/>
    <m/>
  </r>
  <r>
    <x v="0"/>
    <x v="5"/>
    <x v="4"/>
    <x v="0"/>
    <x v="3"/>
    <n v="2.93"/>
    <s v="Wendy's"/>
  </r>
  <r>
    <x v="0"/>
    <x v="5"/>
    <x v="4"/>
    <x v="1"/>
    <x v="1"/>
    <n v="-2.93"/>
    <s v="Wendy's"/>
  </r>
  <r>
    <x v="0"/>
    <x v="5"/>
    <x v="21"/>
    <x v="0"/>
    <x v="12"/>
    <n v="24.28"/>
    <s v="mom - puzzles books"/>
  </r>
  <r>
    <x v="0"/>
    <x v="5"/>
    <x v="21"/>
    <x v="1"/>
    <x v="1"/>
    <n v="-24.28"/>
    <s v="mom - puzzles books"/>
  </r>
  <r>
    <x v="0"/>
    <x v="5"/>
    <x v="21"/>
    <x v="0"/>
    <x v="12"/>
    <n v="26.1"/>
    <s v="mom - drugs"/>
  </r>
  <r>
    <x v="0"/>
    <x v="5"/>
    <x v="21"/>
    <x v="0"/>
    <x v="12"/>
    <n v="-26.1"/>
    <s v="mom - drugs"/>
  </r>
  <r>
    <x v="0"/>
    <x v="5"/>
    <x v="63"/>
    <x v="1"/>
    <x v="30"/>
    <n v="20"/>
    <s v="mom - puzzles books"/>
  </r>
  <r>
    <x v="0"/>
    <x v="5"/>
    <x v="63"/>
    <x v="2"/>
    <x v="26"/>
    <n v="20"/>
    <s v="mom - puzzles books"/>
  </r>
  <r>
    <x v="0"/>
    <x v="5"/>
    <x v="63"/>
    <x v="1"/>
    <x v="30"/>
    <n v="26"/>
    <s v="mom - drugs"/>
  </r>
  <r>
    <x v="0"/>
    <x v="5"/>
    <x v="63"/>
    <x v="2"/>
    <x v="26"/>
    <n v="26"/>
    <s v="mom - drugs"/>
  </r>
  <r>
    <x v="0"/>
    <x v="5"/>
    <x v="13"/>
    <x v="0"/>
    <x v="7"/>
    <n v="31.62"/>
    <m/>
  </r>
  <r>
    <x v="0"/>
    <x v="5"/>
    <x v="13"/>
    <x v="3"/>
    <x v="8"/>
    <n v="31.62"/>
    <m/>
  </r>
  <r>
    <x v="0"/>
    <x v="5"/>
    <x v="4"/>
    <x v="0"/>
    <x v="3"/>
    <n v="9.32"/>
    <m/>
  </r>
  <r>
    <x v="0"/>
    <x v="5"/>
    <x v="4"/>
    <x v="1"/>
    <x v="1"/>
    <n v="-9.32"/>
    <m/>
  </r>
  <r>
    <x v="0"/>
    <x v="5"/>
    <x v="8"/>
    <x v="0"/>
    <x v="4"/>
    <n v="4.96"/>
    <m/>
  </r>
  <r>
    <x v="0"/>
    <x v="5"/>
    <x v="8"/>
    <x v="1"/>
    <x v="1"/>
    <n v="-4.96"/>
    <m/>
  </r>
  <r>
    <x v="0"/>
    <x v="5"/>
    <x v="8"/>
    <x v="0"/>
    <x v="4"/>
    <n v="9.0299999999999994"/>
    <m/>
  </r>
  <r>
    <x v="0"/>
    <x v="5"/>
    <x v="8"/>
    <x v="1"/>
    <x v="1"/>
    <n v="-9.0299999999999994"/>
    <m/>
  </r>
  <r>
    <x v="0"/>
    <x v="5"/>
    <x v="40"/>
    <x v="0"/>
    <x v="17"/>
    <n v="3.8"/>
    <s v="Bus Tickets"/>
  </r>
  <r>
    <x v="0"/>
    <x v="5"/>
    <x v="40"/>
    <x v="1"/>
    <x v="25"/>
    <n v="-3.8"/>
    <s v="Bus Tickets"/>
  </r>
  <r>
    <x v="0"/>
    <x v="5"/>
    <x v="8"/>
    <x v="0"/>
    <x v="4"/>
    <n v="15.44"/>
    <m/>
  </r>
  <r>
    <x v="0"/>
    <x v="5"/>
    <x v="8"/>
    <x v="1"/>
    <x v="1"/>
    <n v="-15.44"/>
    <m/>
  </r>
  <r>
    <x v="0"/>
    <x v="5"/>
    <x v="10"/>
    <x v="2"/>
    <x v="6"/>
    <n v="-140"/>
    <m/>
  </r>
  <r>
    <x v="0"/>
    <x v="5"/>
    <x v="10"/>
    <x v="2"/>
    <x v="6"/>
    <n v="140"/>
    <m/>
  </r>
  <r>
    <x v="0"/>
    <x v="5"/>
    <x v="77"/>
    <x v="0"/>
    <x v="7"/>
    <n v="43.21"/>
    <s v="Power Bank"/>
  </r>
  <r>
    <x v="0"/>
    <x v="5"/>
    <x v="77"/>
    <x v="3"/>
    <x v="8"/>
    <n v="43.21"/>
    <s v="Power Bank"/>
  </r>
  <r>
    <x v="0"/>
    <x v="5"/>
    <x v="21"/>
    <x v="0"/>
    <x v="12"/>
    <n v="69.53"/>
    <s v="Jazz - mixed stuff"/>
  </r>
  <r>
    <x v="0"/>
    <x v="5"/>
    <x v="21"/>
    <x v="3"/>
    <x v="8"/>
    <n v="69.53"/>
    <s v="Jazz - mixed stuff"/>
  </r>
  <r>
    <x v="0"/>
    <x v="5"/>
    <x v="15"/>
    <x v="1"/>
    <x v="30"/>
    <n v="70"/>
    <s v="Jazz - mixed stuff"/>
  </r>
  <r>
    <x v="0"/>
    <x v="5"/>
    <x v="15"/>
    <x v="2"/>
    <x v="26"/>
    <n v="70"/>
    <s v="Jazz - mixed stuff"/>
  </r>
  <r>
    <x v="0"/>
    <x v="5"/>
    <x v="15"/>
    <x v="1"/>
    <x v="9"/>
    <n v="70"/>
    <s v="Jazz - mixed stuff"/>
  </r>
  <r>
    <x v="0"/>
    <x v="5"/>
    <x v="15"/>
    <x v="1"/>
    <x v="30"/>
    <n v="-70"/>
    <s v="Jazz - mixed stuff"/>
  </r>
  <r>
    <x v="0"/>
    <x v="5"/>
    <x v="34"/>
    <x v="0"/>
    <x v="0"/>
    <n v="7.65"/>
    <m/>
  </r>
  <r>
    <x v="0"/>
    <x v="5"/>
    <x v="34"/>
    <x v="3"/>
    <x v="8"/>
    <n v="7.65"/>
    <m/>
  </r>
  <r>
    <x v="0"/>
    <x v="5"/>
    <x v="78"/>
    <x v="0"/>
    <x v="0"/>
    <n v="4.0999999999999996"/>
    <s v="cancelled"/>
  </r>
  <r>
    <x v="0"/>
    <x v="5"/>
    <x v="78"/>
    <x v="3"/>
    <x v="8"/>
    <n v="4.0999999999999996"/>
    <s v="cancelled"/>
  </r>
  <r>
    <x v="0"/>
    <x v="5"/>
    <x v="8"/>
    <x v="0"/>
    <x v="4"/>
    <n v="15.44"/>
    <s v="qch café"/>
  </r>
  <r>
    <x v="0"/>
    <x v="5"/>
    <x v="8"/>
    <x v="1"/>
    <x v="1"/>
    <n v="-15.44"/>
    <s v="qch café"/>
  </r>
  <r>
    <x v="0"/>
    <x v="5"/>
    <x v="8"/>
    <x v="0"/>
    <x v="4"/>
    <n v="9.0299999999999994"/>
    <s v="Tim Horton"/>
  </r>
  <r>
    <x v="0"/>
    <x v="5"/>
    <x v="8"/>
    <x v="1"/>
    <x v="1"/>
    <n v="-9.0299999999999994"/>
    <s v="Tim Horton"/>
  </r>
  <r>
    <x v="0"/>
    <x v="5"/>
    <x v="22"/>
    <x v="0"/>
    <x v="14"/>
    <n v="3253.16"/>
    <s v="tuition"/>
  </r>
  <r>
    <x v="0"/>
    <x v="5"/>
    <x v="79"/>
    <x v="0"/>
    <x v="14"/>
    <n v="217.37"/>
    <s v="student activity fee"/>
  </r>
  <r>
    <x v="0"/>
    <x v="5"/>
    <x v="79"/>
    <x v="0"/>
    <x v="14"/>
    <n v="248.94"/>
    <s v="health plan fee"/>
  </r>
  <r>
    <x v="0"/>
    <x v="5"/>
    <x v="79"/>
    <x v="0"/>
    <x v="14"/>
    <n v="169.42"/>
    <s v="technology fee"/>
  </r>
  <r>
    <x v="0"/>
    <x v="5"/>
    <x v="79"/>
    <x v="0"/>
    <x v="14"/>
    <n v="21"/>
    <s v="health service fee"/>
  </r>
  <r>
    <x v="0"/>
    <x v="5"/>
    <x v="79"/>
    <x v="0"/>
    <x v="14"/>
    <n v="19"/>
    <s v="student experience fee"/>
  </r>
  <r>
    <x v="0"/>
    <x v="5"/>
    <x v="79"/>
    <x v="0"/>
    <x v="14"/>
    <n v="160"/>
    <s v="athletics and recreation fee"/>
  </r>
  <r>
    <x v="0"/>
    <x v="5"/>
    <x v="79"/>
    <x v="0"/>
    <x v="14"/>
    <n v="6"/>
    <s v="U-Pass Administrative fee"/>
  </r>
  <r>
    <x v="0"/>
    <x v="5"/>
    <x v="79"/>
    <x v="0"/>
    <x v="14"/>
    <n v="229.07"/>
    <s v="U-Pass fee"/>
  </r>
  <r>
    <x v="0"/>
    <x v="5"/>
    <x v="79"/>
    <x v="3"/>
    <x v="13"/>
    <n v="4323.96"/>
    <m/>
  </r>
  <r>
    <x v="0"/>
    <x v="5"/>
    <x v="80"/>
    <x v="0"/>
    <x v="14"/>
    <n v="11.29"/>
    <s v="101 Read to Use Excel Macros"/>
  </r>
  <r>
    <x v="0"/>
    <x v="5"/>
    <x v="80"/>
    <x v="3"/>
    <x v="8"/>
    <n v="11.29"/>
    <s v="101 Read to Use Excel Macros"/>
  </r>
  <r>
    <x v="0"/>
    <x v="5"/>
    <x v="81"/>
    <x v="0"/>
    <x v="0"/>
    <n v="17.14"/>
    <s v="socks"/>
  </r>
  <r>
    <x v="0"/>
    <x v="5"/>
    <x v="81"/>
    <x v="3"/>
    <x v="8"/>
    <n v="17.14"/>
    <s v="socks"/>
  </r>
  <r>
    <x v="0"/>
    <x v="5"/>
    <x v="18"/>
    <x v="3"/>
    <x v="8"/>
    <n v="-124.49"/>
    <s v="43.21-69.53-7.65-4.1"/>
  </r>
  <r>
    <x v="0"/>
    <x v="5"/>
    <x v="18"/>
    <x v="1"/>
    <x v="1"/>
    <n v="-124.49"/>
    <s v="43.21-69.53-7.65-4.1"/>
  </r>
  <r>
    <x v="0"/>
    <x v="5"/>
    <x v="77"/>
    <x v="0"/>
    <x v="7"/>
    <n v="220.34"/>
    <s v="drawing tablet XP PEN"/>
  </r>
  <r>
    <x v="0"/>
    <x v="5"/>
    <x v="77"/>
    <x v="3"/>
    <x v="8"/>
    <n v="220.34"/>
    <s v="drawing tablet XP PEN"/>
  </r>
  <r>
    <x v="0"/>
    <x v="5"/>
    <x v="21"/>
    <x v="0"/>
    <x v="12"/>
    <n v="39.49"/>
    <s v="mom toothbrush (should be about 35)"/>
  </r>
  <r>
    <x v="0"/>
    <x v="5"/>
    <x v="21"/>
    <x v="3"/>
    <x v="8"/>
    <n v="39.49"/>
    <s v="mom toothbrush"/>
  </r>
  <r>
    <x v="0"/>
    <x v="5"/>
    <x v="82"/>
    <x v="0"/>
    <x v="0"/>
    <n v="50.78"/>
    <s v="body wash"/>
  </r>
  <r>
    <x v="0"/>
    <x v="5"/>
    <x v="82"/>
    <x v="3"/>
    <x v="8"/>
    <n v="50.78"/>
    <s v="body wash"/>
  </r>
  <r>
    <x v="0"/>
    <x v="5"/>
    <x v="82"/>
    <x v="0"/>
    <x v="0"/>
    <n v="16.940000000000001"/>
    <s v="toothbrush replacement heads"/>
  </r>
  <r>
    <x v="0"/>
    <x v="5"/>
    <x v="82"/>
    <x v="3"/>
    <x v="8"/>
    <n v="16.940000000000001"/>
    <s v="toothbrush replacement heads"/>
  </r>
  <r>
    <x v="0"/>
    <x v="5"/>
    <x v="63"/>
    <x v="1"/>
    <x v="30"/>
    <n v="40"/>
    <s v="toothbrush July 17"/>
  </r>
  <r>
    <x v="0"/>
    <x v="5"/>
    <x v="63"/>
    <x v="2"/>
    <x v="26"/>
    <n v="40"/>
    <s v="toothbrush july 17"/>
  </r>
  <r>
    <x v="0"/>
    <x v="5"/>
    <x v="57"/>
    <x v="3"/>
    <x v="8"/>
    <n v="67.790000000000006"/>
    <s v="ratcheting combination wrench"/>
  </r>
  <r>
    <x v="0"/>
    <x v="5"/>
    <x v="83"/>
    <x v="0"/>
    <x v="34"/>
    <n v="67.790000000000006"/>
    <s v="ratcheting combination wrench"/>
  </r>
  <r>
    <x v="0"/>
    <x v="5"/>
    <x v="8"/>
    <x v="0"/>
    <x v="4"/>
    <n v="8.61"/>
    <s v="qch café"/>
  </r>
  <r>
    <x v="0"/>
    <x v="5"/>
    <x v="8"/>
    <x v="1"/>
    <x v="1"/>
    <n v="-8.61"/>
    <s v="qch café"/>
  </r>
  <r>
    <x v="0"/>
    <x v="5"/>
    <x v="8"/>
    <x v="0"/>
    <x v="4"/>
    <n v="9.0299999999999994"/>
    <s v="Tim Horton"/>
  </r>
  <r>
    <x v="0"/>
    <x v="5"/>
    <x v="8"/>
    <x v="1"/>
    <x v="1"/>
    <n v="-9.0299999999999994"/>
    <s v="Tim Horton"/>
  </r>
  <r>
    <x v="0"/>
    <x v="5"/>
    <x v="18"/>
    <x v="3"/>
    <x v="8"/>
    <n v="-412.48"/>
    <m/>
  </r>
  <r>
    <x v="0"/>
    <x v="5"/>
    <x v="18"/>
    <x v="1"/>
    <x v="1"/>
    <n v="-412.48"/>
    <m/>
  </r>
  <r>
    <x v="0"/>
    <x v="5"/>
    <x v="5"/>
    <x v="0"/>
    <x v="4"/>
    <n v="43.86"/>
    <s v="Metro"/>
  </r>
  <r>
    <x v="0"/>
    <x v="5"/>
    <x v="5"/>
    <x v="1"/>
    <x v="1"/>
    <n v="-43.86"/>
    <s v="Metro"/>
  </r>
  <r>
    <x v="0"/>
    <x v="5"/>
    <x v="8"/>
    <x v="0"/>
    <x v="4"/>
    <n v="12.28"/>
    <s v="Subway"/>
  </r>
  <r>
    <x v="0"/>
    <x v="5"/>
    <x v="7"/>
    <x v="0"/>
    <x v="3"/>
    <n v="7.88"/>
    <s v="OF"/>
  </r>
  <r>
    <x v="0"/>
    <x v="5"/>
    <x v="7"/>
    <x v="3"/>
    <x v="8"/>
    <n v="7.88"/>
    <s v="OF"/>
  </r>
  <r>
    <x v="0"/>
    <x v="5"/>
    <x v="7"/>
    <x v="0"/>
    <x v="3"/>
    <n v="74"/>
    <s v="gift for escort"/>
  </r>
  <r>
    <x v="0"/>
    <x v="5"/>
    <x v="7"/>
    <x v="3"/>
    <x v="8"/>
    <n v="74"/>
    <s v="gift for escort"/>
  </r>
  <r>
    <x v="0"/>
    <x v="5"/>
    <x v="5"/>
    <x v="0"/>
    <x v="4"/>
    <n v="14.32"/>
    <s v="Metro"/>
  </r>
  <r>
    <x v="0"/>
    <x v="5"/>
    <x v="5"/>
    <x v="1"/>
    <x v="1"/>
    <n v="-14.32"/>
    <s v="Metro"/>
  </r>
  <r>
    <x v="0"/>
    <x v="5"/>
    <x v="5"/>
    <x v="0"/>
    <x v="4"/>
    <n v="6.89"/>
    <s v="Metro"/>
  </r>
  <r>
    <x v="0"/>
    <x v="5"/>
    <x v="5"/>
    <x v="1"/>
    <x v="1"/>
    <n v="-6.89"/>
    <m/>
  </r>
  <r>
    <x v="0"/>
    <x v="5"/>
    <x v="8"/>
    <x v="1"/>
    <x v="1"/>
    <n v="-12.28"/>
    <s v="Subway"/>
  </r>
  <r>
    <x v="0"/>
    <x v="5"/>
    <x v="4"/>
    <x v="0"/>
    <x v="3"/>
    <n v="3"/>
    <s v="chips"/>
  </r>
  <r>
    <x v="0"/>
    <x v="5"/>
    <x v="5"/>
    <x v="0"/>
    <x v="4"/>
    <n v="10.68"/>
    <s v="Metro"/>
  </r>
  <r>
    <x v="0"/>
    <x v="5"/>
    <x v="5"/>
    <x v="1"/>
    <x v="1"/>
    <n v="-13.68"/>
    <s v="Metro"/>
  </r>
  <r>
    <x v="0"/>
    <x v="5"/>
    <x v="35"/>
    <x v="0"/>
    <x v="0"/>
    <n v="3.38"/>
    <m/>
  </r>
  <r>
    <x v="0"/>
    <x v="5"/>
    <x v="35"/>
    <x v="3"/>
    <x v="8"/>
    <n v="3.38"/>
    <m/>
  </r>
  <r>
    <x v="0"/>
    <x v="5"/>
    <x v="15"/>
    <x v="2"/>
    <x v="32"/>
    <n v="-13.5"/>
    <s v="Jazz - refund for amazon item"/>
  </r>
  <r>
    <x v="0"/>
    <x v="5"/>
    <x v="15"/>
    <x v="3"/>
    <x v="10"/>
    <n v="13.5"/>
    <s v="Jazz - refund for amazon item"/>
  </r>
  <r>
    <x v="0"/>
    <x v="5"/>
    <x v="4"/>
    <x v="0"/>
    <x v="3"/>
    <n v="9.59"/>
    <s v="Mary Brown's"/>
  </r>
  <r>
    <x v="0"/>
    <x v="5"/>
    <x v="4"/>
    <x v="1"/>
    <x v="1"/>
    <n v="-9.59"/>
    <s v="Mary Brown's"/>
  </r>
  <r>
    <x v="0"/>
    <x v="5"/>
    <x v="18"/>
    <x v="3"/>
    <x v="8"/>
    <n v="-74"/>
    <s v="gift for escort"/>
  </r>
  <r>
    <x v="0"/>
    <x v="5"/>
    <x v="18"/>
    <x v="1"/>
    <x v="1"/>
    <n v="-74"/>
    <s v="gift for escort"/>
  </r>
  <r>
    <x v="0"/>
    <x v="5"/>
    <x v="4"/>
    <x v="0"/>
    <x v="3"/>
    <n v="7.5"/>
    <s v="Rexall"/>
  </r>
  <r>
    <x v="0"/>
    <x v="5"/>
    <x v="4"/>
    <x v="1"/>
    <x v="1"/>
    <n v="-7.5"/>
    <s v="Rexall"/>
  </r>
  <r>
    <x v="0"/>
    <x v="5"/>
    <x v="5"/>
    <x v="0"/>
    <x v="4"/>
    <n v="25.14"/>
    <s v="Farm Boy"/>
  </r>
  <r>
    <x v="0"/>
    <x v="5"/>
    <x v="5"/>
    <x v="1"/>
    <x v="1"/>
    <n v="-30.14"/>
    <s v="Farm Boy mixed"/>
  </r>
  <r>
    <x v="0"/>
    <x v="5"/>
    <x v="8"/>
    <x v="0"/>
    <x v="4"/>
    <n v="15.8"/>
    <s v="Kettleman's"/>
  </r>
  <r>
    <x v="0"/>
    <x v="5"/>
    <x v="8"/>
    <x v="1"/>
    <x v="1"/>
    <n v="-15.8"/>
    <s v="Kettleman's"/>
  </r>
  <r>
    <x v="0"/>
    <x v="5"/>
    <x v="8"/>
    <x v="0"/>
    <x v="4"/>
    <n v="5"/>
    <s v="Farm Boy sald bar"/>
  </r>
  <r>
    <x v="0"/>
    <x v="5"/>
    <x v="4"/>
    <x v="0"/>
    <x v="3"/>
    <n v="2"/>
    <s v="peanuts"/>
  </r>
  <r>
    <x v="0"/>
    <x v="5"/>
    <x v="4"/>
    <x v="0"/>
    <x v="3"/>
    <n v="2.2599999999999998"/>
    <s v="snacks for movies"/>
  </r>
  <r>
    <x v="0"/>
    <x v="5"/>
    <x v="4"/>
    <x v="1"/>
    <x v="1"/>
    <n v="-2.2599999999999998"/>
    <s v="snacks for movies"/>
  </r>
  <r>
    <x v="0"/>
    <x v="5"/>
    <x v="5"/>
    <x v="0"/>
    <x v="4"/>
    <n v="39.31"/>
    <s v="Metro"/>
  </r>
  <r>
    <x v="0"/>
    <x v="5"/>
    <x v="5"/>
    <x v="1"/>
    <x v="1"/>
    <n v="-41.31"/>
    <s v="Metro"/>
  </r>
  <r>
    <x v="0"/>
    <x v="5"/>
    <x v="1"/>
    <x v="0"/>
    <x v="0"/>
    <n v="10.17"/>
    <m/>
  </r>
  <r>
    <x v="0"/>
    <x v="5"/>
    <x v="1"/>
    <x v="1"/>
    <x v="1"/>
    <n v="-10.17"/>
    <m/>
  </r>
  <r>
    <x v="0"/>
    <x v="5"/>
    <x v="83"/>
    <x v="0"/>
    <x v="34"/>
    <n v="24.86"/>
    <s v="security bits"/>
  </r>
  <r>
    <x v="0"/>
    <x v="5"/>
    <x v="83"/>
    <x v="3"/>
    <x v="8"/>
    <n v="24.86"/>
    <s v="security bits"/>
  </r>
  <r>
    <x v="0"/>
    <x v="5"/>
    <x v="84"/>
    <x v="0"/>
    <x v="20"/>
    <n v="218.09"/>
    <s v="lawnmower Ryobi"/>
  </r>
  <r>
    <x v="0"/>
    <x v="5"/>
    <x v="84"/>
    <x v="3"/>
    <x v="19"/>
    <n v="218.09"/>
    <s v="lawnmower Ryobi"/>
  </r>
  <r>
    <x v="0"/>
    <x v="5"/>
    <x v="5"/>
    <x v="0"/>
    <x v="4"/>
    <n v="20.74"/>
    <s v="Metro"/>
  </r>
  <r>
    <x v="0"/>
    <x v="5"/>
    <x v="5"/>
    <x v="1"/>
    <x v="1"/>
    <n v="-20.74"/>
    <m/>
  </r>
  <r>
    <x v="0"/>
    <x v="5"/>
    <x v="63"/>
    <x v="1"/>
    <x v="30"/>
    <n v="50"/>
    <s v="lawnmower Ryobi"/>
  </r>
  <r>
    <x v="0"/>
    <x v="5"/>
    <x v="63"/>
    <x v="2"/>
    <x v="26"/>
    <n v="50"/>
    <s v="lawnmower Ryobi"/>
  </r>
  <r>
    <x v="0"/>
    <x v="5"/>
    <x v="19"/>
    <x v="0"/>
    <x v="7"/>
    <n v="14.39"/>
    <m/>
  </r>
  <r>
    <x v="0"/>
    <x v="5"/>
    <x v="19"/>
    <x v="3"/>
    <x v="8"/>
    <n v="14.39"/>
    <m/>
  </r>
  <r>
    <x v="0"/>
    <x v="5"/>
    <x v="8"/>
    <x v="0"/>
    <x v="4"/>
    <n v="14.32"/>
    <s v="McDonald's"/>
  </r>
  <r>
    <x v="0"/>
    <x v="5"/>
    <x v="8"/>
    <x v="1"/>
    <x v="1"/>
    <n v="-14.32"/>
    <s v="McDonald's"/>
  </r>
  <r>
    <x v="0"/>
    <x v="5"/>
    <x v="25"/>
    <x v="0"/>
    <x v="16"/>
    <n v="50.85"/>
    <m/>
  </r>
  <r>
    <x v="0"/>
    <x v="5"/>
    <x v="25"/>
    <x v="1"/>
    <x v="1"/>
    <n v="-50.85"/>
    <m/>
  </r>
  <r>
    <x v="0"/>
    <x v="5"/>
    <x v="18"/>
    <x v="3"/>
    <x v="8"/>
    <n v="-158.55000000000001"/>
    <s v="mix purchases"/>
  </r>
  <r>
    <x v="0"/>
    <x v="5"/>
    <x v="18"/>
    <x v="1"/>
    <x v="1"/>
    <n v="-158.55000000000001"/>
    <s v="mix purchases"/>
  </r>
  <r>
    <x v="0"/>
    <x v="5"/>
    <x v="46"/>
    <x v="1"/>
    <x v="1"/>
    <n v="1813.05"/>
    <m/>
  </r>
  <r>
    <x v="0"/>
    <x v="5"/>
    <x v="46"/>
    <x v="2"/>
    <x v="24"/>
    <n v="1813.05"/>
    <m/>
  </r>
  <r>
    <x v="0"/>
    <x v="5"/>
    <x v="4"/>
    <x v="0"/>
    <x v="3"/>
    <n v="19.52"/>
    <s v="Metro"/>
  </r>
  <r>
    <x v="0"/>
    <x v="5"/>
    <x v="4"/>
    <x v="1"/>
    <x v="1"/>
    <n v="-19.52"/>
    <s v="Metro"/>
  </r>
  <r>
    <x v="0"/>
    <x v="5"/>
    <x v="4"/>
    <x v="0"/>
    <x v="3"/>
    <n v="5"/>
    <m/>
  </r>
  <r>
    <x v="0"/>
    <x v="5"/>
    <x v="5"/>
    <x v="0"/>
    <x v="4"/>
    <n v="48.86"/>
    <s v="Metro"/>
  </r>
  <r>
    <x v="0"/>
    <x v="5"/>
    <x v="5"/>
    <x v="1"/>
    <x v="1"/>
    <n v="-53.86"/>
    <s v="Metro"/>
  </r>
  <r>
    <x v="0"/>
    <x v="5"/>
    <x v="63"/>
    <x v="1"/>
    <x v="1"/>
    <n v="50"/>
    <s v="taken off of rent."/>
  </r>
  <r>
    <x v="0"/>
    <x v="5"/>
    <x v="63"/>
    <x v="1"/>
    <x v="30"/>
    <n v="-50"/>
    <s v="taken off of rent."/>
  </r>
  <r>
    <x v="0"/>
    <x v="5"/>
    <x v="85"/>
    <x v="0"/>
    <x v="16"/>
    <n v="90.4"/>
    <s v="fixing broke phone"/>
  </r>
  <r>
    <x v="0"/>
    <x v="5"/>
    <x v="85"/>
    <x v="1"/>
    <x v="1"/>
    <n v="-90.4"/>
    <s v="fixing broke phone"/>
  </r>
  <r>
    <x v="2"/>
    <x v="5"/>
    <x v="46"/>
    <x v="2"/>
    <x v="24"/>
    <n v="3000"/>
    <m/>
  </r>
  <r>
    <x v="1"/>
    <x v="5"/>
    <x v="21"/>
    <x v="0"/>
    <x v="12"/>
    <n v="0"/>
    <s v="gifts Christmas"/>
  </r>
  <r>
    <x v="1"/>
    <x v="5"/>
    <x v="22"/>
    <x v="0"/>
    <x v="13"/>
    <n v="0"/>
    <m/>
  </r>
  <r>
    <x v="1"/>
    <x v="5"/>
    <x v="23"/>
    <x v="0"/>
    <x v="14"/>
    <n v="0"/>
    <m/>
  </r>
  <r>
    <x v="1"/>
    <x v="5"/>
    <x v="11"/>
    <x v="0"/>
    <x v="14"/>
    <n v="3"/>
    <m/>
  </r>
  <r>
    <x v="1"/>
    <x v="5"/>
    <x v="24"/>
    <x v="0"/>
    <x v="15"/>
    <n v="0"/>
    <m/>
  </r>
  <r>
    <x v="1"/>
    <x v="5"/>
    <x v="5"/>
    <x v="0"/>
    <x v="4"/>
    <n v="300"/>
    <m/>
  </r>
  <r>
    <x v="1"/>
    <x v="5"/>
    <x v="8"/>
    <x v="0"/>
    <x v="4"/>
    <n v="125"/>
    <m/>
  </r>
  <r>
    <x v="1"/>
    <x v="5"/>
    <x v="25"/>
    <x v="0"/>
    <x v="16"/>
    <n v="55"/>
    <m/>
  </r>
  <r>
    <x v="1"/>
    <x v="5"/>
    <x v="26"/>
    <x v="0"/>
    <x v="7"/>
    <n v="0"/>
    <m/>
  </r>
  <r>
    <x v="1"/>
    <x v="5"/>
    <x v="27"/>
    <x v="0"/>
    <x v="7"/>
    <n v="0"/>
    <m/>
  </r>
  <r>
    <x v="1"/>
    <x v="5"/>
    <x v="28"/>
    <x v="0"/>
    <x v="7"/>
    <n v="0"/>
    <m/>
  </r>
  <r>
    <x v="1"/>
    <x v="5"/>
    <x v="19"/>
    <x v="0"/>
    <x v="7"/>
    <n v="14.31"/>
    <m/>
  </r>
  <r>
    <x v="1"/>
    <x v="5"/>
    <x v="13"/>
    <x v="0"/>
    <x v="7"/>
    <n v="31.92"/>
    <m/>
  </r>
  <r>
    <x v="1"/>
    <x v="5"/>
    <x v="29"/>
    <x v="0"/>
    <x v="7"/>
    <n v="0"/>
    <m/>
  </r>
  <r>
    <x v="1"/>
    <x v="5"/>
    <x v="30"/>
    <x v="0"/>
    <x v="7"/>
    <n v="0"/>
    <m/>
  </r>
  <r>
    <x v="1"/>
    <x v="5"/>
    <x v="3"/>
    <x v="0"/>
    <x v="2"/>
    <n v="250"/>
    <m/>
  </r>
  <r>
    <x v="1"/>
    <x v="5"/>
    <x v="31"/>
    <x v="0"/>
    <x v="0"/>
    <n v="0"/>
    <m/>
  </r>
  <r>
    <x v="1"/>
    <x v="5"/>
    <x v="12"/>
    <x v="0"/>
    <x v="0"/>
    <n v="11.29"/>
    <m/>
  </r>
  <r>
    <x v="1"/>
    <x v="5"/>
    <x v="32"/>
    <x v="0"/>
    <x v="0"/>
    <n v="0"/>
    <m/>
  </r>
  <r>
    <x v="1"/>
    <x v="5"/>
    <x v="16"/>
    <x v="0"/>
    <x v="0"/>
    <n v="0"/>
    <m/>
  </r>
  <r>
    <x v="1"/>
    <x v="5"/>
    <x v="6"/>
    <x v="0"/>
    <x v="0"/>
    <n v="13.55"/>
    <m/>
  </r>
  <r>
    <x v="1"/>
    <x v="5"/>
    <x v="33"/>
    <x v="0"/>
    <x v="0"/>
    <n v="0"/>
    <m/>
  </r>
  <r>
    <x v="1"/>
    <x v="5"/>
    <x v="34"/>
    <x v="0"/>
    <x v="0"/>
    <n v="7.65"/>
    <m/>
  </r>
  <r>
    <x v="1"/>
    <x v="5"/>
    <x v="35"/>
    <x v="0"/>
    <x v="0"/>
    <n v="3.38"/>
    <m/>
  </r>
  <r>
    <x v="1"/>
    <x v="5"/>
    <x v="36"/>
    <x v="0"/>
    <x v="0"/>
    <n v="0"/>
    <m/>
  </r>
  <r>
    <x v="1"/>
    <x v="5"/>
    <x v="47"/>
    <x v="0"/>
    <x v="0"/>
    <n v="6.77"/>
    <m/>
  </r>
  <r>
    <x v="1"/>
    <x v="5"/>
    <x v="0"/>
    <x v="0"/>
    <x v="0"/>
    <n v="8.39"/>
    <m/>
  </r>
  <r>
    <x v="1"/>
    <x v="5"/>
    <x v="38"/>
    <x v="0"/>
    <x v="0"/>
    <n v="0"/>
    <m/>
  </r>
  <r>
    <x v="1"/>
    <x v="5"/>
    <x v="39"/>
    <x v="0"/>
    <x v="17"/>
    <n v="65"/>
    <m/>
  </r>
  <r>
    <x v="1"/>
    <x v="5"/>
    <x v="40"/>
    <x v="0"/>
    <x v="17"/>
    <n v="0"/>
    <m/>
  </r>
  <r>
    <x v="1"/>
    <x v="5"/>
    <x v="41"/>
    <x v="0"/>
    <x v="18"/>
    <n v="250"/>
    <m/>
  </r>
  <r>
    <x v="1"/>
    <x v="5"/>
    <x v="7"/>
    <x v="0"/>
    <x v="3"/>
    <n v="120"/>
    <m/>
  </r>
  <r>
    <x v="3"/>
    <x v="5"/>
    <x v="86"/>
    <x v="0"/>
    <x v="7"/>
    <n v="450"/>
    <s v="GPU"/>
  </r>
  <r>
    <x v="0"/>
    <x v="6"/>
    <x v="0"/>
    <x v="0"/>
    <x v="0"/>
    <n v="8.39"/>
    <m/>
  </r>
  <r>
    <x v="0"/>
    <x v="6"/>
    <x v="0"/>
    <x v="3"/>
    <x v="8"/>
    <n v="8.39"/>
    <m/>
  </r>
  <r>
    <x v="0"/>
    <x v="6"/>
    <x v="5"/>
    <x v="0"/>
    <x v="4"/>
    <n v="22.41"/>
    <s v="Farm Boy"/>
  </r>
  <r>
    <x v="0"/>
    <x v="6"/>
    <x v="5"/>
    <x v="3"/>
    <x v="8"/>
    <n v="22.41"/>
    <s v="Farm Boy"/>
  </r>
  <r>
    <x v="0"/>
    <x v="6"/>
    <x v="8"/>
    <x v="0"/>
    <x v="4"/>
    <n v="21.45"/>
    <s v="Mary Brown's"/>
  </r>
  <r>
    <x v="0"/>
    <x v="6"/>
    <x v="8"/>
    <x v="3"/>
    <x v="8"/>
    <n v="21.45"/>
    <s v="Mary Brown's"/>
  </r>
  <r>
    <x v="0"/>
    <x v="6"/>
    <x v="4"/>
    <x v="0"/>
    <x v="3"/>
    <n v="14.44"/>
    <s v="food"/>
  </r>
  <r>
    <x v="0"/>
    <x v="6"/>
    <x v="4"/>
    <x v="3"/>
    <x v="8"/>
    <n v="14.44"/>
    <s v="food"/>
  </r>
  <r>
    <x v="0"/>
    <x v="6"/>
    <x v="5"/>
    <x v="0"/>
    <x v="4"/>
    <n v="33.06"/>
    <s v="metro"/>
  </r>
  <r>
    <x v="0"/>
    <x v="6"/>
    <x v="5"/>
    <x v="3"/>
    <x v="8"/>
    <n v="33.06"/>
    <s v="Metro"/>
  </r>
  <r>
    <x v="0"/>
    <x v="6"/>
    <x v="6"/>
    <x v="0"/>
    <x v="0"/>
    <n v="14.68"/>
    <m/>
  </r>
  <r>
    <x v="0"/>
    <x v="6"/>
    <x v="6"/>
    <x v="3"/>
    <x v="8"/>
    <n v="14.68"/>
    <m/>
  </r>
  <r>
    <x v="0"/>
    <x v="6"/>
    <x v="39"/>
    <x v="0"/>
    <x v="17"/>
    <n v="65"/>
    <s v="car insurance June"/>
  </r>
  <r>
    <x v="0"/>
    <x v="6"/>
    <x v="39"/>
    <x v="1"/>
    <x v="1"/>
    <n v="-65"/>
    <s v="car insurance June"/>
  </r>
  <r>
    <x v="0"/>
    <x v="6"/>
    <x v="5"/>
    <x v="0"/>
    <x v="4"/>
    <n v="4.83"/>
    <s v="Bulk Barn"/>
  </r>
  <r>
    <x v="0"/>
    <x v="6"/>
    <x v="5"/>
    <x v="1"/>
    <x v="1"/>
    <n v="-4.83"/>
    <s v="Bulk Barn"/>
  </r>
  <r>
    <x v="0"/>
    <x v="6"/>
    <x v="5"/>
    <x v="0"/>
    <x v="4"/>
    <n v="56.48"/>
    <s v="Farm Boy"/>
  </r>
  <r>
    <x v="0"/>
    <x v="6"/>
    <x v="5"/>
    <x v="1"/>
    <x v="1"/>
    <n v="-56.48"/>
    <s v="Farm Boy"/>
  </r>
  <r>
    <x v="0"/>
    <x v="6"/>
    <x v="5"/>
    <x v="0"/>
    <x v="4"/>
    <n v="17.09"/>
    <s v="Metro"/>
  </r>
  <r>
    <x v="0"/>
    <x v="6"/>
    <x v="5"/>
    <x v="1"/>
    <x v="1"/>
    <n v="-17.09"/>
    <s v="Metro"/>
  </r>
  <r>
    <x v="0"/>
    <x v="6"/>
    <x v="5"/>
    <x v="0"/>
    <x v="4"/>
    <n v="5.74"/>
    <s v="metro"/>
  </r>
  <r>
    <x v="0"/>
    <x v="6"/>
    <x v="5"/>
    <x v="1"/>
    <x v="1"/>
    <n v="-5.74"/>
    <s v="Metro"/>
  </r>
  <r>
    <x v="0"/>
    <x v="6"/>
    <x v="3"/>
    <x v="0"/>
    <x v="2"/>
    <n v="500"/>
    <s v="rent June."/>
  </r>
  <r>
    <x v="0"/>
    <x v="6"/>
    <x v="3"/>
    <x v="1"/>
    <x v="1"/>
    <n v="-500"/>
    <s v="rent June. "/>
  </r>
  <r>
    <x v="0"/>
    <x v="6"/>
    <x v="8"/>
    <x v="0"/>
    <x v="4"/>
    <n v="8.35"/>
    <s v="Subway"/>
  </r>
  <r>
    <x v="0"/>
    <x v="6"/>
    <x v="8"/>
    <x v="3"/>
    <x v="8"/>
    <n v="8.35"/>
    <s v="Subway"/>
  </r>
  <r>
    <x v="0"/>
    <x v="6"/>
    <x v="5"/>
    <x v="0"/>
    <x v="4"/>
    <n v="28.44"/>
    <s v="Metro"/>
  </r>
  <r>
    <x v="0"/>
    <x v="6"/>
    <x v="5"/>
    <x v="1"/>
    <x v="1"/>
    <n v="-28.44"/>
    <s v="Metro"/>
  </r>
  <r>
    <x v="0"/>
    <x v="6"/>
    <x v="7"/>
    <x v="1"/>
    <x v="9"/>
    <n v="200"/>
    <s v="escort date"/>
  </r>
  <r>
    <x v="0"/>
    <x v="6"/>
    <x v="7"/>
    <x v="1"/>
    <x v="1"/>
    <n v="-200"/>
    <s v="escort date"/>
  </r>
  <r>
    <x v="0"/>
    <x v="6"/>
    <x v="7"/>
    <x v="0"/>
    <x v="3"/>
    <n v="130"/>
    <s v="The Phoenix membership and door fee"/>
  </r>
  <r>
    <x v="0"/>
    <x v="6"/>
    <x v="81"/>
    <x v="0"/>
    <x v="0"/>
    <n v="271.17"/>
    <s v="Suit"/>
  </r>
  <r>
    <x v="0"/>
    <x v="6"/>
    <x v="81"/>
    <x v="1"/>
    <x v="1"/>
    <n v="-271.17"/>
    <s v="Suit"/>
  </r>
  <r>
    <x v="0"/>
    <x v="6"/>
    <x v="37"/>
    <x v="1"/>
    <x v="9"/>
    <n v="-130"/>
    <s v="The Phoenix membership and door fee"/>
  </r>
  <r>
    <x v="0"/>
    <x v="6"/>
    <x v="87"/>
    <x v="0"/>
    <x v="7"/>
    <n v="139.22999999999999"/>
    <m/>
  </r>
  <r>
    <x v="0"/>
    <x v="6"/>
    <x v="87"/>
    <x v="3"/>
    <x v="8"/>
    <n v="139.22999999999999"/>
    <m/>
  </r>
  <r>
    <x v="0"/>
    <x v="6"/>
    <x v="8"/>
    <x v="0"/>
    <x v="4"/>
    <n v="18.510000000000002"/>
    <s v="A&amp;W"/>
  </r>
  <r>
    <x v="0"/>
    <x v="6"/>
    <x v="8"/>
    <x v="1"/>
    <x v="1"/>
    <n v="-18.510000000000002"/>
    <s v="A&amp;W"/>
  </r>
  <r>
    <x v="0"/>
    <x v="6"/>
    <x v="5"/>
    <x v="0"/>
    <x v="4"/>
    <n v="16.64"/>
    <s v="metro"/>
  </r>
  <r>
    <x v="0"/>
    <x v="6"/>
    <x v="5"/>
    <x v="1"/>
    <x v="1"/>
    <n v="-16.64"/>
    <s v="metro"/>
  </r>
  <r>
    <x v="0"/>
    <x v="6"/>
    <x v="18"/>
    <x v="3"/>
    <x v="8"/>
    <n v="-525.66"/>
    <s v="Credit Balance Payment"/>
  </r>
  <r>
    <x v="0"/>
    <x v="6"/>
    <x v="18"/>
    <x v="1"/>
    <x v="1"/>
    <n v="-525.66"/>
    <s v="Credit Balance Payment"/>
  </r>
  <r>
    <x v="0"/>
    <x v="6"/>
    <x v="47"/>
    <x v="0"/>
    <x v="0"/>
    <n v="6.77"/>
    <m/>
  </r>
  <r>
    <x v="0"/>
    <x v="6"/>
    <x v="47"/>
    <x v="3"/>
    <x v="8"/>
    <n v="6.77"/>
    <m/>
  </r>
  <r>
    <x v="0"/>
    <x v="6"/>
    <x v="88"/>
    <x v="3"/>
    <x v="8"/>
    <n v="74.97"/>
    <s v="amazon purchase"/>
  </r>
  <r>
    <x v="0"/>
    <x v="6"/>
    <x v="18"/>
    <x v="3"/>
    <x v="8"/>
    <n v="-81.739999999999995"/>
    <s v="Credit Balance Payment"/>
  </r>
  <r>
    <x v="0"/>
    <x v="6"/>
    <x v="18"/>
    <x v="1"/>
    <x v="1"/>
    <n v="-81.739999999999995"/>
    <s v="Credit Balance Payment"/>
  </r>
  <r>
    <x v="0"/>
    <x v="6"/>
    <x v="5"/>
    <x v="0"/>
    <x v="4"/>
    <n v="40.270000000000003"/>
    <s v="metro"/>
  </r>
  <r>
    <x v="0"/>
    <x v="6"/>
    <x v="5"/>
    <x v="1"/>
    <x v="1"/>
    <n v="-40.270000000000003"/>
    <s v="grocery expense"/>
  </r>
  <r>
    <x v="0"/>
    <x v="6"/>
    <x v="9"/>
    <x v="0"/>
    <x v="5"/>
    <n v="26.96"/>
    <s v="Life Insurance June"/>
  </r>
  <r>
    <x v="0"/>
    <x v="6"/>
    <x v="9"/>
    <x v="1"/>
    <x v="1"/>
    <n v="-26.96"/>
    <s v="Life Insurance June"/>
  </r>
  <r>
    <x v="0"/>
    <x v="6"/>
    <x v="74"/>
    <x v="0"/>
    <x v="7"/>
    <n v="19.64"/>
    <s v="file folders"/>
  </r>
  <r>
    <x v="0"/>
    <x v="6"/>
    <x v="89"/>
    <x v="0"/>
    <x v="0"/>
    <n v="46.71"/>
    <s v="essenital oils"/>
  </r>
  <r>
    <x v="0"/>
    <x v="6"/>
    <x v="67"/>
    <x v="0"/>
    <x v="35"/>
    <n v="8.6199999999999992"/>
    <s v="amazon purchase"/>
  </r>
  <r>
    <x v="0"/>
    <x v="6"/>
    <x v="5"/>
    <x v="0"/>
    <x v="4"/>
    <n v="34.520000000000003"/>
    <s v="Metro"/>
  </r>
  <r>
    <x v="0"/>
    <x v="6"/>
    <x v="5"/>
    <x v="1"/>
    <x v="1"/>
    <n v="-34.520000000000003"/>
    <s v="Metro"/>
  </r>
  <r>
    <x v="0"/>
    <x v="6"/>
    <x v="4"/>
    <x v="0"/>
    <x v="3"/>
    <n v="12.51"/>
    <s v="juice, chips- 22.51 listed"/>
  </r>
  <r>
    <x v="0"/>
    <x v="6"/>
    <x v="4"/>
    <x v="1"/>
    <x v="1"/>
    <n v="-12.51"/>
    <s v="juice, chips- 22.51 listed"/>
  </r>
  <r>
    <x v="0"/>
    <x v="6"/>
    <x v="5"/>
    <x v="0"/>
    <x v="4"/>
    <n v="9.58"/>
    <s v="metro"/>
  </r>
  <r>
    <x v="0"/>
    <x v="6"/>
    <x v="5"/>
    <x v="1"/>
    <x v="1"/>
    <n v="-9.58"/>
    <s v="metro"/>
  </r>
  <r>
    <x v="0"/>
    <x v="6"/>
    <x v="5"/>
    <x v="0"/>
    <x v="4"/>
    <n v="10"/>
    <s v="Metro - 22.51 listed"/>
  </r>
  <r>
    <x v="0"/>
    <x v="6"/>
    <x v="5"/>
    <x v="1"/>
    <x v="1"/>
    <n v="-10"/>
    <s v="Metro - 22.51 listed"/>
  </r>
  <r>
    <x v="0"/>
    <x v="6"/>
    <x v="12"/>
    <x v="0"/>
    <x v="0"/>
    <n v="11.29"/>
    <m/>
  </r>
  <r>
    <x v="0"/>
    <x v="6"/>
    <x v="12"/>
    <x v="3"/>
    <x v="8"/>
    <n v="11.29"/>
    <m/>
  </r>
  <r>
    <x v="0"/>
    <x v="6"/>
    <x v="76"/>
    <x v="0"/>
    <x v="0"/>
    <n v="14.68"/>
    <m/>
  </r>
  <r>
    <x v="0"/>
    <x v="6"/>
    <x v="76"/>
    <x v="3"/>
    <x v="8"/>
    <n v="14.68"/>
    <m/>
  </r>
  <r>
    <x v="0"/>
    <x v="6"/>
    <x v="5"/>
    <x v="0"/>
    <x v="4"/>
    <n v="13.27"/>
    <s v="Metro"/>
  </r>
  <r>
    <x v="0"/>
    <x v="6"/>
    <x v="5"/>
    <x v="1"/>
    <x v="1"/>
    <n v="-13.27"/>
    <s v="Metro"/>
  </r>
  <r>
    <x v="0"/>
    <x v="6"/>
    <x v="46"/>
    <x v="1"/>
    <x v="1"/>
    <n v="1434.54"/>
    <m/>
  </r>
  <r>
    <x v="0"/>
    <x v="6"/>
    <x v="46"/>
    <x v="2"/>
    <x v="24"/>
    <n v="1434.54"/>
    <m/>
  </r>
  <r>
    <x v="0"/>
    <x v="6"/>
    <x v="13"/>
    <x v="0"/>
    <x v="7"/>
    <n v="31.92"/>
    <m/>
  </r>
  <r>
    <x v="0"/>
    <x v="6"/>
    <x v="13"/>
    <x v="3"/>
    <x v="8"/>
    <n v="31.92"/>
    <m/>
  </r>
  <r>
    <x v="0"/>
    <x v="6"/>
    <x v="61"/>
    <x v="0"/>
    <x v="20"/>
    <n v="74.510000000000005"/>
    <s v="mix"/>
  </r>
  <r>
    <x v="0"/>
    <x v="6"/>
    <x v="61"/>
    <x v="1"/>
    <x v="1"/>
    <n v="-74.510000000000005"/>
    <s v="mix"/>
  </r>
  <r>
    <x v="0"/>
    <x v="6"/>
    <x v="5"/>
    <x v="0"/>
    <x v="4"/>
    <n v="26.53"/>
    <s v="Garden Market"/>
  </r>
  <r>
    <x v="0"/>
    <x v="6"/>
    <x v="5"/>
    <x v="1"/>
    <x v="1"/>
    <n v="-26.53"/>
    <s v="Garden Market"/>
  </r>
  <r>
    <x v="0"/>
    <x v="6"/>
    <x v="34"/>
    <x v="0"/>
    <x v="0"/>
    <n v="7.65"/>
    <m/>
  </r>
  <r>
    <x v="0"/>
    <x v="6"/>
    <x v="34"/>
    <x v="3"/>
    <x v="8"/>
    <n v="7.65"/>
    <m/>
  </r>
  <r>
    <x v="0"/>
    <x v="6"/>
    <x v="8"/>
    <x v="0"/>
    <x v="4"/>
    <n v="25.37"/>
    <s v="Shawarma"/>
  </r>
  <r>
    <x v="0"/>
    <x v="6"/>
    <x v="8"/>
    <x v="1"/>
    <x v="1"/>
    <n v="-25.37"/>
    <s v="Shawarma"/>
  </r>
  <r>
    <x v="0"/>
    <x v="6"/>
    <x v="5"/>
    <x v="0"/>
    <x v="4"/>
    <n v="14.77"/>
    <s v="Metro"/>
  </r>
  <r>
    <x v="0"/>
    <x v="6"/>
    <x v="5"/>
    <x v="1"/>
    <x v="1"/>
    <n v="-14.77"/>
    <s v="Metro"/>
  </r>
  <r>
    <x v="0"/>
    <x v="6"/>
    <x v="8"/>
    <x v="0"/>
    <x v="4"/>
    <n v="18.059999999999999"/>
    <s v="Tim Horton"/>
  </r>
  <r>
    <x v="0"/>
    <x v="6"/>
    <x v="8"/>
    <x v="1"/>
    <x v="1"/>
    <n v="-18.059999999999999"/>
    <s v="Tim Horton"/>
  </r>
  <r>
    <x v="0"/>
    <x v="6"/>
    <x v="50"/>
    <x v="0"/>
    <x v="17"/>
    <n v="30.78"/>
    <s v="uber"/>
  </r>
  <r>
    <x v="0"/>
    <x v="6"/>
    <x v="50"/>
    <x v="3"/>
    <x v="8"/>
    <n v="30.78"/>
    <s v="uber"/>
  </r>
  <r>
    <x v="0"/>
    <x v="6"/>
    <x v="7"/>
    <x v="0"/>
    <x v="3"/>
    <n v="315"/>
    <s v="escort date"/>
  </r>
  <r>
    <x v="0"/>
    <x v="6"/>
    <x v="7"/>
    <x v="1"/>
    <x v="1"/>
    <n v="-315"/>
    <s v="escort date"/>
  </r>
  <r>
    <x v="0"/>
    <x v="6"/>
    <x v="7"/>
    <x v="0"/>
    <x v="3"/>
    <n v="300"/>
    <s v="escort date"/>
  </r>
  <r>
    <x v="0"/>
    <x v="6"/>
    <x v="7"/>
    <x v="1"/>
    <x v="1"/>
    <n v="-300"/>
    <s v="escort date"/>
  </r>
  <r>
    <x v="0"/>
    <x v="6"/>
    <x v="8"/>
    <x v="0"/>
    <x v="4"/>
    <n v="16.940000000000001"/>
    <s v="Popeye's"/>
  </r>
  <r>
    <x v="0"/>
    <x v="6"/>
    <x v="8"/>
    <x v="1"/>
    <x v="1"/>
    <n v="-16.940000000000001"/>
    <s v="Popeye's"/>
  </r>
  <r>
    <x v="0"/>
    <x v="6"/>
    <x v="7"/>
    <x v="0"/>
    <x v="3"/>
    <n v="30.49"/>
    <s v="gift for escort"/>
  </r>
  <r>
    <x v="0"/>
    <x v="6"/>
    <x v="7"/>
    <x v="1"/>
    <x v="1"/>
    <n v="-30.49"/>
    <s v="gift for escort"/>
  </r>
  <r>
    <x v="0"/>
    <x v="6"/>
    <x v="21"/>
    <x v="0"/>
    <x v="12"/>
    <n v="66.66"/>
    <s v="Paul flash drive"/>
  </r>
  <r>
    <x v="0"/>
    <x v="6"/>
    <x v="21"/>
    <x v="3"/>
    <x v="8"/>
    <n v="46.66"/>
    <s v="Paul flash drive"/>
  </r>
  <r>
    <x v="0"/>
    <x v="6"/>
    <x v="21"/>
    <x v="1"/>
    <x v="27"/>
    <n v="-20"/>
    <s v="Paul flash drive"/>
  </r>
  <r>
    <x v="0"/>
    <x v="6"/>
    <x v="54"/>
    <x v="1"/>
    <x v="27"/>
    <n v="20"/>
    <s v="Amazon gift card"/>
  </r>
  <r>
    <x v="0"/>
    <x v="6"/>
    <x v="54"/>
    <x v="2"/>
    <x v="26"/>
    <n v="20"/>
    <s v="Amazon gift card"/>
  </r>
  <r>
    <x v="0"/>
    <x v="6"/>
    <x v="7"/>
    <x v="0"/>
    <x v="3"/>
    <n v="8.1"/>
    <s v="gift for escort"/>
  </r>
  <r>
    <x v="0"/>
    <x v="6"/>
    <x v="7"/>
    <x v="1"/>
    <x v="1"/>
    <n v="-8.1"/>
    <s v="gift for escort"/>
  </r>
  <r>
    <x v="0"/>
    <x v="6"/>
    <x v="8"/>
    <x v="0"/>
    <x v="4"/>
    <n v="8.58"/>
    <s v="Wendy's"/>
  </r>
  <r>
    <x v="0"/>
    <x v="6"/>
    <x v="8"/>
    <x v="1"/>
    <x v="1"/>
    <n v="-8.58"/>
    <s v="Wendy's"/>
  </r>
  <r>
    <x v="0"/>
    <x v="6"/>
    <x v="7"/>
    <x v="0"/>
    <x v="3"/>
    <n v="171"/>
    <s v="escort date"/>
  </r>
  <r>
    <x v="0"/>
    <x v="6"/>
    <x v="7"/>
    <x v="1"/>
    <x v="1"/>
    <n v="-171"/>
    <s v="escort date"/>
  </r>
  <r>
    <x v="0"/>
    <x v="6"/>
    <x v="7"/>
    <x v="1"/>
    <x v="9"/>
    <n v="303.5"/>
    <s v="escort date"/>
  </r>
  <r>
    <x v="0"/>
    <x v="6"/>
    <x v="7"/>
    <x v="1"/>
    <x v="1"/>
    <n v="-303.5"/>
    <s v="escort date"/>
  </r>
  <r>
    <x v="0"/>
    <x v="6"/>
    <x v="7"/>
    <x v="0"/>
    <x v="3"/>
    <n v="303.5"/>
    <s v="escort date"/>
  </r>
  <r>
    <x v="0"/>
    <x v="6"/>
    <x v="7"/>
    <x v="1"/>
    <x v="9"/>
    <n v="-303.5"/>
    <s v="escort date"/>
  </r>
  <r>
    <x v="0"/>
    <x v="6"/>
    <x v="5"/>
    <x v="0"/>
    <x v="4"/>
    <n v="30.42"/>
    <s v="Farm Boy"/>
  </r>
  <r>
    <x v="0"/>
    <x v="6"/>
    <x v="5"/>
    <x v="1"/>
    <x v="1"/>
    <n v="-30.42"/>
    <s v="Farm Boy"/>
  </r>
  <r>
    <x v="0"/>
    <x v="6"/>
    <x v="35"/>
    <x v="0"/>
    <x v="0"/>
    <n v="3.38"/>
    <m/>
  </r>
  <r>
    <x v="0"/>
    <x v="6"/>
    <x v="35"/>
    <x v="3"/>
    <x v="8"/>
    <n v="3.38"/>
    <m/>
  </r>
  <r>
    <x v="0"/>
    <x v="6"/>
    <x v="7"/>
    <x v="0"/>
    <x v="3"/>
    <n v="15.49"/>
    <s v="OF"/>
  </r>
  <r>
    <x v="0"/>
    <x v="6"/>
    <x v="7"/>
    <x v="3"/>
    <x v="8"/>
    <n v="15.49"/>
    <s v="OF"/>
  </r>
  <r>
    <x v="0"/>
    <x v="6"/>
    <x v="5"/>
    <x v="0"/>
    <x v="4"/>
    <n v="13.57"/>
    <s v="Metro"/>
  </r>
  <r>
    <x v="0"/>
    <x v="6"/>
    <x v="5"/>
    <x v="1"/>
    <x v="1"/>
    <n v="-13.57"/>
    <s v="Metro"/>
  </r>
  <r>
    <x v="0"/>
    <x v="6"/>
    <x v="16"/>
    <x v="0"/>
    <x v="0"/>
    <n v="18.63"/>
    <m/>
  </r>
  <r>
    <x v="0"/>
    <x v="6"/>
    <x v="16"/>
    <x v="3"/>
    <x v="8"/>
    <n v="18.63"/>
    <m/>
  </r>
  <r>
    <x v="0"/>
    <x v="6"/>
    <x v="90"/>
    <x v="0"/>
    <x v="17"/>
    <n v="65"/>
    <s v="car gas"/>
  </r>
  <r>
    <x v="0"/>
    <x v="6"/>
    <x v="90"/>
    <x v="1"/>
    <x v="1"/>
    <n v="-65"/>
    <s v="car gas"/>
  </r>
  <r>
    <x v="0"/>
    <x v="6"/>
    <x v="86"/>
    <x v="0"/>
    <x v="7"/>
    <n v="247.55"/>
    <s v="comp1 cpu ryzen 7 5800x"/>
  </r>
  <r>
    <x v="0"/>
    <x v="6"/>
    <x v="86"/>
    <x v="3"/>
    <x v="8"/>
    <n v="247.55"/>
    <s v="comp1 cpu ryzen 7 5800x"/>
  </r>
  <r>
    <x v="0"/>
    <x v="6"/>
    <x v="18"/>
    <x v="3"/>
    <x v="8"/>
    <n v="-247.55"/>
    <s v="Credit Balance Payment"/>
  </r>
  <r>
    <x v="0"/>
    <x v="6"/>
    <x v="18"/>
    <x v="1"/>
    <x v="1"/>
    <n v="-247.55"/>
    <s v="Credit Balance Payment"/>
  </r>
  <r>
    <x v="0"/>
    <x v="6"/>
    <x v="60"/>
    <x v="0"/>
    <x v="12"/>
    <n v="46.1"/>
    <s v="Bob Birthday resturant"/>
  </r>
  <r>
    <x v="0"/>
    <x v="6"/>
    <x v="60"/>
    <x v="1"/>
    <x v="1"/>
    <n v="-46.1"/>
    <s v="date connect Bob's Birthday"/>
  </r>
  <r>
    <x v="0"/>
    <x v="6"/>
    <x v="5"/>
    <x v="0"/>
    <x v="4"/>
    <n v="38.270000000000003"/>
    <s v="Metro"/>
  </r>
  <r>
    <x v="0"/>
    <x v="6"/>
    <x v="5"/>
    <x v="1"/>
    <x v="1"/>
    <n v="-38.270000000000003"/>
    <s v="Metro"/>
  </r>
  <r>
    <x v="0"/>
    <x v="6"/>
    <x v="5"/>
    <x v="0"/>
    <x v="4"/>
    <n v="52.48"/>
    <s v="Farm Boy"/>
  </r>
  <r>
    <x v="0"/>
    <x v="6"/>
    <x v="5"/>
    <x v="1"/>
    <x v="1"/>
    <n v="-52.48"/>
    <s v="Farm Boy"/>
  </r>
  <r>
    <x v="0"/>
    <x v="6"/>
    <x v="4"/>
    <x v="0"/>
    <x v="3"/>
    <n v="11.73"/>
    <s v="Wendy's"/>
  </r>
  <r>
    <x v="0"/>
    <x v="6"/>
    <x v="4"/>
    <x v="1"/>
    <x v="1"/>
    <n v="-11.73"/>
    <s v="Wendy's"/>
  </r>
  <r>
    <x v="0"/>
    <x v="6"/>
    <x v="19"/>
    <x v="0"/>
    <x v="7"/>
    <n v="14.28"/>
    <m/>
  </r>
  <r>
    <x v="0"/>
    <x v="6"/>
    <x v="19"/>
    <x v="3"/>
    <x v="8"/>
    <n v="14.28"/>
    <m/>
  </r>
  <r>
    <x v="0"/>
    <x v="6"/>
    <x v="91"/>
    <x v="0"/>
    <x v="17"/>
    <n v="80.55"/>
    <s v="oil change"/>
  </r>
  <r>
    <x v="0"/>
    <x v="6"/>
    <x v="91"/>
    <x v="1"/>
    <x v="1"/>
    <n v="-80.55"/>
    <s v="oil change"/>
  </r>
  <r>
    <x v="0"/>
    <x v="6"/>
    <x v="18"/>
    <x v="3"/>
    <x v="11"/>
    <n v="-0.75"/>
    <m/>
  </r>
  <r>
    <x v="0"/>
    <x v="6"/>
    <x v="18"/>
    <x v="1"/>
    <x v="1"/>
    <n v="-0.75"/>
    <m/>
  </r>
  <r>
    <x v="0"/>
    <x v="6"/>
    <x v="18"/>
    <x v="3"/>
    <x v="8"/>
    <n v="-34.409999999999997"/>
    <m/>
  </r>
  <r>
    <x v="0"/>
    <x v="6"/>
    <x v="18"/>
    <x v="1"/>
    <x v="1"/>
    <n v="-34.409999999999997"/>
    <m/>
  </r>
  <r>
    <x v="0"/>
    <x v="6"/>
    <x v="92"/>
    <x v="0"/>
    <x v="17"/>
    <n v="6"/>
    <s v="medical appointment"/>
  </r>
  <r>
    <x v="0"/>
    <x v="6"/>
    <x v="92"/>
    <x v="3"/>
    <x v="8"/>
    <n v="6"/>
    <s v="medical appointment"/>
  </r>
  <r>
    <x v="0"/>
    <x v="6"/>
    <x v="93"/>
    <x v="0"/>
    <x v="20"/>
    <n v="56.49"/>
    <s v="pillow wedge"/>
  </r>
  <r>
    <x v="0"/>
    <x v="6"/>
    <x v="93"/>
    <x v="3"/>
    <x v="8"/>
    <n v="56.49"/>
    <s v="pillow wedge"/>
  </r>
  <r>
    <x v="0"/>
    <x v="6"/>
    <x v="94"/>
    <x v="0"/>
    <x v="0"/>
    <n v="27.31"/>
    <s v="movie trivia game"/>
  </r>
  <r>
    <x v="0"/>
    <x v="6"/>
    <x v="94"/>
    <x v="3"/>
    <x v="8"/>
    <n v="27.31"/>
    <s v="movie trivia game"/>
  </r>
  <r>
    <x v="0"/>
    <x v="6"/>
    <x v="5"/>
    <x v="0"/>
    <x v="4"/>
    <n v="12.57"/>
    <s v="Metro"/>
  </r>
  <r>
    <x v="0"/>
    <x v="6"/>
    <x v="5"/>
    <x v="1"/>
    <x v="1"/>
    <n v="-12.57"/>
    <s v="Metro"/>
  </r>
  <r>
    <x v="0"/>
    <x v="6"/>
    <x v="21"/>
    <x v="0"/>
    <x v="12"/>
    <n v="20"/>
    <s v="Laura and Aaron wine"/>
  </r>
  <r>
    <x v="0"/>
    <x v="6"/>
    <x v="21"/>
    <x v="1"/>
    <x v="1"/>
    <n v="-20"/>
    <s v="Laura and Aaron wine"/>
  </r>
  <r>
    <x v="0"/>
    <x v="6"/>
    <x v="46"/>
    <x v="1"/>
    <x v="1"/>
    <n v="1598.31"/>
    <s v="Salary QCH"/>
  </r>
  <r>
    <x v="0"/>
    <x v="6"/>
    <x v="46"/>
    <x v="2"/>
    <x v="24"/>
    <n v="1598.31"/>
    <s v="Salary QCH"/>
  </r>
  <r>
    <x v="0"/>
    <x v="6"/>
    <x v="18"/>
    <x v="3"/>
    <x v="8"/>
    <n v="-104.08"/>
    <s v="Credit Balance Payment"/>
  </r>
  <r>
    <x v="0"/>
    <x v="6"/>
    <x v="18"/>
    <x v="1"/>
    <x v="1"/>
    <n v="-104.08"/>
    <s v="Credit Balance Payment"/>
  </r>
  <r>
    <x v="0"/>
    <x v="6"/>
    <x v="60"/>
    <x v="0"/>
    <x v="0"/>
    <n v="15"/>
    <s v="rest of gun range fee"/>
  </r>
  <r>
    <x v="0"/>
    <x v="6"/>
    <x v="60"/>
    <x v="1"/>
    <x v="9"/>
    <n v="-15"/>
    <s v="rest of gun range fee"/>
  </r>
  <r>
    <x v="0"/>
    <x v="6"/>
    <x v="21"/>
    <x v="0"/>
    <x v="12"/>
    <n v="38.630000000000003"/>
    <s v="groceries for Aaron, part of gun run range"/>
  </r>
  <r>
    <x v="0"/>
    <x v="6"/>
    <x v="21"/>
    <x v="1"/>
    <x v="1"/>
    <n v="-38.630000000000003"/>
    <s v="groceries for Aaron, part of gun run range"/>
  </r>
  <r>
    <x v="1"/>
    <x v="6"/>
    <x v="21"/>
    <x v="0"/>
    <x v="12"/>
    <n v="0"/>
    <s v="gifts Christmas"/>
  </r>
  <r>
    <x v="1"/>
    <x v="6"/>
    <x v="22"/>
    <x v="0"/>
    <x v="13"/>
    <n v="0"/>
    <m/>
  </r>
  <r>
    <x v="1"/>
    <x v="6"/>
    <x v="23"/>
    <x v="0"/>
    <x v="14"/>
    <n v="0"/>
    <m/>
  </r>
  <r>
    <x v="1"/>
    <x v="6"/>
    <x v="11"/>
    <x v="0"/>
    <x v="14"/>
    <n v="3"/>
    <m/>
  </r>
  <r>
    <x v="1"/>
    <x v="6"/>
    <x v="24"/>
    <x v="0"/>
    <x v="15"/>
    <n v="0"/>
    <m/>
  </r>
  <r>
    <x v="1"/>
    <x v="6"/>
    <x v="5"/>
    <x v="0"/>
    <x v="4"/>
    <n v="300"/>
    <m/>
  </r>
  <r>
    <x v="1"/>
    <x v="6"/>
    <x v="8"/>
    <x v="0"/>
    <x v="4"/>
    <n v="150"/>
    <m/>
  </r>
  <r>
    <x v="1"/>
    <x v="6"/>
    <x v="25"/>
    <x v="0"/>
    <x v="16"/>
    <n v="55"/>
    <m/>
  </r>
  <r>
    <x v="1"/>
    <x v="6"/>
    <x v="26"/>
    <x v="0"/>
    <x v="7"/>
    <n v="0"/>
    <m/>
  </r>
  <r>
    <x v="1"/>
    <x v="6"/>
    <x v="28"/>
    <x v="0"/>
    <x v="7"/>
    <n v="0"/>
    <m/>
  </r>
  <r>
    <x v="1"/>
    <x v="6"/>
    <x v="19"/>
    <x v="0"/>
    <x v="7"/>
    <n v="14.31"/>
    <m/>
  </r>
  <r>
    <x v="1"/>
    <x v="6"/>
    <x v="13"/>
    <x v="0"/>
    <x v="7"/>
    <n v="31.92"/>
    <m/>
  </r>
  <r>
    <x v="1"/>
    <x v="6"/>
    <x v="29"/>
    <x v="0"/>
    <x v="7"/>
    <n v="0"/>
    <m/>
  </r>
  <r>
    <x v="1"/>
    <x v="6"/>
    <x v="30"/>
    <x v="0"/>
    <x v="7"/>
    <n v="0"/>
    <m/>
  </r>
  <r>
    <x v="1"/>
    <x v="6"/>
    <x v="3"/>
    <x v="0"/>
    <x v="2"/>
    <n v="250"/>
    <m/>
  </r>
  <r>
    <x v="1"/>
    <x v="6"/>
    <x v="31"/>
    <x v="0"/>
    <x v="0"/>
    <n v="0"/>
    <m/>
  </r>
  <r>
    <x v="1"/>
    <x v="6"/>
    <x v="12"/>
    <x v="0"/>
    <x v="0"/>
    <n v="11.29"/>
    <m/>
  </r>
  <r>
    <x v="1"/>
    <x v="6"/>
    <x v="32"/>
    <x v="0"/>
    <x v="0"/>
    <n v="0"/>
    <m/>
  </r>
  <r>
    <x v="1"/>
    <x v="6"/>
    <x v="16"/>
    <x v="0"/>
    <x v="0"/>
    <n v="18.63"/>
    <m/>
  </r>
  <r>
    <x v="1"/>
    <x v="6"/>
    <x v="6"/>
    <x v="0"/>
    <x v="0"/>
    <n v="13.55"/>
    <m/>
  </r>
  <r>
    <x v="1"/>
    <x v="6"/>
    <x v="33"/>
    <x v="0"/>
    <x v="0"/>
    <n v="0"/>
    <m/>
  </r>
  <r>
    <x v="1"/>
    <x v="6"/>
    <x v="34"/>
    <x v="0"/>
    <x v="0"/>
    <n v="7.65"/>
    <m/>
  </r>
  <r>
    <x v="1"/>
    <x v="6"/>
    <x v="35"/>
    <x v="0"/>
    <x v="0"/>
    <n v="3.38"/>
    <m/>
  </r>
  <r>
    <x v="1"/>
    <x v="6"/>
    <x v="36"/>
    <x v="0"/>
    <x v="0"/>
    <n v="0"/>
    <m/>
  </r>
  <r>
    <x v="1"/>
    <x v="6"/>
    <x v="47"/>
    <x v="0"/>
    <x v="0"/>
    <n v="6.77"/>
    <m/>
  </r>
  <r>
    <x v="1"/>
    <x v="6"/>
    <x v="0"/>
    <x v="0"/>
    <x v="0"/>
    <n v="8.39"/>
    <m/>
  </r>
  <r>
    <x v="1"/>
    <x v="6"/>
    <x v="38"/>
    <x v="0"/>
    <x v="0"/>
    <n v="0"/>
    <m/>
  </r>
  <r>
    <x v="1"/>
    <x v="6"/>
    <x v="39"/>
    <x v="0"/>
    <x v="17"/>
    <n v="65"/>
    <m/>
  </r>
  <r>
    <x v="1"/>
    <x v="6"/>
    <x v="90"/>
    <x v="0"/>
    <x v="17"/>
    <n v="100"/>
    <m/>
  </r>
  <r>
    <x v="1"/>
    <x v="6"/>
    <x v="40"/>
    <x v="0"/>
    <x v="17"/>
    <n v="0"/>
    <m/>
  </r>
  <r>
    <x v="1"/>
    <x v="6"/>
    <x v="41"/>
    <x v="0"/>
    <x v="18"/>
    <n v="250"/>
    <m/>
  </r>
  <r>
    <x v="3"/>
    <x v="6"/>
    <x v="91"/>
    <x v="0"/>
    <x v="17"/>
    <n v="65"/>
    <s v="car maintain oil change"/>
  </r>
  <r>
    <x v="0"/>
    <x v="7"/>
    <x v="0"/>
    <x v="0"/>
    <x v="0"/>
    <n v="8.39"/>
    <m/>
  </r>
  <r>
    <x v="0"/>
    <x v="7"/>
    <x v="5"/>
    <x v="0"/>
    <x v="4"/>
    <n v="24.66"/>
    <s v="Metro"/>
  </r>
  <r>
    <x v="0"/>
    <x v="7"/>
    <x v="5"/>
    <x v="0"/>
    <x v="4"/>
    <n v="6.07"/>
    <s v="Metro"/>
  </r>
  <r>
    <x v="0"/>
    <x v="7"/>
    <x v="2"/>
    <x v="1"/>
    <x v="1"/>
    <n v="-39.119999999999997"/>
    <m/>
  </r>
  <r>
    <x v="0"/>
    <x v="7"/>
    <x v="69"/>
    <x v="1"/>
    <x v="1"/>
    <n v="193"/>
    <s v="Insurance Claim"/>
  </r>
  <r>
    <x v="0"/>
    <x v="7"/>
    <x v="69"/>
    <x v="2"/>
    <x v="26"/>
    <n v="193"/>
    <s v="Insurance Claim"/>
  </r>
  <r>
    <x v="0"/>
    <x v="7"/>
    <x v="8"/>
    <x v="0"/>
    <x v="4"/>
    <n v="9.99"/>
    <s v="Tim Horton"/>
  </r>
  <r>
    <x v="0"/>
    <x v="7"/>
    <x v="21"/>
    <x v="0"/>
    <x v="12"/>
    <n v="19.09"/>
    <s v="Laura and Aaron"/>
  </r>
  <r>
    <x v="0"/>
    <x v="7"/>
    <x v="21"/>
    <x v="0"/>
    <x v="12"/>
    <n v="21.97"/>
    <s v="Mixed Gift"/>
  </r>
  <r>
    <x v="0"/>
    <x v="7"/>
    <x v="6"/>
    <x v="0"/>
    <x v="0"/>
    <n v="14.68"/>
    <m/>
  </r>
  <r>
    <x v="0"/>
    <x v="7"/>
    <x v="2"/>
    <x v="1"/>
    <x v="1"/>
    <n v="-65.73"/>
    <m/>
  </r>
  <r>
    <x v="0"/>
    <x v="7"/>
    <x v="58"/>
    <x v="0"/>
    <x v="28"/>
    <n v="35.19"/>
    <s v="W.O Stinson &amp; Sons"/>
  </r>
  <r>
    <x v="0"/>
    <x v="7"/>
    <x v="58"/>
    <x v="1"/>
    <x v="1"/>
    <n v="-35.19"/>
    <s v="W.O Stinson &amp; Sons"/>
  </r>
  <r>
    <x v="0"/>
    <x v="7"/>
    <x v="58"/>
    <x v="0"/>
    <x v="28"/>
    <n v="11.59"/>
    <s v="Unknown Amazon Purchase"/>
  </r>
  <r>
    <x v="0"/>
    <x v="7"/>
    <x v="21"/>
    <x v="0"/>
    <x v="12"/>
    <n v="45.19"/>
    <s v="Nortan for Mom's Laptop"/>
  </r>
  <r>
    <x v="0"/>
    <x v="7"/>
    <x v="2"/>
    <x v="1"/>
    <x v="1"/>
    <n v="-56.78"/>
    <m/>
  </r>
  <r>
    <x v="0"/>
    <x v="7"/>
    <x v="3"/>
    <x v="0"/>
    <x v="2"/>
    <n v="445"/>
    <s v="rent March."/>
  </r>
  <r>
    <x v="0"/>
    <x v="7"/>
    <x v="3"/>
    <x v="1"/>
    <x v="1"/>
    <n v="-445"/>
    <s v="rent March."/>
  </r>
  <r>
    <x v="0"/>
    <x v="7"/>
    <x v="8"/>
    <x v="0"/>
    <x v="4"/>
    <n v="26.17"/>
    <s v="Thai Express"/>
  </r>
  <r>
    <x v="0"/>
    <x v="7"/>
    <x v="17"/>
    <x v="0"/>
    <x v="0"/>
    <n v="44.06"/>
    <s v="Video Games"/>
  </r>
  <r>
    <x v="0"/>
    <x v="7"/>
    <x v="95"/>
    <x v="0"/>
    <x v="7"/>
    <n v="132.51"/>
    <s v="Computer Software Directory Opus"/>
  </r>
  <r>
    <x v="0"/>
    <x v="7"/>
    <x v="5"/>
    <x v="0"/>
    <x v="4"/>
    <n v="28.83"/>
    <s v="Metro"/>
  </r>
  <r>
    <x v="0"/>
    <x v="7"/>
    <x v="8"/>
    <x v="0"/>
    <x v="4"/>
    <n v="13.42"/>
    <s v="AC Café"/>
  </r>
  <r>
    <x v="0"/>
    <x v="7"/>
    <x v="4"/>
    <x v="0"/>
    <x v="3"/>
    <n v="4.79"/>
    <s v="food"/>
  </r>
  <r>
    <x v="0"/>
    <x v="7"/>
    <x v="8"/>
    <x v="0"/>
    <x v="4"/>
    <n v="13.39"/>
    <s v="AC Café"/>
  </r>
  <r>
    <x v="0"/>
    <x v="7"/>
    <x v="67"/>
    <x v="0"/>
    <x v="28"/>
    <n v="145.76"/>
    <s v="Unknown Amazon Purchase"/>
  </r>
  <r>
    <x v="0"/>
    <x v="7"/>
    <x v="4"/>
    <x v="0"/>
    <x v="14"/>
    <n v="39.67"/>
    <s v="unknown education expense"/>
  </r>
  <r>
    <x v="0"/>
    <x v="7"/>
    <x v="2"/>
    <x v="1"/>
    <x v="1"/>
    <n v="-448.6"/>
    <m/>
  </r>
  <r>
    <x v="0"/>
    <x v="7"/>
    <x v="5"/>
    <x v="0"/>
    <x v="4"/>
    <n v="39.03"/>
    <s v="Metro"/>
  </r>
  <r>
    <x v="0"/>
    <x v="7"/>
    <x v="5"/>
    <x v="1"/>
    <x v="1"/>
    <n v="-39.03"/>
    <m/>
  </r>
  <r>
    <x v="0"/>
    <x v="7"/>
    <x v="96"/>
    <x v="1"/>
    <x v="1"/>
    <n v="26.96"/>
    <s v="Life Insurance March"/>
  </r>
  <r>
    <x v="0"/>
    <x v="7"/>
    <x v="9"/>
    <x v="0"/>
    <x v="5"/>
    <n v="-26.96"/>
    <s v="Life Insurance March"/>
  </r>
  <r>
    <x v="0"/>
    <x v="7"/>
    <x v="5"/>
    <x v="0"/>
    <x v="4"/>
    <n v="39.03"/>
    <s v="Metro"/>
  </r>
  <r>
    <x v="0"/>
    <x v="7"/>
    <x v="5"/>
    <x v="1"/>
    <x v="1"/>
    <n v="-39.03"/>
    <s v="Metro"/>
  </r>
  <r>
    <x v="0"/>
    <x v="7"/>
    <x v="46"/>
    <x v="1"/>
    <x v="1"/>
    <n v="338.7"/>
    <m/>
  </r>
  <r>
    <x v="0"/>
    <x v="7"/>
    <x v="46"/>
    <x v="2"/>
    <x v="24"/>
    <n v="338.7"/>
    <m/>
  </r>
  <r>
    <x v="0"/>
    <x v="7"/>
    <x v="67"/>
    <x v="0"/>
    <x v="28"/>
    <n v="16.95"/>
    <s v="Unknown Amazon Purchase"/>
  </r>
  <r>
    <x v="0"/>
    <x v="7"/>
    <x v="11"/>
    <x v="0"/>
    <x v="0"/>
    <n v="3"/>
    <m/>
  </r>
  <r>
    <x v="0"/>
    <x v="7"/>
    <x v="2"/>
    <x v="1"/>
    <x v="1"/>
    <n v="-19.95"/>
    <m/>
  </r>
  <r>
    <x v="0"/>
    <x v="7"/>
    <x v="58"/>
    <x v="0"/>
    <x v="28"/>
    <n v="110.69"/>
    <s v="Penningtons"/>
  </r>
  <r>
    <x v="0"/>
    <x v="7"/>
    <x v="58"/>
    <x v="1"/>
    <x v="1"/>
    <n v="-110.69"/>
    <m/>
  </r>
  <r>
    <x v="0"/>
    <x v="7"/>
    <x v="8"/>
    <x v="0"/>
    <x v="4"/>
    <n v="25.54"/>
    <s v="AC Café"/>
  </r>
  <r>
    <x v="0"/>
    <x v="7"/>
    <x v="8"/>
    <x v="1"/>
    <x v="1"/>
    <n v="-25.54"/>
    <s v="AC Café"/>
  </r>
  <r>
    <x v="0"/>
    <x v="7"/>
    <x v="5"/>
    <x v="0"/>
    <x v="4"/>
    <n v="43.93"/>
    <s v="Metro"/>
  </r>
  <r>
    <x v="0"/>
    <x v="7"/>
    <x v="5"/>
    <x v="1"/>
    <x v="1"/>
    <n v="-43.93"/>
    <s v="Metro"/>
  </r>
  <r>
    <x v="0"/>
    <x v="7"/>
    <x v="12"/>
    <x v="0"/>
    <x v="0"/>
    <n v="11.29"/>
    <m/>
  </r>
  <r>
    <x v="0"/>
    <x v="7"/>
    <x v="5"/>
    <x v="0"/>
    <x v="4"/>
    <n v="25.83"/>
    <m/>
  </r>
  <r>
    <x v="0"/>
    <x v="7"/>
    <x v="13"/>
    <x v="0"/>
    <x v="7"/>
    <n v="31.33"/>
    <m/>
  </r>
  <r>
    <x v="0"/>
    <x v="7"/>
    <x v="8"/>
    <x v="0"/>
    <x v="4"/>
    <n v="11.84"/>
    <s v="AC Café"/>
  </r>
  <r>
    <x v="0"/>
    <x v="7"/>
    <x v="97"/>
    <x v="0"/>
    <x v="20"/>
    <n v="45.19"/>
    <s v="headphone stand"/>
  </r>
  <r>
    <x v="0"/>
    <x v="7"/>
    <x v="5"/>
    <x v="0"/>
    <x v="4"/>
    <n v="19.600000000000001"/>
    <m/>
  </r>
  <r>
    <x v="0"/>
    <x v="7"/>
    <x v="8"/>
    <x v="0"/>
    <x v="4"/>
    <n v="10.029999999999999"/>
    <s v="AC Café"/>
  </r>
  <r>
    <x v="0"/>
    <x v="7"/>
    <x v="66"/>
    <x v="0"/>
    <x v="14"/>
    <n v="8"/>
    <m/>
  </r>
  <r>
    <x v="0"/>
    <x v="7"/>
    <x v="17"/>
    <x v="0"/>
    <x v="0"/>
    <n v="32.18"/>
    <m/>
  </r>
  <r>
    <x v="0"/>
    <x v="7"/>
    <x v="17"/>
    <x v="0"/>
    <x v="0"/>
    <n v="27.09"/>
    <m/>
  </r>
  <r>
    <x v="0"/>
    <x v="7"/>
    <x v="2"/>
    <x v="1"/>
    <x v="1"/>
    <n v="-222.38"/>
    <m/>
  </r>
  <r>
    <x v="0"/>
    <x v="7"/>
    <x v="39"/>
    <x v="0"/>
    <x v="17"/>
    <n v="65"/>
    <s v="car insurance"/>
  </r>
  <r>
    <x v="0"/>
    <x v="7"/>
    <x v="39"/>
    <x v="1"/>
    <x v="1"/>
    <n v="-65"/>
    <s v="car insurance"/>
  </r>
  <r>
    <x v="0"/>
    <x v="7"/>
    <x v="5"/>
    <x v="0"/>
    <x v="4"/>
    <n v="28.12"/>
    <s v="Metro"/>
  </r>
  <r>
    <x v="0"/>
    <x v="7"/>
    <x v="5"/>
    <x v="1"/>
    <x v="1"/>
    <n v="-28.12"/>
    <s v="Metro"/>
  </r>
  <r>
    <x v="0"/>
    <x v="7"/>
    <x v="8"/>
    <x v="0"/>
    <x v="4"/>
    <n v="18.93"/>
    <s v="Shawarma"/>
  </r>
  <r>
    <x v="0"/>
    <x v="7"/>
    <x v="5"/>
    <x v="0"/>
    <x v="4"/>
    <n v="29.83"/>
    <m/>
  </r>
  <r>
    <x v="0"/>
    <x v="7"/>
    <x v="8"/>
    <x v="0"/>
    <x v="4"/>
    <n v="5.09"/>
    <s v="AC Café"/>
  </r>
  <r>
    <x v="0"/>
    <x v="7"/>
    <x v="58"/>
    <x v="0"/>
    <x v="28"/>
    <n v="7.49"/>
    <m/>
  </r>
  <r>
    <x v="0"/>
    <x v="7"/>
    <x v="4"/>
    <x v="0"/>
    <x v="3"/>
    <n v="8.24"/>
    <s v="McDonald's"/>
  </r>
  <r>
    <x v="0"/>
    <x v="7"/>
    <x v="1"/>
    <x v="0"/>
    <x v="0"/>
    <n v="5.64"/>
    <s v="youtube movies"/>
  </r>
  <r>
    <x v="0"/>
    <x v="7"/>
    <x v="2"/>
    <x v="1"/>
    <x v="1"/>
    <n v="-75.22"/>
    <m/>
  </r>
  <r>
    <x v="0"/>
    <x v="7"/>
    <x v="46"/>
    <x v="1"/>
    <x v="1"/>
    <n v="124.31"/>
    <s v="Salary QCH"/>
  </r>
  <r>
    <x v="0"/>
    <x v="7"/>
    <x v="46"/>
    <x v="2"/>
    <x v="24"/>
    <n v="124.31"/>
    <s v="Salary QCH"/>
  </r>
  <r>
    <x v="0"/>
    <x v="7"/>
    <x v="16"/>
    <x v="0"/>
    <x v="0"/>
    <n v="18.63"/>
    <m/>
  </r>
  <r>
    <x v="0"/>
    <x v="7"/>
    <x v="17"/>
    <x v="0"/>
    <x v="0"/>
    <n v="50.84"/>
    <m/>
  </r>
  <r>
    <x v="0"/>
    <x v="7"/>
    <x v="4"/>
    <x v="0"/>
    <x v="3"/>
    <n v="4.2"/>
    <s v="McDonald's"/>
  </r>
  <r>
    <x v="0"/>
    <x v="7"/>
    <x v="5"/>
    <x v="0"/>
    <x v="4"/>
    <n v="39.770000000000003"/>
    <s v="Metro"/>
  </r>
  <r>
    <x v="0"/>
    <x v="7"/>
    <x v="2"/>
    <x v="1"/>
    <x v="1"/>
    <n v="-113.44"/>
    <m/>
  </r>
  <r>
    <x v="0"/>
    <x v="7"/>
    <x v="98"/>
    <x v="1"/>
    <x v="1"/>
    <n v="750"/>
    <s v="AC Bursary"/>
  </r>
  <r>
    <x v="0"/>
    <x v="7"/>
    <x v="98"/>
    <x v="2"/>
    <x v="26"/>
    <n v="750"/>
    <s v="AC Bursary"/>
  </r>
  <r>
    <x v="0"/>
    <x v="7"/>
    <x v="5"/>
    <x v="0"/>
    <x v="4"/>
    <n v="34.46"/>
    <s v="Metro"/>
  </r>
  <r>
    <x v="0"/>
    <x v="7"/>
    <x v="8"/>
    <x v="0"/>
    <x v="4"/>
    <n v="12.48"/>
    <s v="AC Café"/>
  </r>
  <r>
    <x v="0"/>
    <x v="7"/>
    <x v="5"/>
    <x v="0"/>
    <x v="4"/>
    <n v="5.98"/>
    <s v="Metro"/>
  </r>
  <r>
    <x v="0"/>
    <x v="7"/>
    <x v="19"/>
    <x v="0"/>
    <x v="7"/>
    <n v="13.24"/>
    <m/>
  </r>
  <r>
    <x v="0"/>
    <x v="7"/>
    <x v="5"/>
    <x v="0"/>
    <x v="4"/>
    <n v="15.84"/>
    <s v="Loblaws"/>
  </r>
  <r>
    <x v="0"/>
    <x v="7"/>
    <x v="25"/>
    <x v="0"/>
    <x v="16"/>
    <n v="52.38"/>
    <m/>
  </r>
  <r>
    <x v="0"/>
    <x v="7"/>
    <x v="5"/>
    <x v="0"/>
    <x v="4"/>
    <n v="57.89"/>
    <s v="Metro"/>
  </r>
  <r>
    <x v="0"/>
    <x v="7"/>
    <x v="2"/>
    <x v="1"/>
    <x v="1"/>
    <n v="-192.27"/>
    <m/>
  </r>
  <r>
    <x v="1"/>
    <x v="7"/>
    <x v="21"/>
    <x v="0"/>
    <x v="12"/>
    <n v="0"/>
    <s v="gifts Christmas"/>
  </r>
  <r>
    <x v="1"/>
    <x v="7"/>
    <x v="22"/>
    <x v="0"/>
    <x v="13"/>
    <n v="0"/>
    <m/>
  </r>
  <r>
    <x v="1"/>
    <x v="7"/>
    <x v="23"/>
    <x v="0"/>
    <x v="14"/>
    <n v="0"/>
    <m/>
  </r>
  <r>
    <x v="1"/>
    <x v="7"/>
    <x v="11"/>
    <x v="0"/>
    <x v="14"/>
    <n v="3"/>
    <m/>
  </r>
  <r>
    <x v="1"/>
    <x v="7"/>
    <x v="24"/>
    <x v="0"/>
    <x v="15"/>
    <n v="0"/>
    <m/>
  </r>
  <r>
    <x v="1"/>
    <x v="7"/>
    <x v="5"/>
    <x v="0"/>
    <x v="4"/>
    <n v="400"/>
    <m/>
  </r>
  <r>
    <x v="1"/>
    <x v="7"/>
    <x v="8"/>
    <x v="0"/>
    <x v="4"/>
    <n v="60"/>
    <m/>
  </r>
  <r>
    <x v="1"/>
    <x v="7"/>
    <x v="25"/>
    <x v="0"/>
    <x v="16"/>
    <n v="55"/>
    <m/>
  </r>
  <r>
    <x v="1"/>
    <x v="7"/>
    <x v="26"/>
    <x v="0"/>
    <x v="7"/>
    <n v="0"/>
    <m/>
  </r>
  <r>
    <x v="1"/>
    <x v="7"/>
    <x v="27"/>
    <x v="0"/>
    <x v="7"/>
    <n v="0"/>
    <m/>
  </r>
  <r>
    <x v="1"/>
    <x v="7"/>
    <x v="28"/>
    <x v="0"/>
    <x v="7"/>
    <n v="0"/>
    <m/>
  </r>
  <r>
    <x v="1"/>
    <x v="7"/>
    <x v="19"/>
    <x v="0"/>
    <x v="7"/>
    <n v="0"/>
    <m/>
  </r>
  <r>
    <x v="1"/>
    <x v="7"/>
    <x v="13"/>
    <x v="0"/>
    <x v="7"/>
    <n v="0"/>
    <m/>
  </r>
  <r>
    <x v="1"/>
    <x v="7"/>
    <x v="29"/>
    <x v="0"/>
    <x v="7"/>
    <n v="0"/>
    <m/>
  </r>
  <r>
    <x v="1"/>
    <x v="7"/>
    <x v="30"/>
    <x v="0"/>
    <x v="7"/>
    <n v="0"/>
    <m/>
  </r>
  <r>
    <x v="1"/>
    <x v="7"/>
    <x v="3"/>
    <x v="0"/>
    <x v="2"/>
    <n v="150"/>
    <m/>
  </r>
  <r>
    <x v="1"/>
    <x v="7"/>
    <x v="31"/>
    <x v="0"/>
    <x v="0"/>
    <n v="0"/>
    <m/>
  </r>
  <r>
    <x v="1"/>
    <x v="7"/>
    <x v="12"/>
    <x v="0"/>
    <x v="0"/>
    <n v="11.29"/>
    <m/>
  </r>
  <r>
    <x v="1"/>
    <x v="7"/>
    <x v="32"/>
    <x v="0"/>
    <x v="0"/>
    <n v="0"/>
    <m/>
  </r>
  <r>
    <x v="1"/>
    <x v="7"/>
    <x v="16"/>
    <x v="0"/>
    <x v="0"/>
    <n v="0"/>
    <m/>
  </r>
  <r>
    <x v="1"/>
    <x v="7"/>
    <x v="6"/>
    <x v="0"/>
    <x v="0"/>
    <n v="13.55"/>
    <m/>
  </r>
  <r>
    <x v="1"/>
    <x v="7"/>
    <x v="33"/>
    <x v="0"/>
    <x v="0"/>
    <n v="0"/>
    <m/>
  </r>
  <r>
    <x v="1"/>
    <x v="7"/>
    <x v="34"/>
    <x v="0"/>
    <x v="0"/>
    <n v="0"/>
    <m/>
  </r>
  <r>
    <x v="1"/>
    <x v="7"/>
    <x v="35"/>
    <x v="0"/>
    <x v="0"/>
    <n v="0"/>
    <m/>
  </r>
  <r>
    <x v="1"/>
    <x v="7"/>
    <x v="36"/>
    <x v="0"/>
    <x v="0"/>
    <n v="0"/>
    <m/>
  </r>
  <r>
    <x v="1"/>
    <x v="7"/>
    <x v="0"/>
    <x v="0"/>
    <x v="0"/>
    <n v="8.39"/>
    <m/>
  </r>
  <r>
    <x v="1"/>
    <x v="7"/>
    <x v="38"/>
    <x v="0"/>
    <x v="0"/>
    <n v="0"/>
    <m/>
  </r>
  <r>
    <x v="1"/>
    <x v="7"/>
    <x v="39"/>
    <x v="0"/>
    <x v="17"/>
    <n v="0"/>
    <m/>
  </r>
  <r>
    <x v="1"/>
    <x v="7"/>
    <x v="40"/>
    <x v="0"/>
    <x v="17"/>
    <n v="0"/>
    <m/>
  </r>
  <r>
    <x v="1"/>
    <x v="7"/>
    <x v="41"/>
    <x v="0"/>
    <x v="18"/>
    <n v="0"/>
    <m/>
  </r>
  <r>
    <x v="0"/>
    <x v="8"/>
    <x v="5"/>
    <x v="0"/>
    <x v="4"/>
    <n v="23.19"/>
    <s v="Metro"/>
  </r>
  <r>
    <x v="0"/>
    <x v="8"/>
    <x v="4"/>
    <x v="0"/>
    <x v="3"/>
    <n v="7.77"/>
    <s v="McDonald's"/>
  </r>
  <r>
    <x v="0"/>
    <x v="8"/>
    <x v="2"/>
    <x v="1"/>
    <x v="1"/>
    <n v="-30.96"/>
    <m/>
  </r>
  <r>
    <x v="0"/>
    <x v="8"/>
    <x v="0"/>
    <x v="0"/>
    <x v="0"/>
    <n v="8.39"/>
    <m/>
  </r>
  <r>
    <x v="0"/>
    <x v="8"/>
    <x v="0"/>
    <x v="3"/>
    <x v="8"/>
    <n v="8.39"/>
    <m/>
  </r>
  <r>
    <x v="0"/>
    <x v="8"/>
    <x v="1"/>
    <x v="1"/>
    <x v="1"/>
    <n v="9.5"/>
    <s v="Movie - Boy Kills World"/>
  </r>
  <r>
    <x v="0"/>
    <x v="8"/>
    <x v="1"/>
    <x v="0"/>
    <x v="0"/>
    <n v="-9.5"/>
    <s v="Movie - Boy Kills World"/>
  </r>
  <r>
    <x v="0"/>
    <x v="8"/>
    <x v="3"/>
    <x v="0"/>
    <x v="2"/>
    <n v="500"/>
    <s v="rent May. Date adjusted. Paid April 28"/>
  </r>
  <r>
    <x v="0"/>
    <x v="8"/>
    <x v="3"/>
    <x v="1"/>
    <x v="1"/>
    <n v="-500"/>
    <s v="rent May. Date adjusted. Paid April 28"/>
  </r>
  <r>
    <x v="0"/>
    <x v="8"/>
    <x v="25"/>
    <x v="0"/>
    <x v="16"/>
    <n v="50.85"/>
    <s v="Bill Phone"/>
  </r>
  <r>
    <x v="0"/>
    <x v="8"/>
    <x v="25"/>
    <x v="3"/>
    <x v="8"/>
    <n v="50.85"/>
    <s v="Bill Phone"/>
  </r>
  <r>
    <x v="0"/>
    <x v="8"/>
    <x v="40"/>
    <x v="1"/>
    <x v="25"/>
    <n v="25"/>
    <m/>
  </r>
  <r>
    <x v="0"/>
    <x v="8"/>
    <x v="40"/>
    <x v="3"/>
    <x v="8"/>
    <n v="25"/>
    <s v="Bus tickets"/>
  </r>
  <r>
    <x v="0"/>
    <x v="8"/>
    <x v="18"/>
    <x v="3"/>
    <x v="8"/>
    <n v="-99.48"/>
    <s v="Credit Balance Payment"/>
  </r>
  <r>
    <x v="0"/>
    <x v="8"/>
    <x v="18"/>
    <x v="1"/>
    <x v="1"/>
    <n v="-99.48"/>
    <s v="Credit Balance Payment"/>
  </r>
  <r>
    <x v="0"/>
    <x v="8"/>
    <x v="18"/>
    <x v="3"/>
    <x v="8"/>
    <n v="-14.68"/>
    <s v="sub yt premium"/>
  </r>
  <r>
    <x v="0"/>
    <x v="8"/>
    <x v="18"/>
    <x v="1"/>
    <x v="1"/>
    <n v="-14.68"/>
    <s v="sub yt premium"/>
  </r>
  <r>
    <x v="0"/>
    <x v="8"/>
    <x v="18"/>
    <x v="3"/>
    <x v="8"/>
    <n v="-75.849999999999994"/>
    <s v="Credit Balance Payment"/>
  </r>
  <r>
    <x v="0"/>
    <x v="8"/>
    <x v="18"/>
    <x v="1"/>
    <x v="1"/>
    <n v="-75.849999999999994"/>
    <s v="Credit Balance Payment"/>
  </r>
  <r>
    <x v="0"/>
    <x v="8"/>
    <x v="6"/>
    <x v="0"/>
    <x v="0"/>
    <n v="14.68"/>
    <m/>
  </r>
  <r>
    <x v="0"/>
    <x v="8"/>
    <x v="6"/>
    <x v="3"/>
    <x v="8"/>
    <n v="14.68"/>
    <m/>
  </r>
  <r>
    <x v="0"/>
    <x v="8"/>
    <x v="8"/>
    <x v="0"/>
    <x v="4"/>
    <n v="9.0500000000000007"/>
    <s v="Kettleman's"/>
  </r>
  <r>
    <x v="0"/>
    <x v="8"/>
    <x v="8"/>
    <x v="1"/>
    <x v="9"/>
    <n v="-9.0500000000000007"/>
    <s v="Kettleman's"/>
  </r>
  <r>
    <x v="0"/>
    <x v="8"/>
    <x v="40"/>
    <x v="0"/>
    <x v="17"/>
    <n v="3.8"/>
    <s v="Bus"/>
  </r>
  <r>
    <x v="0"/>
    <x v="8"/>
    <x v="40"/>
    <x v="1"/>
    <x v="25"/>
    <n v="-3.8"/>
    <m/>
  </r>
  <r>
    <x v="0"/>
    <x v="8"/>
    <x v="40"/>
    <x v="0"/>
    <x v="17"/>
    <n v="4.5999999999999996"/>
    <s v="Bus"/>
  </r>
  <r>
    <x v="0"/>
    <x v="8"/>
    <x v="40"/>
    <x v="1"/>
    <x v="25"/>
    <n v="-4.5999999999999996"/>
    <m/>
  </r>
  <r>
    <x v="0"/>
    <x v="8"/>
    <x v="18"/>
    <x v="3"/>
    <x v="8"/>
    <n v="-12.34"/>
    <s v="Credit Balance Payment"/>
  </r>
  <r>
    <x v="0"/>
    <x v="8"/>
    <x v="18"/>
    <x v="1"/>
    <x v="1"/>
    <n v="-12.34"/>
    <s v="Credit Balance Payment"/>
  </r>
  <r>
    <x v="0"/>
    <x v="8"/>
    <x v="50"/>
    <x v="0"/>
    <x v="17"/>
    <n v="13.87"/>
    <s v="Uber"/>
  </r>
  <r>
    <x v="0"/>
    <x v="8"/>
    <x v="50"/>
    <x v="3"/>
    <x v="8"/>
    <n v="13.87"/>
    <s v="Uber"/>
  </r>
  <r>
    <x v="0"/>
    <x v="8"/>
    <x v="5"/>
    <x v="0"/>
    <x v="4"/>
    <n v="29.89"/>
    <s v="Metro"/>
  </r>
  <r>
    <x v="0"/>
    <x v="8"/>
    <x v="5"/>
    <x v="3"/>
    <x v="8"/>
    <n v="29.89"/>
    <s v="Metro"/>
  </r>
  <r>
    <x v="0"/>
    <x v="8"/>
    <x v="8"/>
    <x v="0"/>
    <x v="4"/>
    <n v="17.72"/>
    <s v="Thai Express"/>
  </r>
  <r>
    <x v="0"/>
    <x v="8"/>
    <x v="8"/>
    <x v="3"/>
    <x v="8"/>
    <n v="17.72"/>
    <s v="Thai Express"/>
  </r>
  <r>
    <x v="0"/>
    <x v="8"/>
    <x v="80"/>
    <x v="0"/>
    <x v="14"/>
    <n v="38.81"/>
    <s v="Bookkeeping Guidebook: 4th ed. Bragg"/>
  </r>
  <r>
    <x v="0"/>
    <x v="8"/>
    <x v="80"/>
    <x v="1"/>
    <x v="1"/>
    <n v="-38.81"/>
    <s v="Bookkeeping Guidebook: 4th ed. Bragg"/>
  </r>
  <r>
    <x v="0"/>
    <x v="8"/>
    <x v="74"/>
    <x v="0"/>
    <x v="7"/>
    <n v="31.45"/>
    <s v="Paper Ledger"/>
  </r>
  <r>
    <x v="0"/>
    <x v="8"/>
    <x v="74"/>
    <x v="0"/>
    <x v="7"/>
    <n v="-31.45"/>
    <s v="Paper Ledger"/>
  </r>
  <r>
    <x v="0"/>
    <x v="8"/>
    <x v="1"/>
    <x v="0"/>
    <x v="0"/>
    <n v="15.55"/>
    <m/>
  </r>
  <r>
    <x v="0"/>
    <x v="8"/>
    <x v="15"/>
    <x v="3"/>
    <x v="10"/>
    <n v="15.55"/>
    <s v="Jazz - Movie"/>
  </r>
  <r>
    <x v="0"/>
    <x v="8"/>
    <x v="15"/>
    <x v="3"/>
    <x v="10"/>
    <n v="-15.55"/>
    <s v="Jazz - Movie"/>
  </r>
  <r>
    <x v="0"/>
    <x v="8"/>
    <x v="1"/>
    <x v="1"/>
    <x v="1"/>
    <n v="-15.55"/>
    <s v="E-Transfer Jazz"/>
  </r>
  <r>
    <x v="0"/>
    <x v="8"/>
    <x v="8"/>
    <x v="0"/>
    <x v="4"/>
    <n v="30.16"/>
    <s v="Shawarma"/>
  </r>
  <r>
    <x v="0"/>
    <x v="8"/>
    <x v="8"/>
    <x v="3"/>
    <x v="8"/>
    <n v="30.16"/>
    <s v="Shawarma"/>
  </r>
  <r>
    <x v="0"/>
    <x v="8"/>
    <x v="8"/>
    <x v="1"/>
    <x v="9"/>
    <n v="7"/>
    <s v="Paul splitting meal"/>
  </r>
  <r>
    <x v="0"/>
    <x v="8"/>
    <x v="8"/>
    <x v="2"/>
    <x v="26"/>
    <n v="7"/>
    <s v="act out food - Paul splitting meal"/>
  </r>
  <r>
    <x v="0"/>
    <x v="8"/>
    <x v="8"/>
    <x v="0"/>
    <x v="4"/>
    <n v="13.26"/>
    <s v="McDonald's"/>
  </r>
  <r>
    <x v="0"/>
    <x v="8"/>
    <x v="8"/>
    <x v="3"/>
    <x v="8"/>
    <n v="13.26"/>
    <s v="McDonald's"/>
  </r>
  <r>
    <x v="0"/>
    <x v="8"/>
    <x v="5"/>
    <x v="0"/>
    <x v="4"/>
    <n v="20.99"/>
    <s v="Metro"/>
  </r>
  <r>
    <x v="0"/>
    <x v="8"/>
    <x v="5"/>
    <x v="3"/>
    <x v="8"/>
    <n v="20.99"/>
    <s v="Metro"/>
  </r>
  <r>
    <x v="0"/>
    <x v="8"/>
    <x v="8"/>
    <x v="0"/>
    <x v="4"/>
    <n v="16.260000000000002"/>
    <s v="Pizza Pizza"/>
  </r>
  <r>
    <x v="0"/>
    <x v="8"/>
    <x v="8"/>
    <x v="3"/>
    <x v="8"/>
    <n v="16.260000000000002"/>
    <s v="Pizza Pizza"/>
  </r>
  <r>
    <x v="0"/>
    <x v="8"/>
    <x v="9"/>
    <x v="0"/>
    <x v="5"/>
    <n v="26.96"/>
    <s v="Life Insurance May"/>
  </r>
  <r>
    <x v="0"/>
    <x v="8"/>
    <x v="9"/>
    <x v="1"/>
    <x v="1"/>
    <n v="-26.96"/>
    <s v="Life Insurance May"/>
  </r>
  <r>
    <x v="0"/>
    <x v="8"/>
    <x v="8"/>
    <x v="0"/>
    <x v="4"/>
    <n v="18.510000000000002"/>
    <s v="Thai Express"/>
  </r>
  <r>
    <x v="0"/>
    <x v="8"/>
    <x v="8"/>
    <x v="3"/>
    <x v="8"/>
    <n v="18.510000000000002"/>
    <s v="Thai Express"/>
  </r>
  <r>
    <x v="0"/>
    <x v="8"/>
    <x v="4"/>
    <x v="0"/>
    <x v="3"/>
    <n v="1.98"/>
    <s v="McDonald's"/>
  </r>
  <r>
    <x v="0"/>
    <x v="8"/>
    <x v="4"/>
    <x v="1"/>
    <x v="1"/>
    <n v="-1.98"/>
    <s v="McDonald's"/>
  </r>
  <r>
    <x v="0"/>
    <x v="8"/>
    <x v="5"/>
    <x v="0"/>
    <x v="4"/>
    <n v="41.5"/>
    <s v="Metro"/>
  </r>
  <r>
    <x v="0"/>
    <x v="8"/>
    <x v="5"/>
    <x v="3"/>
    <x v="8"/>
    <n v="41.5"/>
    <s v="Metro"/>
  </r>
  <r>
    <x v="0"/>
    <x v="8"/>
    <x v="8"/>
    <x v="0"/>
    <x v="4"/>
    <n v="11.73"/>
    <s v="Wendy's"/>
  </r>
  <r>
    <x v="0"/>
    <x v="8"/>
    <x v="8"/>
    <x v="3"/>
    <x v="8"/>
    <n v="11.73"/>
    <s v="Wendy's"/>
  </r>
  <r>
    <x v="0"/>
    <x v="8"/>
    <x v="40"/>
    <x v="0"/>
    <x v="17"/>
    <n v="3.8"/>
    <s v="Bus Tickets"/>
  </r>
  <r>
    <x v="0"/>
    <x v="8"/>
    <x v="40"/>
    <x v="1"/>
    <x v="25"/>
    <n v="-3.8"/>
    <s v="Bus Tickets"/>
  </r>
  <r>
    <x v="0"/>
    <x v="8"/>
    <x v="11"/>
    <x v="0"/>
    <x v="14"/>
    <n v="3"/>
    <s v="Wikipedia"/>
  </r>
  <r>
    <x v="0"/>
    <x v="8"/>
    <x v="11"/>
    <x v="3"/>
    <x v="8"/>
    <n v="3"/>
    <s v="Wikipedia"/>
  </r>
  <r>
    <x v="0"/>
    <x v="8"/>
    <x v="8"/>
    <x v="0"/>
    <x v="4"/>
    <n v="9.91"/>
    <s v="Tim Horton"/>
  </r>
  <r>
    <x v="0"/>
    <x v="8"/>
    <x v="8"/>
    <x v="3"/>
    <x v="8"/>
    <n v="9.91"/>
    <s v="Tim Horton"/>
  </r>
  <r>
    <x v="0"/>
    <x v="8"/>
    <x v="8"/>
    <x v="0"/>
    <x v="4"/>
    <n v="8.8000000000000007"/>
    <s v="Tim Horton"/>
  </r>
  <r>
    <x v="0"/>
    <x v="8"/>
    <x v="8"/>
    <x v="3"/>
    <x v="8"/>
    <n v="8.8000000000000007"/>
    <s v="Tim Horton"/>
  </r>
  <r>
    <x v="0"/>
    <x v="8"/>
    <x v="50"/>
    <x v="0"/>
    <x v="17"/>
    <n v="11.68"/>
    <s v="Uber"/>
  </r>
  <r>
    <x v="0"/>
    <x v="8"/>
    <x v="50"/>
    <x v="3"/>
    <x v="8"/>
    <n v="11.68"/>
    <s v="Uber"/>
  </r>
  <r>
    <x v="0"/>
    <x v="8"/>
    <x v="40"/>
    <x v="0"/>
    <x v="17"/>
    <n v="3.8"/>
    <s v="Bus Tickets"/>
  </r>
  <r>
    <x v="0"/>
    <x v="8"/>
    <x v="40"/>
    <x v="1"/>
    <x v="25"/>
    <n v="-3.8"/>
    <s v="Bus Tickets"/>
  </r>
  <r>
    <x v="0"/>
    <x v="8"/>
    <x v="8"/>
    <x v="0"/>
    <x v="4"/>
    <n v="9.0299999999999994"/>
    <s v="Tim Horton"/>
  </r>
  <r>
    <x v="0"/>
    <x v="8"/>
    <x v="8"/>
    <x v="3"/>
    <x v="8"/>
    <n v="9.0299999999999994"/>
    <s v="Takeout Expense"/>
  </r>
  <r>
    <x v="0"/>
    <x v="8"/>
    <x v="50"/>
    <x v="0"/>
    <x v="17"/>
    <n v="11.72"/>
    <s v="Uber"/>
  </r>
  <r>
    <x v="0"/>
    <x v="8"/>
    <x v="50"/>
    <x v="3"/>
    <x v="8"/>
    <n v="11.72"/>
    <s v="Uber"/>
  </r>
  <r>
    <x v="0"/>
    <x v="8"/>
    <x v="18"/>
    <x v="3"/>
    <x v="8"/>
    <n v="-213.74"/>
    <s v="Credit Balance Payment"/>
  </r>
  <r>
    <x v="0"/>
    <x v="8"/>
    <x v="18"/>
    <x v="1"/>
    <x v="1"/>
    <n v="-213.74"/>
    <s v="Credit Balance Payment"/>
  </r>
  <r>
    <x v="0"/>
    <x v="8"/>
    <x v="12"/>
    <x v="0"/>
    <x v="0"/>
    <n v="11.29"/>
    <m/>
  </r>
  <r>
    <x v="0"/>
    <x v="8"/>
    <x v="12"/>
    <x v="3"/>
    <x v="8"/>
    <n v="11.29"/>
    <m/>
  </r>
  <r>
    <x v="0"/>
    <x v="8"/>
    <x v="8"/>
    <x v="0"/>
    <x v="4"/>
    <n v="22.64"/>
    <s v="Subway"/>
  </r>
  <r>
    <x v="0"/>
    <x v="8"/>
    <x v="8"/>
    <x v="3"/>
    <x v="8"/>
    <n v="22.64"/>
    <s v="sub way"/>
  </r>
  <r>
    <x v="0"/>
    <x v="8"/>
    <x v="57"/>
    <x v="0"/>
    <x v="20"/>
    <n v="4.29"/>
    <s v="Garden Hose Part"/>
  </r>
  <r>
    <x v="0"/>
    <x v="8"/>
    <x v="2"/>
    <x v="1"/>
    <x v="1"/>
    <n v="-4.29"/>
    <s v="Garden Hose Part"/>
  </r>
  <r>
    <x v="0"/>
    <x v="8"/>
    <x v="5"/>
    <x v="0"/>
    <x v="4"/>
    <n v="27.99"/>
    <s v="Metro"/>
  </r>
  <r>
    <x v="0"/>
    <x v="8"/>
    <x v="5"/>
    <x v="3"/>
    <x v="8"/>
    <n v="27.99"/>
    <s v="Metro"/>
  </r>
  <r>
    <x v="0"/>
    <x v="8"/>
    <x v="13"/>
    <x v="0"/>
    <x v="7"/>
    <n v="31.72"/>
    <m/>
  </r>
  <r>
    <x v="0"/>
    <x v="8"/>
    <x v="13"/>
    <x v="3"/>
    <x v="8"/>
    <n v="31.72"/>
    <m/>
  </r>
  <r>
    <x v="0"/>
    <x v="8"/>
    <x v="34"/>
    <x v="0"/>
    <x v="0"/>
    <n v="1.37"/>
    <m/>
  </r>
  <r>
    <x v="0"/>
    <x v="8"/>
    <x v="34"/>
    <x v="3"/>
    <x v="8"/>
    <n v="1.37"/>
    <m/>
  </r>
  <r>
    <x v="0"/>
    <x v="8"/>
    <x v="8"/>
    <x v="0"/>
    <x v="4"/>
    <n v="24.3"/>
    <s v="Baan Thai"/>
  </r>
  <r>
    <x v="0"/>
    <x v="8"/>
    <x v="8"/>
    <x v="3"/>
    <x v="8"/>
    <n v="24.3"/>
    <m/>
  </r>
  <r>
    <x v="0"/>
    <x v="8"/>
    <x v="4"/>
    <x v="0"/>
    <x v="3"/>
    <n v="2.5"/>
    <m/>
  </r>
  <r>
    <x v="0"/>
    <x v="8"/>
    <x v="4"/>
    <x v="3"/>
    <x v="8"/>
    <n v="2.5"/>
    <m/>
  </r>
  <r>
    <x v="0"/>
    <x v="8"/>
    <x v="8"/>
    <x v="0"/>
    <x v="4"/>
    <n v="12.52"/>
    <s v="Wendy's"/>
  </r>
  <r>
    <x v="0"/>
    <x v="8"/>
    <x v="8"/>
    <x v="3"/>
    <x v="8"/>
    <n v="12.52"/>
    <m/>
  </r>
  <r>
    <x v="0"/>
    <x v="8"/>
    <x v="54"/>
    <x v="1"/>
    <x v="27"/>
    <n v="20"/>
    <m/>
  </r>
  <r>
    <x v="0"/>
    <x v="8"/>
    <x v="54"/>
    <x v="2"/>
    <x v="26"/>
    <n v="20"/>
    <s v="Amazon gift card"/>
  </r>
  <r>
    <x v="0"/>
    <x v="8"/>
    <x v="5"/>
    <x v="0"/>
    <x v="4"/>
    <n v="29.75"/>
    <s v="Metro"/>
  </r>
  <r>
    <x v="0"/>
    <x v="8"/>
    <x v="5"/>
    <x v="3"/>
    <x v="8"/>
    <n v="29.75"/>
    <s v="Metro"/>
  </r>
  <r>
    <x v="0"/>
    <x v="8"/>
    <x v="82"/>
    <x v="0"/>
    <x v="0"/>
    <n v="30.4"/>
    <s v="Hygiene Toothbrush heads"/>
  </r>
  <r>
    <x v="0"/>
    <x v="8"/>
    <x v="82"/>
    <x v="1"/>
    <x v="27"/>
    <n v="-20"/>
    <s v="Hygiene Toothbrush heads"/>
  </r>
  <r>
    <x v="0"/>
    <x v="8"/>
    <x v="82"/>
    <x v="3"/>
    <x v="8"/>
    <n v="10.4"/>
    <s v="Hygiene Toothbrush heads"/>
  </r>
  <r>
    <x v="0"/>
    <x v="8"/>
    <x v="40"/>
    <x v="0"/>
    <x v="17"/>
    <n v="3.8"/>
    <s v="bus tickets"/>
  </r>
  <r>
    <x v="0"/>
    <x v="8"/>
    <x v="40"/>
    <x v="1"/>
    <x v="25"/>
    <n v="-3.8"/>
    <s v="Bus Tickets"/>
  </r>
  <r>
    <x v="0"/>
    <x v="8"/>
    <x v="8"/>
    <x v="0"/>
    <x v="4"/>
    <n v="9.91"/>
    <s v="Tim Horton"/>
  </r>
  <r>
    <x v="0"/>
    <x v="8"/>
    <x v="8"/>
    <x v="3"/>
    <x v="8"/>
    <n v="9.91"/>
    <s v="Tim Horton"/>
  </r>
  <r>
    <x v="0"/>
    <x v="8"/>
    <x v="8"/>
    <x v="0"/>
    <x v="4"/>
    <n v="5.74"/>
    <s v="QCH Café"/>
  </r>
  <r>
    <x v="0"/>
    <x v="8"/>
    <x v="8"/>
    <x v="3"/>
    <x v="8"/>
    <n v="5.74"/>
    <s v="QCH Café"/>
  </r>
  <r>
    <x v="0"/>
    <x v="8"/>
    <x v="74"/>
    <x v="0"/>
    <x v="7"/>
    <n v="32.700000000000003"/>
    <s v="file folders"/>
  </r>
  <r>
    <x v="0"/>
    <x v="8"/>
    <x v="74"/>
    <x v="3"/>
    <x v="8"/>
    <n v="32.700000000000003"/>
    <s v="file folders"/>
  </r>
  <r>
    <x v="0"/>
    <x v="8"/>
    <x v="34"/>
    <x v="0"/>
    <x v="0"/>
    <n v="7.65"/>
    <m/>
  </r>
  <r>
    <x v="0"/>
    <x v="8"/>
    <x v="34"/>
    <x v="3"/>
    <x v="8"/>
    <n v="7.65"/>
    <m/>
  </r>
  <r>
    <x v="0"/>
    <x v="8"/>
    <x v="50"/>
    <x v="0"/>
    <x v="17"/>
    <n v="11.63"/>
    <s v="Uber"/>
  </r>
  <r>
    <x v="0"/>
    <x v="8"/>
    <x v="50"/>
    <x v="3"/>
    <x v="8"/>
    <n v="11.63"/>
    <s v="Uber"/>
  </r>
  <r>
    <x v="0"/>
    <x v="8"/>
    <x v="46"/>
    <x v="1"/>
    <x v="1"/>
    <n v="1054.29"/>
    <s v="QCH Salary"/>
  </r>
  <r>
    <x v="0"/>
    <x v="8"/>
    <x v="46"/>
    <x v="2"/>
    <x v="24"/>
    <n v="1054.29"/>
    <s v="QCH Salary"/>
  </r>
  <r>
    <x v="0"/>
    <x v="8"/>
    <x v="8"/>
    <x v="0"/>
    <x v="4"/>
    <n v="20.32"/>
    <s v="Tim Horton"/>
  </r>
  <r>
    <x v="0"/>
    <x v="8"/>
    <x v="8"/>
    <x v="3"/>
    <x v="8"/>
    <n v="20.32"/>
    <s v="Tim Horton"/>
  </r>
  <r>
    <x v="0"/>
    <x v="8"/>
    <x v="5"/>
    <x v="0"/>
    <x v="4"/>
    <n v="29.75"/>
    <s v="Metro"/>
  </r>
  <r>
    <x v="0"/>
    <x v="8"/>
    <x v="5"/>
    <x v="3"/>
    <x v="8"/>
    <n v="29.75"/>
    <s v="Metro"/>
  </r>
  <r>
    <x v="0"/>
    <x v="8"/>
    <x v="1"/>
    <x v="0"/>
    <x v="0"/>
    <n v="5.64"/>
    <s v="Movie"/>
  </r>
  <r>
    <x v="0"/>
    <x v="8"/>
    <x v="1"/>
    <x v="3"/>
    <x v="8"/>
    <n v="5.64"/>
    <s v="Movie"/>
  </r>
  <r>
    <x v="0"/>
    <x v="8"/>
    <x v="1"/>
    <x v="0"/>
    <x v="0"/>
    <n v="11.28"/>
    <s v="Movie"/>
  </r>
  <r>
    <x v="0"/>
    <x v="8"/>
    <x v="1"/>
    <x v="3"/>
    <x v="8"/>
    <n v="11.28"/>
    <m/>
  </r>
  <r>
    <x v="0"/>
    <x v="8"/>
    <x v="1"/>
    <x v="3"/>
    <x v="8"/>
    <n v="-16.920000000000002"/>
    <m/>
  </r>
  <r>
    <x v="0"/>
    <x v="8"/>
    <x v="1"/>
    <x v="1"/>
    <x v="1"/>
    <n v="-16.920000000000002"/>
    <m/>
  </r>
  <r>
    <x v="0"/>
    <x v="8"/>
    <x v="8"/>
    <x v="0"/>
    <x v="4"/>
    <n v="9.92"/>
    <s v="Tim Horton"/>
  </r>
  <r>
    <x v="0"/>
    <x v="8"/>
    <x v="8"/>
    <x v="3"/>
    <x v="8"/>
    <n v="9.92"/>
    <s v="Tim Horton"/>
  </r>
  <r>
    <x v="0"/>
    <x v="8"/>
    <x v="34"/>
    <x v="0"/>
    <x v="0"/>
    <n v="1.37"/>
    <m/>
  </r>
  <r>
    <x v="0"/>
    <x v="8"/>
    <x v="34"/>
    <x v="3"/>
    <x v="8"/>
    <n v="1.37"/>
    <m/>
  </r>
  <r>
    <x v="0"/>
    <x v="8"/>
    <x v="35"/>
    <x v="0"/>
    <x v="0"/>
    <n v="3.38"/>
    <m/>
  </r>
  <r>
    <x v="0"/>
    <x v="8"/>
    <x v="35"/>
    <x v="3"/>
    <x v="8"/>
    <n v="3.38"/>
    <m/>
  </r>
  <r>
    <x v="0"/>
    <x v="8"/>
    <x v="18"/>
    <x v="3"/>
    <x v="8"/>
    <n v="-31.59"/>
    <s v="Credit Balance Payment"/>
  </r>
  <r>
    <x v="0"/>
    <x v="8"/>
    <x v="18"/>
    <x v="1"/>
    <x v="1"/>
    <n v="-31.59"/>
    <s v="Credit Balance Payment"/>
  </r>
  <r>
    <x v="0"/>
    <x v="8"/>
    <x v="8"/>
    <x v="0"/>
    <x v="4"/>
    <n v="16.93"/>
    <s v="Subway"/>
  </r>
  <r>
    <x v="0"/>
    <x v="8"/>
    <x v="8"/>
    <x v="3"/>
    <x v="8"/>
    <n v="16.93"/>
    <s v="Subway"/>
  </r>
  <r>
    <x v="0"/>
    <x v="8"/>
    <x v="17"/>
    <x v="0"/>
    <x v="0"/>
    <n v="56.34"/>
    <s v="Video Games"/>
  </r>
  <r>
    <x v="0"/>
    <x v="8"/>
    <x v="17"/>
    <x v="3"/>
    <x v="8"/>
    <n v="56.34"/>
    <s v="Video Games"/>
  </r>
  <r>
    <x v="0"/>
    <x v="8"/>
    <x v="7"/>
    <x v="0"/>
    <x v="3"/>
    <n v="160"/>
    <s v="escort date - online"/>
  </r>
  <r>
    <x v="0"/>
    <x v="8"/>
    <x v="7"/>
    <x v="1"/>
    <x v="1"/>
    <n v="-160"/>
    <s v="escort date"/>
  </r>
  <r>
    <x v="0"/>
    <x v="8"/>
    <x v="7"/>
    <x v="0"/>
    <x v="3"/>
    <n v="5.56"/>
    <s v="OF"/>
  </r>
  <r>
    <x v="0"/>
    <x v="8"/>
    <x v="7"/>
    <x v="1"/>
    <x v="1"/>
    <n v="-5.56"/>
    <s v="OF"/>
  </r>
  <r>
    <x v="0"/>
    <x v="8"/>
    <x v="5"/>
    <x v="0"/>
    <x v="4"/>
    <n v="54.54"/>
    <s v="Metro"/>
  </r>
  <r>
    <x v="0"/>
    <x v="8"/>
    <x v="5"/>
    <x v="3"/>
    <x v="8"/>
    <n v="54.54"/>
    <s v="Metro"/>
  </r>
  <r>
    <x v="0"/>
    <x v="8"/>
    <x v="16"/>
    <x v="0"/>
    <x v="0"/>
    <n v="18.63"/>
    <m/>
  </r>
  <r>
    <x v="0"/>
    <x v="8"/>
    <x v="16"/>
    <x v="3"/>
    <x v="8"/>
    <n v="18.63"/>
    <m/>
  </r>
  <r>
    <x v="0"/>
    <x v="8"/>
    <x v="8"/>
    <x v="0"/>
    <x v="4"/>
    <n v="12.52"/>
    <s v="Wendy's"/>
  </r>
  <r>
    <x v="0"/>
    <x v="8"/>
    <x v="8"/>
    <x v="3"/>
    <x v="8"/>
    <n v="12.52"/>
    <s v="Wendy's"/>
  </r>
  <r>
    <x v="0"/>
    <x v="8"/>
    <x v="8"/>
    <x v="0"/>
    <x v="4"/>
    <n v="17.72"/>
    <s v="Thai Express"/>
  </r>
  <r>
    <x v="0"/>
    <x v="8"/>
    <x v="8"/>
    <x v="3"/>
    <x v="8"/>
    <n v="17.72"/>
    <s v="Thai Express"/>
  </r>
  <r>
    <x v="0"/>
    <x v="8"/>
    <x v="4"/>
    <x v="0"/>
    <x v="3"/>
    <n v="10.19"/>
    <s v="Food"/>
  </r>
  <r>
    <x v="0"/>
    <x v="8"/>
    <x v="4"/>
    <x v="3"/>
    <x v="8"/>
    <n v="10.19"/>
    <s v="Food"/>
  </r>
  <r>
    <x v="0"/>
    <x v="8"/>
    <x v="25"/>
    <x v="0"/>
    <x v="16"/>
    <n v="50.85"/>
    <s v="Bill Phone"/>
  </r>
  <r>
    <x v="0"/>
    <x v="8"/>
    <x v="25"/>
    <x v="1"/>
    <x v="1"/>
    <n v="-50.85"/>
    <s v="Bill Phone"/>
  </r>
  <r>
    <x v="0"/>
    <x v="8"/>
    <x v="39"/>
    <x v="0"/>
    <x v="17"/>
    <n v="65"/>
    <s v="car insurance"/>
  </r>
  <r>
    <x v="0"/>
    <x v="8"/>
    <x v="39"/>
    <x v="1"/>
    <x v="1"/>
    <n v="-65"/>
    <s v="car insurance"/>
  </r>
  <r>
    <x v="0"/>
    <x v="8"/>
    <x v="18"/>
    <x v="3"/>
    <x v="8"/>
    <n v="-227.82"/>
    <s v="Credit Balance Payment"/>
  </r>
  <r>
    <x v="0"/>
    <x v="8"/>
    <x v="18"/>
    <x v="1"/>
    <x v="1"/>
    <n v="-227.82"/>
    <s v="Credit Balance Payment"/>
  </r>
  <r>
    <x v="0"/>
    <x v="8"/>
    <x v="5"/>
    <x v="0"/>
    <x v="4"/>
    <m/>
    <s v="Metro"/>
  </r>
  <r>
    <x v="0"/>
    <x v="8"/>
    <x v="5"/>
    <x v="3"/>
    <x v="8"/>
    <m/>
    <s v="Metro"/>
  </r>
  <r>
    <x v="0"/>
    <x v="8"/>
    <x v="5"/>
    <x v="0"/>
    <x v="4"/>
    <n v="40.130000000000003"/>
    <s v="Metro"/>
  </r>
  <r>
    <x v="0"/>
    <x v="8"/>
    <x v="5"/>
    <x v="3"/>
    <x v="8"/>
    <n v="40.130000000000003"/>
    <s v="Metro"/>
  </r>
  <r>
    <x v="0"/>
    <x v="8"/>
    <x v="5"/>
    <x v="0"/>
    <x v="4"/>
    <n v="8.11"/>
    <s v="Loblaws"/>
  </r>
  <r>
    <x v="0"/>
    <x v="8"/>
    <x v="5"/>
    <x v="3"/>
    <x v="8"/>
    <n v="8.11"/>
    <s v="Loblaws"/>
  </r>
  <r>
    <x v="0"/>
    <x v="8"/>
    <x v="19"/>
    <x v="0"/>
    <x v="7"/>
    <n v="14.31"/>
    <m/>
  </r>
  <r>
    <x v="0"/>
    <x v="8"/>
    <x v="19"/>
    <x v="3"/>
    <x v="8"/>
    <n v="14.31"/>
    <m/>
  </r>
  <r>
    <x v="0"/>
    <x v="8"/>
    <x v="99"/>
    <x v="0"/>
    <x v="0"/>
    <n v="7.9"/>
    <m/>
  </r>
  <r>
    <x v="0"/>
    <x v="8"/>
    <x v="99"/>
    <x v="3"/>
    <x v="8"/>
    <n v="7.9"/>
    <m/>
  </r>
  <r>
    <x v="0"/>
    <x v="8"/>
    <x v="8"/>
    <x v="0"/>
    <x v="4"/>
    <n v="2.42"/>
    <s v="QCH Café"/>
  </r>
  <r>
    <x v="0"/>
    <x v="8"/>
    <x v="8"/>
    <x v="3"/>
    <x v="8"/>
    <n v="2.42"/>
    <s v="QCH Café"/>
  </r>
  <r>
    <x v="0"/>
    <x v="8"/>
    <x v="50"/>
    <x v="0"/>
    <x v="17"/>
    <n v="3"/>
    <s v="Uber"/>
  </r>
  <r>
    <x v="0"/>
    <x v="8"/>
    <x v="50"/>
    <x v="3"/>
    <x v="8"/>
    <n v="3"/>
    <s v="Uber"/>
  </r>
  <r>
    <x v="0"/>
    <x v="8"/>
    <x v="5"/>
    <x v="0"/>
    <x v="4"/>
    <n v="17.489999999999998"/>
    <s v="metro"/>
  </r>
  <r>
    <x v="0"/>
    <x v="8"/>
    <x v="5"/>
    <x v="3"/>
    <x v="8"/>
    <n v="17.489999999999998"/>
    <s v="Metro"/>
  </r>
  <r>
    <x v="0"/>
    <x v="8"/>
    <x v="7"/>
    <x v="0"/>
    <x v="3"/>
    <n v="500"/>
    <s v="escort date - Champagne"/>
  </r>
  <r>
    <x v="0"/>
    <x v="8"/>
    <x v="7"/>
    <x v="1"/>
    <x v="1"/>
    <n v="-500"/>
    <s v="escort date"/>
  </r>
  <r>
    <x v="0"/>
    <x v="8"/>
    <x v="7"/>
    <x v="0"/>
    <x v="3"/>
    <n v="5.93"/>
    <s v="OF"/>
  </r>
  <r>
    <x v="0"/>
    <x v="8"/>
    <x v="7"/>
    <x v="3"/>
    <x v="8"/>
    <n v="5.93"/>
    <s v="OF"/>
  </r>
  <r>
    <x v="0"/>
    <x v="8"/>
    <x v="7"/>
    <x v="0"/>
    <x v="3"/>
    <n v="33.89"/>
    <s v="sex toys"/>
  </r>
  <r>
    <x v="0"/>
    <x v="8"/>
    <x v="7"/>
    <x v="3"/>
    <x v="8"/>
    <n v="33.89"/>
    <s v="sex toys"/>
  </r>
  <r>
    <x v="0"/>
    <x v="8"/>
    <x v="7"/>
    <x v="0"/>
    <x v="3"/>
    <n v="41.19"/>
    <s v="gifts for escort"/>
  </r>
  <r>
    <x v="0"/>
    <x v="8"/>
    <x v="7"/>
    <x v="3"/>
    <x v="8"/>
    <n v="41.19"/>
    <s v="gifts for escort"/>
  </r>
  <r>
    <x v="0"/>
    <x v="8"/>
    <x v="90"/>
    <x v="0"/>
    <x v="17"/>
    <n v="65.260000000000005"/>
    <s v="car gas"/>
  </r>
  <r>
    <x v="0"/>
    <x v="8"/>
    <x v="90"/>
    <x v="3"/>
    <x v="8"/>
    <n v="65.260000000000005"/>
    <s v="car gas"/>
  </r>
  <r>
    <x v="0"/>
    <x v="8"/>
    <x v="8"/>
    <x v="0"/>
    <x v="4"/>
    <n v="18.16"/>
    <s v="subway"/>
  </r>
  <r>
    <x v="0"/>
    <x v="8"/>
    <x v="8"/>
    <x v="3"/>
    <x v="8"/>
    <n v="18.16"/>
    <s v="subway"/>
  </r>
  <r>
    <x v="0"/>
    <x v="8"/>
    <x v="5"/>
    <x v="0"/>
    <x v="4"/>
    <n v="10.16"/>
    <s v="metro"/>
  </r>
  <r>
    <x v="0"/>
    <x v="8"/>
    <x v="5"/>
    <x v="3"/>
    <x v="8"/>
    <n v="10.16"/>
    <s v="metro"/>
  </r>
  <r>
    <x v="0"/>
    <x v="8"/>
    <x v="1"/>
    <x v="0"/>
    <x v="0"/>
    <n v="15.5"/>
    <s v="Movie"/>
  </r>
  <r>
    <x v="0"/>
    <x v="8"/>
    <x v="1"/>
    <x v="1"/>
    <x v="1"/>
    <n v="-15.5"/>
    <s v="Movie E-transfer Jazz"/>
  </r>
  <r>
    <x v="0"/>
    <x v="8"/>
    <x v="8"/>
    <x v="0"/>
    <x v="4"/>
    <n v="10.16"/>
    <s v="Tim Horton"/>
  </r>
  <r>
    <x v="0"/>
    <x v="8"/>
    <x v="8"/>
    <x v="3"/>
    <x v="8"/>
    <n v="10.16"/>
    <s v="Tim Horton"/>
  </r>
  <r>
    <x v="0"/>
    <x v="8"/>
    <x v="7"/>
    <x v="0"/>
    <x v="3"/>
    <n v="50.06"/>
    <s v="sex toys"/>
  </r>
  <r>
    <x v="0"/>
    <x v="8"/>
    <x v="7"/>
    <x v="3"/>
    <x v="8"/>
    <n v="50.06"/>
    <s v="sex toys"/>
  </r>
  <r>
    <x v="0"/>
    <x v="8"/>
    <x v="7"/>
    <x v="0"/>
    <x v="3"/>
    <n v="22.59"/>
    <s v="sex toys"/>
  </r>
  <r>
    <x v="0"/>
    <x v="8"/>
    <x v="7"/>
    <x v="3"/>
    <x v="8"/>
    <n v="22.59"/>
    <s v="sex toys"/>
  </r>
  <r>
    <x v="0"/>
    <x v="8"/>
    <x v="7"/>
    <x v="0"/>
    <x v="3"/>
    <n v="168.37"/>
    <s v="sex toys"/>
  </r>
  <r>
    <x v="0"/>
    <x v="8"/>
    <x v="7"/>
    <x v="3"/>
    <x v="8"/>
    <n v="168.37"/>
    <s v="sex toys"/>
  </r>
  <r>
    <x v="0"/>
    <x v="8"/>
    <x v="46"/>
    <x v="1"/>
    <x v="1"/>
    <n v="1429.15"/>
    <s v="Salary QCH"/>
  </r>
  <r>
    <x v="0"/>
    <x v="8"/>
    <x v="46"/>
    <x v="2"/>
    <x v="24"/>
    <n v="1429.15"/>
    <s v="Salary QCH"/>
  </r>
  <r>
    <x v="0"/>
    <x v="8"/>
    <x v="8"/>
    <x v="0"/>
    <x v="4"/>
    <n v="14.34"/>
    <s v="subway"/>
  </r>
  <r>
    <x v="0"/>
    <x v="8"/>
    <x v="8"/>
    <x v="3"/>
    <x v="8"/>
    <n v="14.34"/>
    <s v="subway"/>
  </r>
  <r>
    <x v="1"/>
    <x v="8"/>
    <x v="21"/>
    <x v="0"/>
    <x v="12"/>
    <n v="0"/>
    <s v="gifts Christmas"/>
  </r>
  <r>
    <x v="1"/>
    <x v="8"/>
    <x v="22"/>
    <x v="0"/>
    <x v="13"/>
    <n v="0"/>
    <m/>
  </r>
  <r>
    <x v="1"/>
    <x v="8"/>
    <x v="23"/>
    <x v="0"/>
    <x v="14"/>
    <n v="0"/>
    <m/>
  </r>
  <r>
    <x v="1"/>
    <x v="8"/>
    <x v="11"/>
    <x v="0"/>
    <x v="14"/>
    <n v="3"/>
    <m/>
  </r>
  <r>
    <x v="1"/>
    <x v="8"/>
    <x v="24"/>
    <x v="0"/>
    <x v="15"/>
    <n v="0"/>
    <m/>
  </r>
  <r>
    <x v="1"/>
    <x v="8"/>
    <x v="5"/>
    <x v="0"/>
    <x v="4"/>
    <n v="400"/>
    <m/>
  </r>
  <r>
    <x v="1"/>
    <x v="8"/>
    <x v="8"/>
    <x v="0"/>
    <x v="4"/>
    <n v="250"/>
    <m/>
  </r>
  <r>
    <x v="1"/>
    <x v="8"/>
    <x v="25"/>
    <x v="0"/>
    <x v="16"/>
    <n v="55"/>
    <m/>
  </r>
  <r>
    <x v="1"/>
    <x v="8"/>
    <x v="26"/>
    <x v="0"/>
    <x v="7"/>
    <n v="0"/>
    <m/>
  </r>
  <r>
    <x v="1"/>
    <x v="8"/>
    <x v="27"/>
    <x v="0"/>
    <x v="7"/>
    <n v="0"/>
    <m/>
  </r>
  <r>
    <x v="1"/>
    <x v="8"/>
    <x v="28"/>
    <x v="0"/>
    <x v="7"/>
    <n v="0"/>
    <m/>
  </r>
  <r>
    <x v="1"/>
    <x v="8"/>
    <x v="19"/>
    <x v="0"/>
    <x v="7"/>
    <n v="14.31"/>
    <m/>
  </r>
  <r>
    <x v="1"/>
    <x v="8"/>
    <x v="13"/>
    <x v="0"/>
    <x v="7"/>
    <n v="31.92"/>
    <m/>
  </r>
  <r>
    <x v="1"/>
    <x v="8"/>
    <x v="29"/>
    <x v="0"/>
    <x v="7"/>
    <n v="0"/>
    <m/>
  </r>
  <r>
    <x v="1"/>
    <x v="8"/>
    <x v="30"/>
    <x v="0"/>
    <x v="7"/>
    <n v="0"/>
    <m/>
  </r>
  <r>
    <x v="1"/>
    <x v="8"/>
    <x v="3"/>
    <x v="0"/>
    <x v="2"/>
    <n v="250"/>
    <m/>
  </r>
  <r>
    <x v="1"/>
    <x v="8"/>
    <x v="31"/>
    <x v="0"/>
    <x v="0"/>
    <n v="0"/>
    <m/>
  </r>
  <r>
    <x v="1"/>
    <x v="8"/>
    <x v="12"/>
    <x v="0"/>
    <x v="0"/>
    <n v="11.29"/>
    <m/>
  </r>
  <r>
    <x v="1"/>
    <x v="8"/>
    <x v="32"/>
    <x v="0"/>
    <x v="0"/>
    <n v="0"/>
    <m/>
  </r>
  <r>
    <x v="1"/>
    <x v="8"/>
    <x v="16"/>
    <x v="0"/>
    <x v="0"/>
    <n v="18.63"/>
    <m/>
  </r>
  <r>
    <x v="1"/>
    <x v="8"/>
    <x v="6"/>
    <x v="0"/>
    <x v="0"/>
    <n v="13.55"/>
    <m/>
  </r>
  <r>
    <x v="1"/>
    <x v="8"/>
    <x v="33"/>
    <x v="0"/>
    <x v="0"/>
    <n v="0"/>
    <m/>
  </r>
  <r>
    <x v="1"/>
    <x v="8"/>
    <x v="34"/>
    <x v="0"/>
    <x v="0"/>
    <n v="0"/>
    <m/>
  </r>
  <r>
    <x v="1"/>
    <x v="8"/>
    <x v="35"/>
    <x v="0"/>
    <x v="0"/>
    <n v="0"/>
    <m/>
  </r>
  <r>
    <x v="1"/>
    <x v="8"/>
    <x v="36"/>
    <x v="0"/>
    <x v="0"/>
    <n v="0"/>
    <m/>
  </r>
  <r>
    <x v="1"/>
    <x v="8"/>
    <x v="47"/>
    <x v="0"/>
    <x v="0"/>
    <n v="6.77"/>
    <m/>
  </r>
  <r>
    <x v="1"/>
    <x v="8"/>
    <x v="0"/>
    <x v="0"/>
    <x v="0"/>
    <n v="8.39"/>
    <m/>
  </r>
  <r>
    <x v="1"/>
    <x v="8"/>
    <x v="38"/>
    <x v="0"/>
    <x v="0"/>
    <n v="0"/>
    <m/>
  </r>
  <r>
    <x v="1"/>
    <x v="8"/>
    <x v="39"/>
    <x v="0"/>
    <x v="17"/>
    <n v="0"/>
    <m/>
  </r>
  <r>
    <x v="1"/>
    <x v="8"/>
    <x v="40"/>
    <x v="0"/>
    <x v="17"/>
    <n v="0"/>
    <m/>
  </r>
  <r>
    <x v="1"/>
    <x v="8"/>
    <x v="41"/>
    <x v="0"/>
    <x v="18"/>
    <n v="250"/>
    <m/>
  </r>
  <r>
    <x v="1"/>
    <x v="9"/>
    <x v="21"/>
    <x v="0"/>
    <x v="12"/>
    <n v="500"/>
    <s v="gifts Christmas"/>
  </r>
  <r>
    <x v="1"/>
    <x v="9"/>
    <x v="22"/>
    <x v="0"/>
    <x v="13"/>
    <n v="0"/>
    <m/>
  </r>
  <r>
    <x v="1"/>
    <x v="9"/>
    <x v="23"/>
    <x v="0"/>
    <x v="14"/>
    <n v="0"/>
    <m/>
  </r>
  <r>
    <x v="1"/>
    <x v="9"/>
    <x v="11"/>
    <x v="0"/>
    <x v="14"/>
    <n v="3"/>
    <m/>
  </r>
  <r>
    <x v="1"/>
    <x v="9"/>
    <x v="24"/>
    <x v="0"/>
    <x v="15"/>
    <n v="0"/>
    <m/>
  </r>
  <r>
    <x v="1"/>
    <x v="9"/>
    <x v="5"/>
    <x v="0"/>
    <x v="4"/>
    <n v="400"/>
    <m/>
  </r>
  <r>
    <x v="1"/>
    <x v="9"/>
    <x v="8"/>
    <x v="0"/>
    <x v="4"/>
    <n v="50"/>
    <m/>
  </r>
  <r>
    <x v="1"/>
    <x v="9"/>
    <x v="25"/>
    <x v="0"/>
    <x v="16"/>
    <n v="80"/>
    <m/>
  </r>
  <r>
    <x v="1"/>
    <x v="9"/>
    <x v="26"/>
    <x v="0"/>
    <x v="7"/>
    <n v="0"/>
    <m/>
  </r>
  <r>
    <x v="1"/>
    <x v="9"/>
    <x v="27"/>
    <x v="0"/>
    <x v="7"/>
    <n v="0"/>
    <m/>
  </r>
  <r>
    <x v="1"/>
    <x v="9"/>
    <x v="28"/>
    <x v="0"/>
    <x v="7"/>
    <n v="0"/>
    <m/>
  </r>
  <r>
    <x v="1"/>
    <x v="9"/>
    <x v="19"/>
    <x v="0"/>
    <x v="7"/>
    <n v="14.31"/>
    <m/>
  </r>
  <r>
    <x v="1"/>
    <x v="9"/>
    <x v="13"/>
    <x v="0"/>
    <x v="7"/>
    <n v="31.92"/>
    <m/>
  </r>
  <r>
    <x v="1"/>
    <x v="9"/>
    <x v="29"/>
    <x v="0"/>
    <x v="7"/>
    <n v="0"/>
    <m/>
  </r>
  <r>
    <x v="1"/>
    <x v="9"/>
    <x v="30"/>
    <x v="0"/>
    <x v="7"/>
    <n v="0"/>
    <m/>
  </r>
  <r>
    <x v="1"/>
    <x v="9"/>
    <x v="31"/>
    <x v="0"/>
    <x v="0"/>
    <n v="0"/>
    <m/>
  </r>
  <r>
    <x v="1"/>
    <x v="9"/>
    <x v="12"/>
    <x v="0"/>
    <x v="0"/>
    <n v="11.29"/>
    <m/>
  </r>
  <r>
    <x v="1"/>
    <x v="9"/>
    <x v="32"/>
    <x v="0"/>
    <x v="0"/>
    <n v="0"/>
    <m/>
  </r>
  <r>
    <x v="1"/>
    <x v="9"/>
    <x v="16"/>
    <x v="0"/>
    <x v="0"/>
    <n v="0"/>
    <m/>
  </r>
  <r>
    <x v="1"/>
    <x v="9"/>
    <x v="6"/>
    <x v="0"/>
    <x v="0"/>
    <n v="13.55"/>
    <m/>
  </r>
  <r>
    <x v="1"/>
    <x v="9"/>
    <x v="33"/>
    <x v="0"/>
    <x v="0"/>
    <n v="0"/>
    <m/>
  </r>
  <r>
    <x v="1"/>
    <x v="9"/>
    <x v="34"/>
    <x v="0"/>
    <x v="0"/>
    <n v="7.65"/>
    <m/>
  </r>
  <r>
    <x v="1"/>
    <x v="9"/>
    <x v="35"/>
    <x v="0"/>
    <x v="0"/>
    <n v="3.38"/>
    <m/>
  </r>
  <r>
    <x v="1"/>
    <x v="9"/>
    <x v="36"/>
    <x v="0"/>
    <x v="0"/>
    <n v="0"/>
    <m/>
  </r>
  <r>
    <x v="1"/>
    <x v="9"/>
    <x v="47"/>
    <x v="0"/>
    <x v="0"/>
    <n v="6.77"/>
    <m/>
  </r>
  <r>
    <x v="1"/>
    <x v="9"/>
    <x v="0"/>
    <x v="0"/>
    <x v="0"/>
    <n v="8.39"/>
    <m/>
  </r>
  <r>
    <x v="1"/>
    <x v="9"/>
    <x v="38"/>
    <x v="0"/>
    <x v="0"/>
    <n v="0"/>
    <m/>
  </r>
  <r>
    <x v="1"/>
    <x v="9"/>
    <x v="39"/>
    <x v="0"/>
    <x v="17"/>
    <n v="65"/>
    <m/>
  </r>
  <r>
    <x v="1"/>
    <x v="9"/>
    <x v="40"/>
    <x v="0"/>
    <x v="17"/>
    <n v="0"/>
    <m/>
  </r>
  <r>
    <x v="3"/>
    <x v="9"/>
    <x v="21"/>
    <x v="0"/>
    <x v="12"/>
    <n v="50"/>
    <s v="Paul Birthday"/>
  </r>
  <r>
    <x v="2"/>
    <x v="10"/>
    <x v="46"/>
    <x v="2"/>
    <x v="24"/>
    <n v="350"/>
    <m/>
  </r>
  <r>
    <x v="1"/>
    <x v="10"/>
    <x v="21"/>
    <x v="0"/>
    <x v="12"/>
    <n v="0"/>
    <s v="gifts Christmas"/>
  </r>
  <r>
    <x v="1"/>
    <x v="10"/>
    <x v="22"/>
    <x v="0"/>
    <x v="13"/>
    <n v="0"/>
    <m/>
  </r>
  <r>
    <x v="1"/>
    <x v="10"/>
    <x v="23"/>
    <x v="0"/>
    <x v="14"/>
    <n v="0"/>
    <m/>
  </r>
  <r>
    <x v="1"/>
    <x v="10"/>
    <x v="11"/>
    <x v="0"/>
    <x v="14"/>
    <n v="3"/>
    <m/>
  </r>
  <r>
    <x v="1"/>
    <x v="10"/>
    <x v="24"/>
    <x v="0"/>
    <x v="15"/>
    <n v="60"/>
    <m/>
  </r>
  <r>
    <x v="1"/>
    <x v="10"/>
    <x v="5"/>
    <x v="0"/>
    <x v="4"/>
    <n v="400"/>
    <m/>
  </r>
  <r>
    <x v="1"/>
    <x v="10"/>
    <x v="8"/>
    <x v="0"/>
    <x v="4"/>
    <n v="75"/>
    <m/>
  </r>
  <r>
    <x v="1"/>
    <x v="10"/>
    <x v="25"/>
    <x v="0"/>
    <x v="16"/>
    <n v="80"/>
    <m/>
  </r>
  <r>
    <x v="1"/>
    <x v="10"/>
    <x v="26"/>
    <x v="0"/>
    <x v="7"/>
    <n v="0"/>
    <m/>
  </r>
  <r>
    <x v="1"/>
    <x v="10"/>
    <x v="27"/>
    <x v="0"/>
    <x v="7"/>
    <n v="0"/>
    <m/>
  </r>
  <r>
    <x v="1"/>
    <x v="10"/>
    <x v="28"/>
    <x v="0"/>
    <x v="7"/>
    <n v="27.59"/>
    <m/>
  </r>
  <r>
    <x v="1"/>
    <x v="10"/>
    <x v="19"/>
    <x v="0"/>
    <x v="7"/>
    <n v="14.31"/>
    <m/>
  </r>
  <r>
    <x v="1"/>
    <x v="10"/>
    <x v="13"/>
    <x v="0"/>
    <x v="7"/>
    <n v="31.92"/>
    <m/>
  </r>
  <r>
    <x v="1"/>
    <x v="10"/>
    <x v="29"/>
    <x v="0"/>
    <x v="7"/>
    <n v="41.4"/>
    <m/>
  </r>
  <r>
    <x v="1"/>
    <x v="10"/>
    <x v="30"/>
    <x v="0"/>
    <x v="7"/>
    <n v="31.68"/>
    <m/>
  </r>
  <r>
    <x v="1"/>
    <x v="10"/>
    <x v="31"/>
    <x v="0"/>
    <x v="0"/>
    <n v="0"/>
    <m/>
  </r>
  <r>
    <x v="1"/>
    <x v="10"/>
    <x v="12"/>
    <x v="0"/>
    <x v="0"/>
    <n v="11.29"/>
    <m/>
  </r>
  <r>
    <x v="1"/>
    <x v="10"/>
    <x v="32"/>
    <x v="0"/>
    <x v="0"/>
    <n v="0"/>
    <m/>
  </r>
  <r>
    <x v="1"/>
    <x v="10"/>
    <x v="16"/>
    <x v="0"/>
    <x v="0"/>
    <n v="0"/>
    <m/>
  </r>
  <r>
    <x v="1"/>
    <x v="10"/>
    <x v="6"/>
    <x v="0"/>
    <x v="0"/>
    <n v="13.55"/>
    <m/>
  </r>
  <r>
    <x v="1"/>
    <x v="10"/>
    <x v="33"/>
    <x v="0"/>
    <x v="0"/>
    <n v="0"/>
    <m/>
  </r>
  <r>
    <x v="1"/>
    <x v="10"/>
    <x v="34"/>
    <x v="0"/>
    <x v="0"/>
    <n v="7.65"/>
    <m/>
  </r>
  <r>
    <x v="1"/>
    <x v="10"/>
    <x v="35"/>
    <x v="0"/>
    <x v="0"/>
    <n v="3.38"/>
    <m/>
  </r>
  <r>
    <x v="1"/>
    <x v="10"/>
    <x v="36"/>
    <x v="0"/>
    <x v="0"/>
    <n v="0"/>
    <m/>
  </r>
  <r>
    <x v="1"/>
    <x v="10"/>
    <x v="47"/>
    <x v="0"/>
    <x v="0"/>
    <n v="6.77"/>
    <m/>
  </r>
  <r>
    <x v="1"/>
    <x v="10"/>
    <x v="0"/>
    <x v="0"/>
    <x v="0"/>
    <n v="8.39"/>
    <m/>
  </r>
  <r>
    <x v="1"/>
    <x v="10"/>
    <x v="38"/>
    <x v="0"/>
    <x v="0"/>
    <n v="0"/>
    <m/>
  </r>
  <r>
    <x v="1"/>
    <x v="10"/>
    <x v="39"/>
    <x v="0"/>
    <x v="17"/>
    <n v="65"/>
    <m/>
  </r>
  <r>
    <x v="1"/>
    <x v="10"/>
    <x v="40"/>
    <x v="0"/>
    <x v="17"/>
    <n v="0"/>
    <m/>
  </r>
  <r>
    <x v="1"/>
    <x v="10"/>
    <x v="100"/>
    <x v="0"/>
    <x v="0"/>
    <n v="13.55"/>
    <m/>
  </r>
  <r>
    <x v="3"/>
    <x v="10"/>
    <x v="101"/>
    <x v="0"/>
    <x v="15"/>
    <n v="750"/>
    <m/>
  </r>
  <r>
    <x v="3"/>
    <x v="10"/>
    <x v="68"/>
    <x v="0"/>
    <x v="15"/>
    <n v="150"/>
    <m/>
  </r>
  <r>
    <x v="0"/>
    <x v="11"/>
    <x v="0"/>
    <x v="0"/>
    <x v="0"/>
    <n v="8.39"/>
    <m/>
  </r>
  <r>
    <x v="0"/>
    <x v="11"/>
    <x v="0"/>
    <x v="3"/>
    <x v="8"/>
    <n v="8.39"/>
    <m/>
  </r>
  <r>
    <x v="0"/>
    <x v="11"/>
    <x v="56"/>
    <x v="0"/>
    <x v="14"/>
    <n v="26.43"/>
    <s v="dividers"/>
  </r>
  <r>
    <x v="0"/>
    <x v="11"/>
    <x v="56"/>
    <x v="3"/>
    <x v="8"/>
    <n v="26.43"/>
    <s v="dividers"/>
  </r>
  <r>
    <x v="0"/>
    <x v="11"/>
    <x v="74"/>
    <x v="0"/>
    <x v="7"/>
    <n v="20.329999999999998"/>
    <s v="bookend"/>
  </r>
  <r>
    <x v="0"/>
    <x v="11"/>
    <x v="74"/>
    <x v="3"/>
    <x v="8"/>
    <n v="20.329999999999998"/>
    <s v="bookend"/>
  </r>
  <r>
    <x v="0"/>
    <x v="11"/>
    <x v="4"/>
    <x v="0"/>
    <x v="3"/>
    <n v="17.78"/>
    <s v="Metro"/>
  </r>
  <r>
    <x v="0"/>
    <x v="11"/>
    <x v="4"/>
    <x v="1"/>
    <x v="9"/>
    <n v="-17.78"/>
    <s v="MEtro"/>
  </r>
  <r>
    <x v="0"/>
    <x v="11"/>
    <x v="8"/>
    <x v="0"/>
    <x v="4"/>
    <n v="18.5"/>
    <s v="Thai Express"/>
  </r>
  <r>
    <x v="0"/>
    <x v="11"/>
    <x v="8"/>
    <x v="1"/>
    <x v="9"/>
    <n v="-18.5"/>
    <s v="Thai Express"/>
  </r>
  <r>
    <x v="0"/>
    <x v="11"/>
    <x v="6"/>
    <x v="0"/>
    <x v="0"/>
    <n v="14.68"/>
    <m/>
  </r>
  <r>
    <x v="0"/>
    <x v="11"/>
    <x v="6"/>
    <x v="3"/>
    <x v="8"/>
    <n v="14.68"/>
    <m/>
  </r>
  <r>
    <x v="0"/>
    <x v="11"/>
    <x v="86"/>
    <x v="0"/>
    <x v="7"/>
    <n v="61.92"/>
    <s v="storage M.2 Drive Crucial 500GB"/>
  </r>
  <r>
    <x v="0"/>
    <x v="11"/>
    <x v="86"/>
    <x v="3"/>
    <x v="8"/>
    <n v="61.92"/>
    <s v="storage M.2 Drive Crucial 500GB"/>
  </r>
  <r>
    <x v="0"/>
    <x v="11"/>
    <x v="86"/>
    <x v="0"/>
    <x v="7"/>
    <n v="46.32"/>
    <s v="usb flash drives 10 pack"/>
  </r>
  <r>
    <x v="0"/>
    <x v="11"/>
    <x v="86"/>
    <x v="3"/>
    <x v="8"/>
    <n v="46.32"/>
    <s v="usb flash drives 10 pack"/>
  </r>
  <r>
    <x v="0"/>
    <x v="11"/>
    <x v="18"/>
    <x v="3"/>
    <x v="8"/>
    <n v="-178.07"/>
    <m/>
  </r>
  <r>
    <x v="0"/>
    <x v="11"/>
    <x v="18"/>
    <x v="1"/>
    <x v="1"/>
    <n v="-178.07"/>
    <m/>
  </r>
  <r>
    <x v="0"/>
    <x v="11"/>
    <x v="8"/>
    <x v="0"/>
    <x v="4"/>
    <n v="8.65"/>
    <s v="Subway"/>
  </r>
  <r>
    <x v="0"/>
    <x v="11"/>
    <x v="8"/>
    <x v="1"/>
    <x v="9"/>
    <n v="-8.65"/>
    <s v="Subway"/>
  </r>
  <r>
    <x v="0"/>
    <x v="11"/>
    <x v="4"/>
    <x v="0"/>
    <x v="3"/>
    <n v="6.49"/>
    <s v="Metro"/>
  </r>
  <r>
    <x v="0"/>
    <x v="11"/>
    <x v="4"/>
    <x v="1"/>
    <x v="1"/>
    <n v="-6.49"/>
    <s v="Metro"/>
  </r>
  <r>
    <x v="0"/>
    <x v="11"/>
    <x v="5"/>
    <x v="0"/>
    <x v="4"/>
    <n v="7"/>
    <s v="Metro"/>
  </r>
  <r>
    <x v="0"/>
    <x v="11"/>
    <x v="4"/>
    <x v="0"/>
    <x v="3"/>
    <n v="20.79"/>
    <s v="Metro"/>
  </r>
  <r>
    <x v="0"/>
    <x v="11"/>
    <x v="20"/>
    <x v="1"/>
    <x v="1"/>
    <n v="-27.79"/>
    <s v="Metro"/>
  </r>
  <r>
    <x v="0"/>
    <x v="11"/>
    <x v="26"/>
    <x v="0"/>
    <x v="7"/>
    <n v="123.17"/>
    <m/>
  </r>
  <r>
    <x v="0"/>
    <x v="11"/>
    <x v="26"/>
    <x v="3"/>
    <x v="8"/>
    <n v="123.17"/>
    <m/>
  </r>
  <r>
    <x v="0"/>
    <x v="11"/>
    <x v="22"/>
    <x v="1"/>
    <x v="1"/>
    <n v="3428"/>
    <s v="For accounting purposes only. Amount is auto deposited to school"/>
  </r>
  <r>
    <x v="0"/>
    <x v="11"/>
    <x v="22"/>
    <x v="3"/>
    <x v="33"/>
    <n v="3428"/>
    <m/>
  </r>
  <r>
    <x v="0"/>
    <x v="11"/>
    <x v="22"/>
    <x v="3"/>
    <x v="13"/>
    <n v="-3428"/>
    <s v="Fall 2024"/>
  </r>
  <r>
    <x v="0"/>
    <x v="11"/>
    <x v="22"/>
    <x v="1"/>
    <x v="1"/>
    <n v="-3428"/>
    <s v="For accounting purposes only. Amount is auto deposited to school"/>
  </r>
  <r>
    <x v="0"/>
    <x v="11"/>
    <x v="102"/>
    <x v="1"/>
    <x v="1"/>
    <n v="895.96"/>
    <s v="For accounting purposes only. Amount is auto deposited to school"/>
  </r>
  <r>
    <x v="0"/>
    <x v="11"/>
    <x v="102"/>
    <x v="2"/>
    <x v="6"/>
    <n v="895.96"/>
    <m/>
  </r>
  <r>
    <x v="0"/>
    <x v="11"/>
    <x v="102"/>
    <x v="3"/>
    <x v="13"/>
    <n v="-895.96"/>
    <s v="For accounting purposes only. Amount is auto deposited to school"/>
  </r>
  <r>
    <x v="0"/>
    <x v="11"/>
    <x v="102"/>
    <x v="1"/>
    <x v="1"/>
    <n v="-895.96"/>
    <s v="For accounting purposes only. Amount is auto deposited to school"/>
  </r>
  <r>
    <x v="0"/>
    <x v="11"/>
    <x v="102"/>
    <x v="1"/>
    <x v="1"/>
    <n v="1402.04"/>
    <s v="part grant (482.04), part loan (920) I think"/>
  </r>
  <r>
    <x v="0"/>
    <x v="11"/>
    <x v="102"/>
    <x v="2"/>
    <x v="6"/>
    <n v="1402.04"/>
    <m/>
  </r>
  <r>
    <x v="0"/>
    <x v="11"/>
    <x v="3"/>
    <x v="0"/>
    <x v="2"/>
    <n v="500"/>
    <s v="Rent September"/>
  </r>
  <r>
    <x v="0"/>
    <x v="11"/>
    <x v="3"/>
    <x v="1"/>
    <x v="1"/>
    <n v="-500"/>
    <s v="Rent September"/>
  </r>
  <r>
    <x v="0"/>
    <x v="11"/>
    <x v="39"/>
    <x v="0"/>
    <x v="17"/>
    <n v="65"/>
    <s v="Car Insurance September"/>
  </r>
  <r>
    <x v="0"/>
    <x v="11"/>
    <x v="39"/>
    <x v="1"/>
    <x v="1"/>
    <n v="-65"/>
    <s v="Car Insurance September"/>
  </r>
  <r>
    <x v="0"/>
    <x v="11"/>
    <x v="46"/>
    <x v="1"/>
    <x v="30"/>
    <n v="2415.67"/>
    <m/>
  </r>
  <r>
    <x v="0"/>
    <x v="11"/>
    <x v="46"/>
    <x v="2"/>
    <x v="24"/>
    <n v="2415.67"/>
    <m/>
  </r>
  <r>
    <x v="0"/>
    <x v="11"/>
    <x v="52"/>
    <x v="1"/>
    <x v="1"/>
    <n v="1000"/>
    <s v="Dad- CPAP machine"/>
  </r>
  <r>
    <x v="0"/>
    <x v="11"/>
    <x v="52"/>
    <x v="1"/>
    <x v="9"/>
    <n v="-1000"/>
    <s v="Dad- CPAP machine"/>
  </r>
  <r>
    <x v="0"/>
    <x v="11"/>
    <x v="46"/>
    <x v="1"/>
    <x v="1"/>
    <n v="2415.67"/>
    <m/>
  </r>
  <r>
    <x v="0"/>
    <x v="11"/>
    <x v="46"/>
    <x v="1"/>
    <x v="30"/>
    <n v="-2415.67"/>
    <m/>
  </r>
  <r>
    <x v="0"/>
    <x v="11"/>
    <x v="103"/>
    <x v="1"/>
    <x v="1"/>
    <n v="277.83"/>
    <s v="unknown revenue"/>
  </r>
  <r>
    <x v="0"/>
    <x v="11"/>
    <x v="103"/>
    <x v="2"/>
    <x v="36"/>
    <n v="277.83"/>
    <s v="unknown revenue"/>
  </r>
  <r>
    <x v="0"/>
    <x v="11"/>
    <x v="8"/>
    <x v="0"/>
    <x v="4"/>
    <n v="17.260000000000002"/>
    <s v="Ac café"/>
  </r>
  <r>
    <x v="0"/>
    <x v="11"/>
    <x v="8"/>
    <x v="1"/>
    <x v="1"/>
    <n v="-17.260000000000002"/>
    <s v="Ac café"/>
  </r>
  <r>
    <x v="0"/>
    <x v="11"/>
    <x v="4"/>
    <x v="0"/>
    <x v="3"/>
    <n v="8.18"/>
    <s v="Metro"/>
  </r>
  <r>
    <x v="0"/>
    <x v="11"/>
    <x v="4"/>
    <x v="1"/>
    <x v="1"/>
    <n v="-8.18"/>
    <s v="Metro"/>
  </r>
  <r>
    <x v="0"/>
    <x v="11"/>
    <x v="18"/>
    <x v="3"/>
    <x v="8"/>
    <n v="-123.17"/>
    <s v="sub office 35"/>
  </r>
  <r>
    <x v="0"/>
    <x v="11"/>
    <x v="18"/>
    <x v="1"/>
    <x v="1"/>
    <n v="-123.17"/>
    <s v="sub office 35"/>
  </r>
  <r>
    <x v="0"/>
    <x v="11"/>
    <x v="8"/>
    <x v="0"/>
    <x v="4"/>
    <n v="10.64"/>
    <m/>
  </r>
  <r>
    <x v="0"/>
    <x v="11"/>
    <x v="8"/>
    <x v="1"/>
    <x v="1"/>
    <n v="-10.64"/>
    <m/>
  </r>
  <r>
    <x v="0"/>
    <x v="11"/>
    <x v="104"/>
    <x v="0"/>
    <x v="4"/>
    <n v="41.25"/>
    <s v="Deep Immune"/>
  </r>
  <r>
    <x v="0"/>
    <x v="11"/>
    <x v="104"/>
    <x v="3"/>
    <x v="8"/>
    <n v="41.25"/>
    <s v="Deep Immune"/>
  </r>
  <r>
    <x v="0"/>
    <x v="11"/>
    <x v="104"/>
    <x v="0"/>
    <x v="4"/>
    <n v="11.98"/>
    <s v="Vitamin C"/>
  </r>
  <r>
    <x v="0"/>
    <x v="11"/>
    <x v="104"/>
    <x v="3"/>
    <x v="8"/>
    <n v="11.98"/>
    <s v="Vitamin C"/>
  </r>
  <r>
    <x v="0"/>
    <x v="11"/>
    <x v="5"/>
    <x v="0"/>
    <x v="4"/>
    <n v="73.62"/>
    <m/>
  </r>
  <r>
    <x v="0"/>
    <x v="11"/>
    <x v="4"/>
    <x v="0"/>
    <x v="3"/>
    <n v="5"/>
    <m/>
  </r>
  <r>
    <x v="0"/>
    <x v="11"/>
    <x v="48"/>
    <x v="1"/>
    <x v="1"/>
    <n v="-78.62"/>
    <m/>
  </r>
  <r>
    <x v="0"/>
    <x v="11"/>
    <x v="5"/>
    <x v="0"/>
    <x v="4"/>
    <n v="40.15"/>
    <m/>
  </r>
  <r>
    <x v="0"/>
    <x v="11"/>
    <x v="5"/>
    <x v="1"/>
    <x v="1"/>
    <n v="-40.15"/>
    <m/>
  </r>
  <r>
    <x v="0"/>
    <x v="11"/>
    <x v="105"/>
    <x v="0"/>
    <x v="0"/>
    <n v="32.53"/>
    <m/>
  </r>
  <r>
    <x v="0"/>
    <x v="11"/>
    <x v="105"/>
    <x v="1"/>
    <x v="1"/>
    <n v="-32.53"/>
    <m/>
  </r>
  <r>
    <x v="0"/>
    <x v="11"/>
    <x v="9"/>
    <x v="0"/>
    <x v="5"/>
    <n v="26.96"/>
    <m/>
  </r>
  <r>
    <x v="0"/>
    <x v="11"/>
    <x v="9"/>
    <x v="1"/>
    <x v="1"/>
    <n v="-26.96"/>
    <m/>
  </r>
  <r>
    <x v="0"/>
    <x v="11"/>
    <x v="18"/>
    <x v="3"/>
    <x v="8"/>
    <n v="-53.23"/>
    <m/>
  </r>
  <r>
    <x v="0"/>
    <x v="11"/>
    <x v="18"/>
    <x v="1"/>
    <x v="1"/>
    <n v="-53.23"/>
    <m/>
  </r>
  <r>
    <x v="0"/>
    <x v="11"/>
    <x v="100"/>
    <x v="0"/>
    <x v="0"/>
    <n v="13.55"/>
    <m/>
  </r>
  <r>
    <x v="0"/>
    <x v="11"/>
    <x v="100"/>
    <x v="3"/>
    <x v="8"/>
    <n v="13.55"/>
    <m/>
  </r>
  <r>
    <x v="0"/>
    <x v="11"/>
    <x v="11"/>
    <x v="0"/>
    <x v="14"/>
    <n v="3"/>
    <m/>
  </r>
  <r>
    <x v="0"/>
    <x v="11"/>
    <x v="0"/>
    <x v="3"/>
    <x v="8"/>
    <n v="3"/>
    <m/>
  </r>
  <r>
    <x v="0"/>
    <x v="11"/>
    <x v="47"/>
    <x v="0"/>
    <x v="0"/>
    <n v="6.77"/>
    <m/>
  </r>
  <r>
    <x v="0"/>
    <x v="11"/>
    <x v="47"/>
    <x v="3"/>
    <x v="8"/>
    <n v="6.77"/>
    <m/>
  </r>
  <r>
    <x v="0"/>
    <x v="11"/>
    <x v="5"/>
    <x v="0"/>
    <x v="4"/>
    <n v="42.29"/>
    <m/>
  </r>
  <r>
    <x v="0"/>
    <x v="11"/>
    <x v="5"/>
    <x v="1"/>
    <x v="1"/>
    <n v="-42.29"/>
    <m/>
  </r>
  <r>
    <x v="0"/>
    <x v="11"/>
    <x v="18"/>
    <x v="3"/>
    <x v="8"/>
    <n v="-23.32"/>
    <m/>
  </r>
  <r>
    <x v="0"/>
    <x v="11"/>
    <x v="18"/>
    <x v="1"/>
    <x v="1"/>
    <n v="-23.32"/>
    <m/>
  </r>
  <r>
    <x v="0"/>
    <x v="11"/>
    <x v="12"/>
    <x v="0"/>
    <x v="14"/>
    <n v="11.29"/>
    <m/>
  </r>
  <r>
    <x v="0"/>
    <x v="11"/>
    <x v="12"/>
    <x v="3"/>
    <x v="8"/>
    <n v="11.29"/>
    <m/>
  </r>
  <r>
    <x v="0"/>
    <x v="11"/>
    <x v="13"/>
    <x v="0"/>
    <x v="14"/>
    <n v="31.52"/>
    <m/>
  </r>
  <r>
    <x v="0"/>
    <x v="11"/>
    <x v="13"/>
    <x v="3"/>
    <x v="8"/>
    <n v="31.52"/>
    <m/>
  </r>
  <r>
    <x v="0"/>
    <x v="11"/>
    <x v="106"/>
    <x v="0"/>
    <x v="7"/>
    <n v="230.38"/>
    <m/>
  </r>
  <r>
    <x v="0"/>
    <x v="11"/>
    <x v="106"/>
    <x v="3"/>
    <x v="8"/>
    <n v="230.38"/>
    <m/>
  </r>
  <r>
    <x v="0"/>
    <x v="11"/>
    <x v="18"/>
    <x v="3"/>
    <x v="8"/>
    <n v="-272.42"/>
    <m/>
  </r>
  <r>
    <x v="0"/>
    <x v="11"/>
    <x v="18"/>
    <x v="1"/>
    <x v="1"/>
    <n v="-272.42"/>
    <m/>
  </r>
  <r>
    <x v="0"/>
    <x v="11"/>
    <x v="3"/>
    <x v="0"/>
    <x v="2"/>
    <n v="2000"/>
    <s v="covers October to January, inclusive"/>
  </r>
  <r>
    <x v="0"/>
    <x v="11"/>
    <x v="3"/>
    <x v="1"/>
    <x v="1"/>
    <n v="-2000"/>
    <m/>
  </r>
  <r>
    <x v="0"/>
    <x v="11"/>
    <x v="5"/>
    <x v="0"/>
    <x v="4"/>
    <n v="34"/>
    <s v="Metro"/>
  </r>
  <r>
    <x v="0"/>
    <x v="11"/>
    <x v="5"/>
    <x v="1"/>
    <x v="1"/>
    <n v="-34"/>
    <s v="Metro"/>
  </r>
  <r>
    <x v="0"/>
    <x v="11"/>
    <x v="34"/>
    <x v="0"/>
    <x v="0"/>
    <n v="7.65"/>
    <m/>
  </r>
  <r>
    <x v="0"/>
    <x v="11"/>
    <x v="34"/>
    <x v="3"/>
    <x v="8"/>
    <n v="7.65"/>
    <m/>
  </r>
  <r>
    <x v="0"/>
    <x v="11"/>
    <x v="8"/>
    <x v="0"/>
    <x v="4"/>
    <n v="10.89"/>
    <s v="Metro"/>
  </r>
  <r>
    <x v="0"/>
    <x v="11"/>
    <x v="8"/>
    <x v="1"/>
    <x v="1"/>
    <n v="-10.89"/>
    <s v="Metro"/>
  </r>
  <r>
    <x v="0"/>
    <x v="11"/>
    <x v="4"/>
    <x v="0"/>
    <x v="3"/>
    <n v="11.89"/>
    <s v="Metro"/>
  </r>
  <r>
    <x v="0"/>
    <x v="11"/>
    <x v="4"/>
    <x v="1"/>
    <x v="1"/>
    <n v="-11.89"/>
    <s v="Metro"/>
  </r>
  <r>
    <x v="0"/>
    <x v="11"/>
    <x v="8"/>
    <x v="0"/>
    <x v="4"/>
    <n v="14.74"/>
    <s v="Pizza Pizza"/>
  </r>
  <r>
    <x v="0"/>
    <x v="11"/>
    <x v="8"/>
    <x v="1"/>
    <x v="1"/>
    <n v="-14.74"/>
    <s v="Pizza Pizza"/>
  </r>
  <r>
    <x v="0"/>
    <x v="11"/>
    <x v="8"/>
    <x v="0"/>
    <x v="4"/>
    <n v="19.78"/>
    <s v="Edo Japan"/>
  </r>
  <r>
    <x v="0"/>
    <x v="11"/>
    <x v="8"/>
    <x v="1"/>
    <x v="1"/>
    <n v="-19.78"/>
    <s v="Edo Japan"/>
  </r>
  <r>
    <x v="0"/>
    <x v="11"/>
    <x v="4"/>
    <x v="0"/>
    <x v="4"/>
    <n v="8.48"/>
    <s v="Metro"/>
  </r>
  <r>
    <x v="0"/>
    <x v="11"/>
    <x v="4"/>
    <x v="1"/>
    <x v="1"/>
    <n v="-8.48"/>
    <s v="Metro"/>
  </r>
  <r>
    <x v="0"/>
    <x v="11"/>
    <x v="35"/>
    <x v="0"/>
    <x v="0"/>
    <n v="3.38"/>
    <m/>
  </r>
  <r>
    <x v="0"/>
    <x v="11"/>
    <x v="35"/>
    <x v="3"/>
    <x v="8"/>
    <n v="3.38"/>
    <m/>
  </r>
  <r>
    <x v="0"/>
    <x v="11"/>
    <x v="18"/>
    <x v="3"/>
    <x v="8"/>
    <n v="-11.8"/>
    <m/>
  </r>
  <r>
    <x v="0"/>
    <x v="11"/>
    <x v="18"/>
    <x v="1"/>
    <x v="1"/>
    <n v="-11.8"/>
    <m/>
  </r>
  <r>
    <x v="0"/>
    <x v="11"/>
    <x v="64"/>
    <x v="0"/>
    <x v="14"/>
    <n v="59.3"/>
    <s v="Linear Regression"/>
  </r>
  <r>
    <x v="0"/>
    <x v="11"/>
    <x v="64"/>
    <x v="3"/>
    <x v="8"/>
    <n v="59.3"/>
    <s v="Linear Regression"/>
  </r>
  <r>
    <x v="0"/>
    <x v="11"/>
    <x v="8"/>
    <x v="0"/>
    <x v="4"/>
    <n v="15.26"/>
    <s v="Edo Japan"/>
  </r>
  <r>
    <x v="0"/>
    <x v="11"/>
    <x v="8"/>
    <x v="1"/>
    <x v="1"/>
    <n v="-15.26"/>
    <s v="Edo Japan"/>
  </r>
  <r>
    <x v="0"/>
    <x v="11"/>
    <x v="86"/>
    <x v="0"/>
    <x v="7"/>
    <n v="67.22"/>
    <s v="mouse"/>
  </r>
  <r>
    <x v="0"/>
    <x v="11"/>
    <x v="86"/>
    <x v="3"/>
    <x v="8"/>
    <n v="67.22"/>
    <s v="mouse"/>
  </r>
  <r>
    <x v="0"/>
    <x v="11"/>
    <x v="4"/>
    <x v="0"/>
    <x v="3"/>
    <n v="5"/>
    <s v="chips"/>
  </r>
  <r>
    <x v="0"/>
    <x v="11"/>
    <x v="105"/>
    <x v="0"/>
    <x v="37"/>
    <n v="84.69"/>
    <s v="mom's meds, chips"/>
  </r>
  <r>
    <x v="0"/>
    <x v="11"/>
    <x v="107"/>
    <x v="1"/>
    <x v="1"/>
    <n v="-89.69"/>
    <s v="mom's meds, chips"/>
  </r>
  <r>
    <x v="0"/>
    <x v="11"/>
    <x v="63"/>
    <x v="1"/>
    <x v="30"/>
    <n v="85"/>
    <s v="medications"/>
  </r>
  <r>
    <x v="0"/>
    <x v="11"/>
    <x v="63"/>
    <x v="2"/>
    <x v="26"/>
    <n v="85"/>
    <s v="medications"/>
  </r>
  <r>
    <x v="0"/>
    <x v="11"/>
    <x v="63"/>
    <x v="1"/>
    <x v="1"/>
    <n v="85"/>
    <s v="money for medications"/>
  </r>
  <r>
    <x v="0"/>
    <x v="11"/>
    <x v="63"/>
    <x v="1"/>
    <x v="30"/>
    <n v="-85"/>
    <s v="money for medications"/>
  </r>
  <r>
    <x v="0"/>
    <x v="11"/>
    <x v="17"/>
    <x v="0"/>
    <x v="0"/>
    <n v="45.19"/>
    <s v="Street Figher 6"/>
  </r>
  <r>
    <x v="0"/>
    <x v="11"/>
    <x v="17"/>
    <x v="3"/>
    <x v="8"/>
    <n v="45.19"/>
    <s v="Street Figher 6"/>
  </r>
  <r>
    <x v="0"/>
    <x v="11"/>
    <x v="18"/>
    <x v="3"/>
    <x v="8"/>
    <n v="-171.71"/>
    <m/>
  </r>
  <r>
    <x v="0"/>
    <x v="11"/>
    <x v="18"/>
    <x v="1"/>
    <x v="1"/>
    <n v="-171.71"/>
    <m/>
  </r>
  <r>
    <x v="0"/>
    <x v="11"/>
    <x v="4"/>
    <x v="0"/>
    <x v="3"/>
    <n v="11.83"/>
    <s v="Wendy's"/>
  </r>
  <r>
    <x v="0"/>
    <x v="11"/>
    <x v="4"/>
    <x v="1"/>
    <x v="1"/>
    <n v="-11.83"/>
    <s v="Wendy's"/>
  </r>
  <r>
    <x v="0"/>
    <x v="11"/>
    <x v="4"/>
    <x v="0"/>
    <x v="3"/>
    <n v="6"/>
    <s v="chips"/>
  </r>
  <r>
    <x v="0"/>
    <x v="11"/>
    <x v="5"/>
    <x v="0"/>
    <x v="4"/>
    <n v="29.45"/>
    <s v="Metro"/>
  </r>
  <r>
    <x v="0"/>
    <x v="11"/>
    <x v="5"/>
    <x v="1"/>
    <x v="1"/>
    <n v="-35.450000000000003"/>
    <s v="MEtro"/>
  </r>
  <r>
    <x v="0"/>
    <x v="11"/>
    <x v="25"/>
    <x v="0"/>
    <x v="16"/>
    <n v="101.7"/>
    <s v="covers 2 months"/>
  </r>
  <r>
    <x v="0"/>
    <x v="11"/>
    <x v="25"/>
    <x v="1"/>
    <x v="1"/>
    <n v="-101.7"/>
    <m/>
  </r>
  <r>
    <x v="0"/>
    <x v="11"/>
    <x v="4"/>
    <x v="0"/>
    <x v="3"/>
    <n v="11.66"/>
    <s v="Metro"/>
  </r>
  <r>
    <x v="0"/>
    <x v="11"/>
    <x v="4"/>
    <x v="1"/>
    <x v="1"/>
    <n v="-11.66"/>
    <s v="Metro"/>
  </r>
  <r>
    <x v="0"/>
    <x v="11"/>
    <x v="108"/>
    <x v="0"/>
    <x v="15"/>
    <n v="1155.3800000000001"/>
    <s v="CPAP"/>
  </r>
  <r>
    <x v="0"/>
    <x v="11"/>
    <x v="108"/>
    <x v="3"/>
    <x v="8"/>
    <n v="1155.3800000000001"/>
    <s v="CPAP"/>
  </r>
  <r>
    <x v="0"/>
    <x v="11"/>
    <x v="108"/>
    <x v="0"/>
    <x v="15"/>
    <n v="2.34"/>
    <s v="distilled water"/>
  </r>
  <r>
    <x v="0"/>
    <x v="11"/>
    <x v="108"/>
    <x v="3"/>
    <x v="8"/>
    <n v="2.34"/>
    <s v="distilled water"/>
  </r>
  <r>
    <x v="0"/>
    <x v="11"/>
    <x v="19"/>
    <x v="0"/>
    <x v="7"/>
    <n v="14.11"/>
    <m/>
  </r>
  <r>
    <x v="0"/>
    <x v="11"/>
    <x v="19"/>
    <x v="3"/>
    <x v="8"/>
    <n v="14.11"/>
    <m/>
  </r>
  <r>
    <x v="0"/>
    <x v="11"/>
    <x v="4"/>
    <x v="0"/>
    <x v="3"/>
    <n v="11.83"/>
    <s v="Wendy's"/>
  </r>
  <r>
    <x v="0"/>
    <x v="11"/>
    <x v="4"/>
    <x v="1"/>
    <x v="1"/>
    <n v="-11.83"/>
    <s v="Wendy's"/>
  </r>
  <r>
    <x v="0"/>
    <x v="11"/>
    <x v="19"/>
    <x v="0"/>
    <x v="7"/>
    <n v="14.11"/>
    <m/>
  </r>
  <r>
    <x v="0"/>
    <x v="11"/>
    <x v="19"/>
    <x v="3"/>
    <x v="8"/>
    <n v="14.11"/>
    <m/>
  </r>
  <r>
    <x v="0"/>
    <x v="11"/>
    <x v="52"/>
    <x v="1"/>
    <x v="1"/>
    <n v="100"/>
    <s v="Jude Birthday"/>
  </r>
  <r>
    <x v="0"/>
    <x v="11"/>
    <x v="52"/>
    <x v="2"/>
    <x v="31"/>
    <n v="100"/>
    <s v="Jude Birthday"/>
  </r>
  <r>
    <x v="0"/>
    <x v="11"/>
    <x v="18"/>
    <x v="3"/>
    <x v="8"/>
    <n v="-1171.83"/>
    <m/>
  </r>
  <r>
    <x v="0"/>
    <x v="11"/>
    <x v="18"/>
    <x v="1"/>
    <x v="1"/>
    <n v="-1171.83"/>
    <m/>
  </r>
  <r>
    <x v="0"/>
    <x v="11"/>
    <x v="5"/>
    <x v="0"/>
    <x v="4"/>
    <n v="35.74"/>
    <s v="Farm Boy"/>
  </r>
  <r>
    <x v="0"/>
    <x v="11"/>
    <x v="4"/>
    <x v="0"/>
    <x v="3"/>
    <n v="5"/>
    <s v="Farm Boy - chips"/>
  </r>
  <r>
    <x v="0"/>
    <x v="11"/>
    <x v="8"/>
    <x v="0"/>
    <x v="4"/>
    <n v="7"/>
    <s v="Farm Boy- salad bar"/>
  </r>
  <r>
    <x v="0"/>
    <x v="11"/>
    <x v="48"/>
    <x v="0"/>
    <x v="4"/>
    <n v="-47.74"/>
    <m/>
  </r>
  <r>
    <x v="0"/>
    <x v="11"/>
    <x v="32"/>
    <x v="0"/>
    <x v="0"/>
    <n v="111.87"/>
    <m/>
  </r>
  <r>
    <x v="0"/>
    <x v="11"/>
    <x v="32"/>
    <x v="3"/>
    <x v="8"/>
    <n v="111.87"/>
    <m/>
  </r>
  <r>
    <x v="4"/>
    <x v="11"/>
    <x v="109"/>
    <x v="3"/>
    <x v="33"/>
    <n v="4949"/>
    <m/>
  </r>
  <r>
    <x v="2"/>
    <x v="11"/>
    <x v="46"/>
    <x v="2"/>
    <x v="24"/>
    <n v="2250"/>
    <m/>
  </r>
  <r>
    <x v="2"/>
    <x v="11"/>
    <x v="52"/>
    <x v="2"/>
    <x v="31"/>
    <n v="500"/>
    <m/>
  </r>
  <r>
    <x v="1"/>
    <x v="11"/>
    <x v="21"/>
    <x v="0"/>
    <x v="12"/>
    <n v="0"/>
    <s v="gifts Christmas"/>
  </r>
  <r>
    <x v="1"/>
    <x v="11"/>
    <x v="22"/>
    <x v="0"/>
    <x v="13"/>
    <n v="4323.96"/>
    <m/>
  </r>
  <r>
    <x v="1"/>
    <x v="11"/>
    <x v="23"/>
    <x v="0"/>
    <x v="14"/>
    <n v="0"/>
    <m/>
  </r>
  <r>
    <x v="1"/>
    <x v="11"/>
    <x v="11"/>
    <x v="0"/>
    <x v="14"/>
    <n v="3"/>
    <m/>
  </r>
  <r>
    <x v="1"/>
    <x v="11"/>
    <x v="5"/>
    <x v="0"/>
    <x v="4"/>
    <n v="300"/>
    <m/>
  </r>
  <r>
    <x v="1"/>
    <x v="11"/>
    <x v="8"/>
    <x v="0"/>
    <x v="4"/>
    <n v="75"/>
    <m/>
  </r>
  <r>
    <x v="1"/>
    <x v="11"/>
    <x v="25"/>
    <x v="0"/>
    <x v="16"/>
    <n v="55"/>
    <m/>
  </r>
  <r>
    <x v="1"/>
    <x v="11"/>
    <x v="26"/>
    <x v="0"/>
    <x v="7"/>
    <n v="123.17"/>
    <m/>
  </r>
  <r>
    <x v="1"/>
    <x v="11"/>
    <x v="27"/>
    <x v="0"/>
    <x v="7"/>
    <n v="142.99"/>
    <m/>
  </r>
  <r>
    <x v="1"/>
    <x v="11"/>
    <x v="28"/>
    <x v="0"/>
    <x v="7"/>
    <n v="0"/>
    <m/>
  </r>
  <r>
    <x v="1"/>
    <x v="11"/>
    <x v="19"/>
    <x v="0"/>
    <x v="7"/>
    <n v="14.31"/>
    <m/>
  </r>
  <r>
    <x v="1"/>
    <x v="11"/>
    <x v="13"/>
    <x v="0"/>
    <x v="7"/>
    <n v="31.92"/>
    <m/>
  </r>
  <r>
    <x v="1"/>
    <x v="11"/>
    <x v="29"/>
    <x v="0"/>
    <x v="7"/>
    <n v="0"/>
    <m/>
  </r>
  <r>
    <x v="1"/>
    <x v="11"/>
    <x v="30"/>
    <x v="0"/>
    <x v="7"/>
    <n v="0"/>
    <m/>
  </r>
  <r>
    <x v="1"/>
    <x v="11"/>
    <x v="3"/>
    <x v="0"/>
    <x v="2"/>
    <n v="250"/>
    <m/>
  </r>
  <r>
    <x v="1"/>
    <x v="11"/>
    <x v="31"/>
    <x v="0"/>
    <x v="0"/>
    <n v="0"/>
    <m/>
  </r>
  <r>
    <x v="1"/>
    <x v="11"/>
    <x v="12"/>
    <x v="0"/>
    <x v="0"/>
    <n v="11.29"/>
    <m/>
  </r>
  <r>
    <x v="1"/>
    <x v="11"/>
    <x v="32"/>
    <x v="0"/>
    <x v="0"/>
    <n v="111.87"/>
    <m/>
  </r>
  <r>
    <x v="1"/>
    <x v="11"/>
    <x v="16"/>
    <x v="0"/>
    <x v="0"/>
    <n v="0"/>
    <m/>
  </r>
  <r>
    <x v="1"/>
    <x v="11"/>
    <x v="6"/>
    <x v="0"/>
    <x v="0"/>
    <n v="13.55"/>
    <m/>
  </r>
  <r>
    <x v="1"/>
    <x v="11"/>
    <x v="33"/>
    <x v="0"/>
    <x v="0"/>
    <n v="0"/>
    <m/>
  </r>
  <r>
    <x v="1"/>
    <x v="11"/>
    <x v="34"/>
    <x v="0"/>
    <x v="0"/>
    <n v="7.65"/>
    <m/>
  </r>
  <r>
    <x v="1"/>
    <x v="11"/>
    <x v="35"/>
    <x v="0"/>
    <x v="0"/>
    <n v="3.38"/>
    <m/>
  </r>
  <r>
    <x v="1"/>
    <x v="11"/>
    <x v="36"/>
    <x v="0"/>
    <x v="0"/>
    <n v="0"/>
    <m/>
  </r>
  <r>
    <x v="1"/>
    <x v="11"/>
    <x v="47"/>
    <x v="0"/>
    <x v="0"/>
    <n v="6.77"/>
    <m/>
  </r>
  <r>
    <x v="1"/>
    <x v="11"/>
    <x v="0"/>
    <x v="0"/>
    <x v="0"/>
    <n v="8.39"/>
    <m/>
  </r>
  <r>
    <x v="1"/>
    <x v="11"/>
    <x v="38"/>
    <x v="0"/>
    <x v="0"/>
    <n v="0"/>
    <m/>
  </r>
  <r>
    <x v="1"/>
    <x v="11"/>
    <x v="39"/>
    <x v="0"/>
    <x v="17"/>
    <n v="65"/>
    <m/>
  </r>
  <r>
    <x v="1"/>
    <x v="11"/>
    <x v="40"/>
    <x v="0"/>
    <x v="17"/>
    <n v="0"/>
    <m/>
  </r>
  <r>
    <x v="1"/>
    <x v="11"/>
    <x v="100"/>
    <x v="0"/>
    <x v="0"/>
    <n v="13.55"/>
    <m/>
  </r>
  <r>
    <x v="1"/>
    <x v="11"/>
    <x v="41"/>
    <x v="0"/>
    <x v="18"/>
    <n v="250"/>
    <m/>
  </r>
  <r>
    <x v="3"/>
    <x v="11"/>
    <x v="74"/>
    <x v="0"/>
    <x v="7"/>
    <n v="100"/>
    <s v="fall school school suppli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5B3781-9329-4604-B765-7C081B762A4E}" name="PT_Filter"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O8:AU313" firstHeaderRow="1" firstDataRow="2" firstDataCol="1" rowPageCount="2" colPageCount="1"/>
  <pivotFields count="7">
    <pivotField axis="axisCol" showAll="0">
      <items count="7">
        <item x="0"/>
        <item x="1"/>
        <item x="2"/>
        <item x="4"/>
        <item x="3"/>
        <item m="1" x="5"/>
        <item t="default"/>
      </items>
    </pivotField>
    <pivotField axis="axisPage" multipleItemSelectionAllowed="1" showAll="0">
      <items count="14">
        <item x="4"/>
        <item x="3"/>
        <item x="7"/>
        <item x="0"/>
        <item x="8"/>
        <item x="6"/>
        <item x="5"/>
        <item x="1"/>
        <item x="11"/>
        <item x="10"/>
        <item x="9"/>
        <item x="2"/>
        <item m="1" x="12"/>
        <item t="default"/>
      </items>
    </pivotField>
    <pivotField axis="axisRow" showAll="0">
      <items count="122">
        <item x="4"/>
        <item x="7"/>
        <item x="88"/>
        <item m="1" x="118"/>
        <item x="93"/>
        <item x="41"/>
        <item x="25"/>
        <item x="80"/>
        <item x="98"/>
        <item x="40"/>
        <item x="90"/>
        <item x="39"/>
        <item x="91"/>
        <item x="81"/>
        <item x="86"/>
        <item x="14"/>
        <item x="95"/>
        <item x="101"/>
        <item m="1" x="116"/>
        <item x="18"/>
        <item m="1" x="111"/>
        <item x="60"/>
        <item x="11"/>
        <item x="0"/>
        <item x="77"/>
        <item m="1" x="113"/>
        <item x="94"/>
        <item m="1" x="117"/>
        <item x="21"/>
        <item x="54"/>
        <item x="52"/>
        <item x="5"/>
        <item x="82"/>
        <item x="69"/>
        <item x="15"/>
        <item x="61"/>
        <item x="96"/>
        <item x="9"/>
        <item x="109"/>
        <item x="24"/>
        <item x="63"/>
        <item x="1"/>
        <item x="74"/>
        <item x="92"/>
        <item x="37"/>
        <item m="1" x="114"/>
        <item x="3"/>
        <item m="1" x="119"/>
        <item x="46"/>
        <item x="89"/>
        <item m="1" x="115"/>
        <item x="57"/>
        <item x="83"/>
        <item x="27"/>
        <item x="33"/>
        <item x="13"/>
        <item x="31"/>
        <item x="36"/>
        <item x="34"/>
        <item x="19"/>
        <item x="38"/>
        <item x="30"/>
        <item x="87"/>
        <item x="29"/>
        <item x="28"/>
        <item x="12"/>
        <item x="16"/>
        <item x="26"/>
        <item x="78"/>
        <item x="32"/>
        <item m="1" x="120"/>
        <item x="99"/>
        <item x="23"/>
        <item x="47"/>
        <item x="76"/>
        <item x="6"/>
        <item x="8"/>
        <item x="10"/>
        <item x="64"/>
        <item x="65"/>
        <item x="22"/>
        <item x="66"/>
        <item x="50"/>
        <item x="67"/>
        <item x="75"/>
        <item x="58"/>
        <item x="17"/>
        <item x="62"/>
        <item x="35"/>
        <item m="1" x="110"/>
        <item x="84"/>
        <item x="2"/>
        <item x="85"/>
        <item x="97"/>
        <item x="43"/>
        <item x="72"/>
        <item x="73"/>
        <item x="68"/>
        <item x="70"/>
        <item x="42"/>
        <item x="45"/>
        <item x="20"/>
        <item x="44"/>
        <item x="48"/>
        <item x="49"/>
        <item x="51"/>
        <item x="53"/>
        <item x="55"/>
        <item x="56"/>
        <item x="59"/>
        <item x="71"/>
        <item x="79"/>
        <item m="1" x="112"/>
        <item x="103"/>
        <item x="102"/>
        <item x="100"/>
        <item x="104"/>
        <item x="105"/>
        <item x="106"/>
        <item x="107"/>
        <item x="108"/>
        <item t="default"/>
      </items>
    </pivotField>
    <pivotField axis="axisPage" showAll="0">
      <items count="7">
        <item x="1"/>
        <item x="4"/>
        <item x="0"/>
        <item x="3"/>
        <item x="2"/>
        <item m="1" x="5"/>
        <item t="default"/>
      </items>
    </pivotField>
    <pivotField axis="axisRow" showAll="0">
      <items count="40">
        <item m="1" x="38"/>
        <item x="8"/>
        <item x="11"/>
        <item x="10"/>
        <item x="30"/>
        <item x="3"/>
        <item x="9"/>
        <item x="1"/>
        <item x="12"/>
        <item x="14"/>
        <item x="27"/>
        <item x="31"/>
        <item x="6"/>
        <item x="20"/>
        <item x="5"/>
        <item x="33"/>
        <item x="15"/>
        <item x="22"/>
        <item x="4"/>
        <item x="7"/>
        <item x="16"/>
        <item x="25"/>
        <item x="32"/>
        <item x="2"/>
        <item x="26"/>
        <item x="24"/>
        <item x="29"/>
        <item x="0"/>
        <item x="34"/>
        <item x="35"/>
        <item x="17"/>
        <item x="18"/>
        <item x="28"/>
        <item x="19"/>
        <item x="21"/>
        <item x="23"/>
        <item x="13"/>
        <item x="36"/>
        <item x="37"/>
        <item t="default"/>
      </items>
    </pivotField>
    <pivotField dataField="1" showAll="0"/>
    <pivotField showAll="0"/>
  </pivotFields>
  <rowFields count="2">
    <field x="4"/>
    <field x="2"/>
  </rowFields>
  <rowItems count="304">
    <i>
      <x v="1"/>
    </i>
    <i r="1">
      <x/>
    </i>
    <i r="1">
      <x v="1"/>
    </i>
    <i r="1">
      <x v="2"/>
    </i>
    <i r="1">
      <x v="4"/>
    </i>
    <i r="1">
      <x v="6"/>
    </i>
    <i r="1">
      <x v="7"/>
    </i>
    <i r="1">
      <x v="9"/>
    </i>
    <i r="1">
      <x v="10"/>
    </i>
    <i r="1">
      <x v="13"/>
    </i>
    <i r="1">
      <x v="14"/>
    </i>
    <i r="1">
      <x v="15"/>
    </i>
    <i r="1">
      <x v="19"/>
    </i>
    <i r="1">
      <x v="22"/>
    </i>
    <i r="1">
      <x v="23"/>
    </i>
    <i r="1">
      <x v="24"/>
    </i>
    <i r="1">
      <x v="26"/>
    </i>
    <i r="1">
      <x v="28"/>
    </i>
    <i r="1">
      <x v="31"/>
    </i>
    <i r="1">
      <x v="32"/>
    </i>
    <i r="1">
      <x v="35"/>
    </i>
    <i r="1">
      <x v="41"/>
    </i>
    <i r="1">
      <x v="42"/>
    </i>
    <i r="1">
      <x v="43"/>
    </i>
    <i r="1">
      <x v="51"/>
    </i>
    <i r="1">
      <x v="52"/>
    </i>
    <i r="1">
      <x v="53"/>
    </i>
    <i r="1">
      <x v="55"/>
    </i>
    <i r="1">
      <x v="56"/>
    </i>
    <i r="1">
      <x v="58"/>
    </i>
    <i r="1">
      <x v="59"/>
    </i>
    <i r="1">
      <x v="62"/>
    </i>
    <i r="1">
      <x v="65"/>
    </i>
    <i r="1">
      <x v="66"/>
    </i>
    <i r="1">
      <x v="67"/>
    </i>
    <i r="1">
      <x v="68"/>
    </i>
    <i r="1">
      <x v="69"/>
    </i>
    <i r="1">
      <x v="71"/>
    </i>
    <i r="1">
      <x v="73"/>
    </i>
    <i r="1">
      <x v="74"/>
    </i>
    <i r="1">
      <x v="75"/>
    </i>
    <i r="1">
      <x v="76"/>
    </i>
    <i r="1">
      <x v="78"/>
    </i>
    <i r="1">
      <x v="82"/>
    </i>
    <i r="1">
      <x v="85"/>
    </i>
    <i r="1">
      <x v="86"/>
    </i>
    <i r="1">
      <x v="88"/>
    </i>
    <i r="1">
      <x v="98"/>
    </i>
    <i r="1">
      <x v="99"/>
    </i>
    <i r="1">
      <x v="100"/>
    </i>
    <i r="1">
      <x v="104"/>
    </i>
    <i r="1">
      <x v="105"/>
    </i>
    <i r="1">
      <x v="106"/>
    </i>
    <i r="1">
      <x v="107"/>
    </i>
    <i r="1">
      <x v="108"/>
    </i>
    <i r="1">
      <x v="115"/>
    </i>
    <i r="1">
      <x v="116"/>
    </i>
    <i r="1">
      <x v="118"/>
    </i>
    <i r="1">
      <x v="120"/>
    </i>
    <i>
      <x v="2"/>
    </i>
    <i r="1">
      <x/>
    </i>
    <i r="1">
      <x v="19"/>
    </i>
    <i r="1">
      <x v="98"/>
    </i>
    <i>
      <x v="3"/>
    </i>
    <i r="1">
      <x v="34"/>
    </i>
    <i r="1">
      <x v="102"/>
    </i>
    <i>
      <x v="4"/>
    </i>
    <i r="1">
      <x v="34"/>
    </i>
    <i r="1">
      <x v="40"/>
    </i>
    <i r="1">
      <x v="48"/>
    </i>
    <i>
      <x v="5"/>
    </i>
    <i r="1">
      <x/>
    </i>
    <i r="1">
      <x v="1"/>
    </i>
    <i>
      <x v="6"/>
    </i>
    <i r="1">
      <x/>
    </i>
    <i r="1">
      <x v="1"/>
    </i>
    <i r="1">
      <x v="15"/>
    </i>
    <i r="1">
      <x v="21"/>
    </i>
    <i r="1">
      <x v="30"/>
    </i>
    <i r="1">
      <x v="31"/>
    </i>
    <i r="1">
      <x v="34"/>
    </i>
    <i r="1">
      <x v="44"/>
    </i>
    <i r="1">
      <x v="76"/>
    </i>
    <i r="1">
      <x v="85"/>
    </i>
    <i r="1">
      <x v="87"/>
    </i>
    <i r="1">
      <x v="94"/>
    </i>
    <i r="1">
      <x v="101"/>
    </i>
    <i r="1">
      <x v="103"/>
    </i>
    <i r="1">
      <x v="110"/>
    </i>
    <i>
      <x v="7"/>
    </i>
    <i r="1">
      <x/>
    </i>
    <i r="1">
      <x v="1"/>
    </i>
    <i r="1">
      <x v="6"/>
    </i>
    <i r="1">
      <x v="7"/>
    </i>
    <i r="1">
      <x v="8"/>
    </i>
    <i r="1">
      <x v="10"/>
    </i>
    <i r="1">
      <x v="11"/>
    </i>
    <i r="1">
      <x v="12"/>
    </i>
    <i r="1">
      <x v="13"/>
    </i>
    <i r="1">
      <x v="19"/>
    </i>
    <i r="1">
      <x v="21"/>
    </i>
    <i r="1">
      <x v="22"/>
    </i>
    <i r="1">
      <x v="23"/>
    </i>
    <i r="1">
      <x v="28"/>
    </i>
    <i r="1">
      <x v="30"/>
    </i>
    <i r="1">
      <x v="31"/>
    </i>
    <i r="1">
      <x v="33"/>
    </i>
    <i r="1">
      <x v="34"/>
    </i>
    <i r="1">
      <x v="35"/>
    </i>
    <i r="1">
      <x v="36"/>
    </i>
    <i r="1">
      <x v="37"/>
    </i>
    <i r="1">
      <x v="40"/>
    </i>
    <i r="1">
      <x v="41"/>
    </i>
    <i r="1">
      <x v="46"/>
    </i>
    <i r="1">
      <x v="48"/>
    </i>
    <i r="1">
      <x v="51"/>
    </i>
    <i r="1">
      <x v="65"/>
    </i>
    <i r="1">
      <x v="76"/>
    </i>
    <i r="1">
      <x v="77"/>
    </i>
    <i r="1">
      <x v="79"/>
    </i>
    <i r="1">
      <x v="80"/>
    </i>
    <i r="1">
      <x v="83"/>
    </i>
    <i r="1">
      <x v="84"/>
    </i>
    <i r="1">
      <x v="85"/>
    </i>
    <i r="1">
      <x v="86"/>
    </i>
    <i r="1">
      <x v="87"/>
    </i>
    <i r="1">
      <x v="91"/>
    </i>
    <i r="1">
      <x v="92"/>
    </i>
    <i r="1">
      <x v="94"/>
    </i>
    <i r="1">
      <x v="95"/>
    </i>
    <i r="1">
      <x v="96"/>
    </i>
    <i r="1">
      <x v="97"/>
    </i>
    <i r="1">
      <x v="101"/>
    </i>
    <i r="1">
      <x v="103"/>
    </i>
    <i r="1">
      <x v="110"/>
    </i>
    <i r="1">
      <x v="113"/>
    </i>
    <i r="1">
      <x v="114"/>
    </i>
    <i r="1">
      <x v="117"/>
    </i>
    <i r="1">
      <x v="119"/>
    </i>
    <i>
      <x v="8"/>
    </i>
    <i r="1">
      <x v="21"/>
    </i>
    <i r="1">
      <x v="28"/>
    </i>
    <i r="1">
      <x v="106"/>
    </i>
    <i>
      <x v="9"/>
    </i>
    <i r="1">
      <x/>
    </i>
    <i r="1">
      <x v="7"/>
    </i>
    <i r="1">
      <x v="22"/>
    </i>
    <i r="1">
      <x v="55"/>
    </i>
    <i r="1">
      <x v="65"/>
    </i>
    <i r="1">
      <x v="72"/>
    </i>
    <i r="1">
      <x v="78"/>
    </i>
    <i r="1">
      <x v="80"/>
    </i>
    <i r="1">
      <x v="81"/>
    </i>
    <i r="1">
      <x v="104"/>
    </i>
    <i r="1">
      <x v="108"/>
    </i>
    <i r="1">
      <x v="111"/>
    </i>
    <i>
      <x v="10"/>
    </i>
    <i r="1">
      <x v="28"/>
    </i>
    <i r="1">
      <x v="29"/>
    </i>
    <i r="1">
      <x v="32"/>
    </i>
    <i r="1">
      <x v="107"/>
    </i>
    <i>
      <x v="11"/>
    </i>
    <i r="1">
      <x v="30"/>
    </i>
    <i>
      <x v="12"/>
    </i>
    <i r="1">
      <x v="77"/>
    </i>
    <i r="1">
      <x v="84"/>
    </i>
    <i r="1">
      <x v="114"/>
    </i>
    <i>
      <x v="13"/>
    </i>
    <i r="1">
      <x v="4"/>
    </i>
    <i r="1">
      <x v="35"/>
    </i>
    <i r="1">
      <x v="51"/>
    </i>
    <i r="1">
      <x v="90"/>
    </i>
    <i r="1">
      <x v="93"/>
    </i>
    <i r="1">
      <x v="99"/>
    </i>
    <i r="1">
      <x v="100"/>
    </i>
    <i>
      <x v="14"/>
    </i>
    <i r="1">
      <x v="37"/>
    </i>
    <i>
      <x v="15"/>
    </i>
    <i r="1">
      <x v="38"/>
    </i>
    <i r="1">
      <x v="80"/>
    </i>
    <i r="1">
      <x v="94"/>
    </i>
    <i>
      <x v="16"/>
    </i>
    <i r="1">
      <x v="17"/>
    </i>
    <i r="1">
      <x v="39"/>
    </i>
    <i r="1">
      <x v="79"/>
    </i>
    <i r="1">
      <x v="97"/>
    </i>
    <i r="1">
      <x v="120"/>
    </i>
    <i>
      <x v="17"/>
    </i>
    <i r="1">
      <x v="94"/>
    </i>
    <i>
      <x v="18"/>
    </i>
    <i r="1">
      <x/>
    </i>
    <i r="1">
      <x v="31"/>
    </i>
    <i r="1">
      <x v="76"/>
    </i>
    <i r="1">
      <x v="101"/>
    </i>
    <i r="1">
      <x v="103"/>
    </i>
    <i r="1">
      <x v="116"/>
    </i>
    <i>
      <x v="19"/>
    </i>
    <i r="1">
      <x v="14"/>
    </i>
    <i r="1">
      <x v="15"/>
    </i>
    <i r="1">
      <x v="16"/>
    </i>
    <i r="1">
      <x v="24"/>
    </i>
    <i r="1">
      <x v="42"/>
    </i>
    <i r="1">
      <x v="53"/>
    </i>
    <i r="1">
      <x v="55"/>
    </i>
    <i r="1">
      <x v="59"/>
    </i>
    <i r="1">
      <x v="61"/>
    </i>
    <i r="1">
      <x v="62"/>
    </i>
    <i r="1">
      <x v="63"/>
    </i>
    <i r="1">
      <x v="64"/>
    </i>
    <i r="1">
      <x v="66"/>
    </i>
    <i r="1">
      <x v="67"/>
    </i>
    <i r="1">
      <x v="118"/>
    </i>
    <i>
      <x v="20"/>
    </i>
    <i r="1">
      <x v="6"/>
    </i>
    <i r="1">
      <x v="92"/>
    </i>
    <i r="1">
      <x v="105"/>
    </i>
    <i>
      <x v="21"/>
    </i>
    <i r="1">
      <x v="9"/>
    </i>
    <i>
      <x v="22"/>
    </i>
    <i r="1">
      <x v="34"/>
    </i>
    <i r="1">
      <x v="79"/>
    </i>
    <i r="1">
      <x v="83"/>
    </i>
    <i>
      <x v="23"/>
    </i>
    <i r="1">
      <x v="46"/>
    </i>
    <i>
      <x v="24"/>
    </i>
    <i r="1">
      <x v="8"/>
    </i>
    <i r="1">
      <x v="29"/>
    </i>
    <i r="1">
      <x v="30"/>
    </i>
    <i r="1">
      <x v="33"/>
    </i>
    <i r="1">
      <x v="34"/>
    </i>
    <i r="1">
      <x v="40"/>
    </i>
    <i r="1">
      <x v="76"/>
    </i>
    <i r="1">
      <x v="95"/>
    </i>
    <i r="1">
      <x v="96"/>
    </i>
    <i r="1">
      <x v="98"/>
    </i>
    <i r="1">
      <x v="109"/>
    </i>
    <i>
      <x v="25"/>
    </i>
    <i r="1">
      <x v="48"/>
    </i>
    <i>
      <x v="26"/>
    </i>
    <i r="1">
      <x v="94"/>
    </i>
    <i r="1">
      <x v="109"/>
    </i>
    <i>
      <x v="27"/>
    </i>
    <i r="1">
      <x v="13"/>
    </i>
    <i r="1">
      <x v="21"/>
    </i>
    <i r="1">
      <x v="22"/>
    </i>
    <i r="1">
      <x v="23"/>
    </i>
    <i r="1">
      <x v="26"/>
    </i>
    <i r="1">
      <x v="32"/>
    </i>
    <i r="1">
      <x v="41"/>
    </i>
    <i r="1">
      <x v="44"/>
    </i>
    <i r="1">
      <x v="49"/>
    </i>
    <i r="1">
      <x v="54"/>
    </i>
    <i r="1">
      <x v="56"/>
    </i>
    <i r="1">
      <x v="57"/>
    </i>
    <i r="1">
      <x v="58"/>
    </i>
    <i r="1">
      <x v="60"/>
    </i>
    <i r="1">
      <x v="65"/>
    </i>
    <i r="1">
      <x v="66"/>
    </i>
    <i r="1">
      <x v="68"/>
    </i>
    <i r="1">
      <x v="69"/>
    </i>
    <i r="1">
      <x v="71"/>
    </i>
    <i r="1">
      <x v="73"/>
    </i>
    <i r="1">
      <x v="74"/>
    </i>
    <i r="1">
      <x v="75"/>
    </i>
    <i r="1">
      <x v="86"/>
    </i>
    <i r="1">
      <x v="88"/>
    </i>
    <i r="1">
      <x v="107"/>
    </i>
    <i r="1">
      <x v="115"/>
    </i>
    <i r="1">
      <x v="117"/>
    </i>
    <i>
      <x v="28"/>
    </i>
    <i r="1">
      <x v="52"/>
    </i>
    <i>
      <x v="29"/>
    </i>
    <i r="1">
      <x v="83"/>
    </i>
    <i>
      <x v="30"/>
    </i>
    <i r="1">
      <x v="9"/>
    </i>
    <i r="1">
      <x v="10"/>
    </i>
    <i r="1">
      <x v="11"/>
    </i>
    <i r="1">
      <x v="12"/>
    </i>
    <i r="1">
      <x v="43"/>
    </i>
    <i r="1">
      <x v="82"/>
    </i>
    <i>
      <x v="31"/>
    </i>
    <i r="1">
      <x v="5"/>
    </i>
    <i>
      <x v="32"/>
    </i>
    <i r="1">
      <x v="40"/>
    </i>
    <i r="1">
      <x v="83"/>
    </i>
    <i r="1">
      <x v="85"/>
    </i>
    <i r="1">
      <x v="98"/>
    </i>
    <i r="1">
      <x v="110"/>
    </i>
    <i>
      <x v="33"/>
    </i>
    <i r="1">
      <x v="19"/>
    </i>
    <i r="1">
      <x v="90"/>
    </i>
    <i>
      <x v="34"/>
    </i>
    <i r="1">
      <x v="94"/>
    </i>
    <i>
      <x v="35"/>
    </i>
    <i r="1">
      <x v="94"/>
    </i>
    <i>
      <x v="36"/>
    </i>
    <i r="1">
      <x v="80"/>
    </i>
    <i r="1">
      <x v="111"/>
    </i>
    <i r="1">
      <x v="114"/>
    </i>
    <i>
      <x v="37"/>
    </i>
    <i r="1">
      <x v="113"/>
    </i>
    <i>
      <x v="38"/>
    </i>
    <i r="1">
      <x v="117"/>
    </i>
    <i t="grand">
      <x/>
    </i>
  </rowItems>
  <colFields count="1">
    <field x="0"/>
  </colFields>
  <colItems count="6">
    <i>
      <x/>
    </i>
    <i>
      <x v="1"/>
    </i>
    <i>
      <x v="2"/>
    </i>
    <i>
      <x v="3"/>
    </i>
    <i>
      <x v="4"/>
    </i>
    <i t="grand">
      <x/>
    </i>
  </colItems>
  <pageFields count="2">
    <pageField fld="1" hier="-1"/>
    <pageField fld="3" hier="-1"/>
  </pageField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C5A583-DC1F-4246-A186-98C4194CEEB0}" name="PT_Timelin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N8:CA400" firstHeaderRow="1" firstDataRow="2" firstDataCol="1"/>
  <pivotFields count="7">
    <pivotField axis="axisRow" showAll="0">
      <items count="7">
        <item x="0"/>
        <item x="1"/>
        <item x="2"/>
        <item x="4"/>
        <item x="3"/>
        <item m="1" x="5"/>
        <item t="default"/>
      </items>
    </pivotField>
    <pivotField axis="axisCol" showAll="0">
      <items count="14">
        <item x="4"/>
        <item x="3"/>
        <item x="7"/>
        <item x="0"/>
        <item x="8"/>
        <item x="6"/>
        <item x="5"/>
        <item x="1"/>
        <item x="11"/>
        <item x="10"/>
        <item x="9"/>
        <item x="2"/>
        <item m="1" x="12"/>
        <item t="default"/>
      </items>
    </pivotField>
    <pivotField axis="axisRow" showAll="0">
      <items count="122">
        <item x="4"/>
        <item x="7"/>
        <item x="88"/>
        <item m="1" x="118"/>
        <item x="93"/>
        <item x="41"/>
        <item x="25"/>
        <item x="80"/>
        <item x="98"/>
        <item x="40"/>
        <item x="90"/>
        <item x="39"/>
        <item x="91"/>
        <item x="81"/>
        <item x="86"/>
        <item x="14"/>
        <item x="95"/>
        <item x="101"/>
        <item m="1" x="116"/>
        <item x="18"/>
        <item m="1" x="111"/>
        <item x="60"/>
        <item x="11"/>
        <item x="0"/>
        <item x="77"/>
        <item m="1" x="113"/>
        <item x="94"/>
        <item m="1" x="117"/>
        <item x="21"/>
        <item x="54"/>
        <item x="52"/>
        <item x="5"/>
        <item x="82"/>
        <item x="69"/>
        <item x="15"/>
        <item x="61"/>
        <item x="96"/>
        <item x="9"/>
        <item x="109"/>
        <item x="24"/>
        <item x="63"/>
        <item x="1"/>
        <item x="74"/>
        <item x="92"/>
        <item x="37"/>
        <item m="1" x="114"/>
        <item x="3"/>
        <item m="1" x="119"/>
        <item x="46"/>
        <item x="89"/>
        <item m="1" x="115"/>
        <item x="57"/>
        <item x="83"/>
        <item x="27"/>
        <item x="33"/>
        <item x="13"/>
        <item x="31"/>
        <item x="36"/>
        <item x="34"/>
        <item x="19"/>
        <item x="38"/>
        <item x="30"/>
        <item x="87"/>
        <item x="29"/>
        <item x="28"/>
        <item x="12"/>
        <item x="16"/>
        <item x="26"/>
        <item x="78"/>
        <item x="32"/>
        <item x="35"/>
        <item m="1" x="120"/>
        <item x="99"/>
        <item x="23"/>
        <item x="47"/>
        <item x="76"/>
        <item x="6"/>
        <item x="8"/>
        <item x="10"/>
        <item x="64"/>
        <item x="65"/>
        <item x="22"/>
        <item x="66"/>
        <item x="50"/>
        <item x="67"/>
        <item x="75"/>
        <item x="58"/>
        <item x="17"/>
        <item x="62"/>
        <item m="1" x="110"/>
        <item x="84"/>
        <item x="2"/>
        <item x="85"/>
        <item x="97"/>
        <item x="43"/>
        <item x="72"/>
        <item x="73"/>
        <item x="68"/>
        <item x="70"/>
        <item x="42"/>
        <item x="45"/>
        <item x="20"/>
        <item x="44"/>
        <item x="48"/>
        <item x="49"/>
        <item x="51"/>
        <item x="53"/>
        <item x="55"/>
        <item x="56"/>
        <item x="59"/>
        <item x="71"/>
        <item x="79"/>
        <item m="1" x="112"/>
        <item x="103"/>
        <item x="102"/>
        <item x="100"/>
        <item x="104"/>
        <item x="105"/>
        <item x="106"/>
        <item x="107"/>
        <item x="108"/>
        <item t="default"/>
      </items>
    </pivotField>
    <pivotField showAll="0"/>
    <pivotField axis="axisRow" showAll="0">
      <items count="40">
        <item m="1" x="38"/>
        <item x="8"/>
        <item x="11"/>
        <item x="10"/>
        <item x="30"/>
        <item x="3"/>
        <item x="9"/>
        <item x="1"/>
        <item x="12"/>
        <item x="14"/>
        <item x="27"/>
        <item x="31"/>
        <item x="6"/>
        <item x="20"/>
        <item x="5"/>
        <item x="33"/>
        <item x="15"/>
        <item x="22"/>
        <item x="4"/>
        <item x="7"/>
        <item x="16"/>
        <item x="25"/>
        <item x="32"/>
        <item x="2"/>
        <item x="26"/>
        <item x="24"/>
        <item x="29"/>
        <item x="0"/>
        <item x="34"/>
        <item x="35"/>
        <item x="17"/>
        <item x="18"/>
        <item x="28"/>
        <item x="19"/>
        <item x="21"/>
        <item x="23"/>
        <item x="13"/>
        <item x="36"/>
        <item x="37"/>
        <item t="default"/>
      </items>
    </pivotField>
    <pivotField dataField="1" showAll="0"/>
    <pivotField showAll="0"/>
  </pivotFields>
  <rowFields count="3">
    <field x="4"/>
    <field x="0"/>
    <field x="2"/>
  </rowFields>
  <rowItems count="391">
    <i>
      <x v="1"/>
    </i>
    <i r="1">
      <x/>
    </i>
    <i r="2">
      <x/>
    </i>
    <i r="2">
      <x v="1"/>
    </i>
    <i r="2">
      <x v="2"/>
    </i>
    <i r="2">
      <x v="4"/>
    </i>
    <i r="2">
      <x v="6"/>
    </i>
    <i r="2">
      <x v="7"/>
    </i>
    <i r="2">
      <x v="9"/>
    </i>
    <i r="2">
      <x v="10"/>
    </i>
    <i r="2">
      <x v="13"/>
    </i>
    <i r="2">
      <x v="14"/>
    </i>
    <i r="2">
      <x v="15"/>
    </i>
    <i r="2">
      <x v="19"/>
    </i>
    <i r="2">
      <x v="22"/>
    </i>
    <i r="2">
      <x v="23"/>
    </i>
    <i r="2">
      <x v="24"/>
    </i>
    <i r="2">
      <x v="26"/>
    </i>
    <i r="2">
      <x v="28"/>
    </i>
    <i r="2">
      <x v="31"/>
    </i>
    <i r="2">
      <x v="32"/>
    </i>
    <i r="2">
      <x v="35"/>
    </i>
    <i r="2">
      <x v="41"/>
    </i>
    <i r="2">
      <x v="42"/>
    </i>
    <i r="2">
      <x v="43"/>
    </i>
    <i r="2">
      <x v="51"/>
    </i>
    <i r="2">
      <x v="52"/>
    </i>
    <i r="2">
      <x v="53"/>
    </i>
    <i r="2">
      <x v="55"/>
    </i>
    <i r="2">
      <x v="56"/>
    </i>
    <i r="2">
      <x v="58"/>
    </i>
    <i r="2">
      <x v="59"/>
    </i>
    <i r="2">
      <x v="62"/>
    </i>
    <i r="2">
      <x v="65"/>
    </i>
    <i r="2">
      <x v="66"/>
    </i>
    <i r="2">
      <x v="67"/>
    </i>
    <i r="2">
      <x v="68"/>
    </i>
    <i r="2">
      <x v="69"/>
    </i>
    <i r="2">
      <x v="70"/>
    </i>
    <i r="2">
      <x v="72"/>
    </i>
    <i r="2">
      <x v="74"/>
    </i>
    <i r="2">
      <x v="75"/>
    </i>
    <i r="2">
      <x v="76"/>
    </i>
    <i r="2">
      <x v="77"/>
    </i>
    <i r="2">
      <x v="79"/>
    </i>
    <i r="2">
      <x v="83"/>
    </i>
    <i r="2">
      <x v="86"/>
    </i>
    <i r="2">
      <x v="87"/>
    </i>
    <i r="2">
      <x v="98"/>
    </i>
    <i r="2">
      <x v="99"/>
    </i>
    <i r="2">
      <x v="100"/>
    </i>
    <i r="2">
      <x v="104"/>
    </i>
    <i r="2">
      <x v="105"/>
    </i>
    <i r="2">
      <x v="106"/>
    </i>
    <i r="2">
      <x v="107"/>
    </i>
    <i r="2">
      <x v="108"/>
    </i>
    <i r="2">
      <x v="115"/>
    </i>
    <i r="2">
      <x v="116"/>
    </i>
    <i r="2">
      <x v="118"/>
    </i>
    <i r="2">
      <x v="120"/>
    </i>
    <i>
      <x v="2"/>
    </i>
    <i r="1">
      <x/>
    </i>
    <i r="2">
      <x/>
    </i>
    <i r="2">
      <x v="19"/>
    </i>
    <i r="2">
      <x v="98"/>
    </i>
    <i>
      <x v="3"/>
    </i>
    <i r="1">
      <x/>
    </i>
    <i r="2">
      <x v="34"/>
    </i>
    <i r="2">
      <x v="102"/>
    </i>
    <i>
      <x v="4"/>
    </i>
    <i r="1">
      <x/>
    </i>
    <i r="2">
      <x v="34"/>
    </i>
    <i r="2">
      <x v="40"/>
    </i>
    <i r="2">
      <x v="48"/>
    </i>
    <i>
      <x v="5"/>
    </i>
    <i r="1">
      <x/>
    </i>
    <i r="2">
      <x/>
    </i>
    <i r="2">
      <x v="1"/>
    </i>
    <i r="1">
      <x v="1"/>
    </i>
    <i r="2">
      <x v="1"/>
    </i>
    <i>
      <x v="6"/>
    </i>
    <i r="1">
      <x/>
    </i>
    <i r="2">
      <x/>
    </i>
    <i r="2">
      <x v="1"/>
    </i>
    <i r="2">
      <x v="15"/>
    </i>
    <i r="2">
      <x v="21"/>
    </i>
    <i r="2">
      <x v="30"/>
    </i>
    <i r="2">
      <x v="31"/>
    </i>
    <i r="2">
      <x v="34"/>
    </i>
    <i r="2">
      <x v="44"/>
    </i>
    <i r="2">
      <x v="77"/>
    </i>
    <i r="2">
      <x v="86"/>
    </i>
    <i r="2">
      <x v="88"/>
    </i>
    <i r="2">
      <x v="94"/>
    </i>
    <i r="2">
      <x v="101"/>
    </i>
    <i r="2">
      <x v="103"/>
    </i>
    <i r="2">
      <x v="110"/>
    </i>
    <i>
      <x v="7"/>
    </i>
    <i r="1">
      <x/>
    </i>
    <i r="2">
      <x/>
    </i>
    <i r="2">
      <x v="1"/>
    </i>
    <i r="2">
      <x v="6"/>
    </i>
    <i r="2">
      <x v="7"/>
    </i>
    <i r="2">
      <x v="8"/>
    </i>
    <i r="2">
      <x v="10"/>
    </i>
    <i r="2">
      <x v="11"/>
    </i>
    <i r="2">
      <x v="12"/>
    </i>
    <i r="2">
      <x v="13"/>
    </i>
    <i r="2">
      <x v="19"/>
    </i>
    <i r="2">
      <x v="21"/>
    </i>
    <i r="2">
      <x v="22"/>
    </i>
    <i r="2">
      <x v="23"/>
    </i>
    <i r="2">
      <x v="28"/>
    </i>
    <i r="2">
      <x v="30"/>
    </i>
    <i r="2">
      <x v="31"/>
    </i>
    <i r="2">
      <x v="33"/>
    </i>
    <i r="2">
      <x v="34"/>
    </i>
    <i r="2">
      <x v="35"/>
    </i>
    <i r="2">
      <x v="36"/>
    </i>
    <i r="2">
      <x v="37"/>
    </i>
    <i r="2">
      <x v="40"/>
    </i>
    <i r="2">
      <x v="41"/>
    </i>
    <i r="2">
      <x v="46"/>
    </i>
    <i r="2">
      <x v="48"/>
    </i>
    <i r="2">
      <x v="51"/>
    </i>
    <i r="2">
      <x v="65"/>
    </i>
    <i r="2">
      <x v="77"/>
    </i>
    <i r="2">
      <x v="78"/>
    </i>
    <i r="2">
      <x v="80"/>
    </i>
    <i r="2">
      <x v="81"/>
    </i>
    <i r="2">
      <x v="84"/>
    </i>
    <i r="2">
      <x v="85"/>
    </i>
    <i r="2">
      <x v="86"/>
    </i>
    <i r="2">
      <x v="87"/>
    </i>
    <i r="2">
      <x v="88"/>
    </i>
    <i r="2">
      <x v="91"/>
    </i>
    <i r="2">
      <x v="92"/>
    </i>
    <i r="2">
      <x v="94"/>
    </i>
    <i r="2">
      <x v="95"/>
    </i>
    <i r="2">
      <x v="96"/>
    </i>
    <i r="2">
      <x v="97"/>
    </i>
    <i r="2">
      <x v="101"/>
    </i>
    <i r="2">
      <x v="103"/>
    </i>
    <i r="2">
      <x v="110"/>
    </i>
    <i r="2">
      <x v="113"/>
    </i>
    <i r="2">
      <x v="114"/>
    </i>
    <i r="2">
      <x v="117"/>
    </i>
    <i r="2">
      <x v="119"/>
    </i>
    <i>
      <x v="8"/>
    </i>
    <i r="1">
      <x/>
    </i>
    <i r="2">
      <x v="21"/>
    </i>
    <i r="2">
      <x v="28"/>
    </i>
    <i r="2">
      <x v="106"/>
    </i>
    <i r="1">
      <x v="1"/>
    </i>
    <i r="2">
      <x v="28"/>
    </i>
    <i r="1">
      <x v="4"/>
    </i>
    <i r="2">
      <x v="28"/>
    </i>
    <i>
      <x v="9"/>
    </i>
    <i r="1">
      <x/>
    </i>
    <i r="2">
      <x/>
    </i>
    <i r="2">
      <x v="7"/>
    </i>
    <i r="2">
      <x v="22"/>
    </i>
    <i r="2">
      <x v="55"/>
    </i>
    <i r="2">
      <x v="65"/>
    </i>
    <i r="2">
      <x v="79"/>
    </i>
    <i r="2">
      <x v="81"/>
    </i>
    <i r="2">
      <x v="82"/>
    </i>
    <i r="2">
      <x v="104"/>
    </i>
    <i r="2">
      <x v="108"/>
    </i>
    <i r="2">
      <x v="111"/>
    </i>
    <i r="1">
      <x v="1"/>
    </i>
    <i r="2">
      <x v="22"/>
    </i>
    <i r="2">
      <x v="73"/>
    </i>
    <i>
      <x v="10"/>
    </i>
    <i r="1">
      <x/>
    </i>
    <i r="2">
      <x v="28"/>
    </i>
    <i r="2">
      <x v="29"/>
    </i>
    <i r="2">
      <x v="32"/>
    </i>
    <i r="2">
      <x v="107"/>
    </i>
    <i>
      <x v="11"/>
    </i>
    <i r="1">
      <x/>
    </i>
    <i r="2">
      <x v="30"/>
    </i>
    <i r="1">
      <x v="2"/>
    </i>
    <i r="2">
      <x v="30"/>
    </i>
    <i>
      <x v="12"/>
    </i>
    <i r="1">
      <x/>
    </i>
    <i r="2">
      <x v="78"/>
    </i>
    <i r="2">
      <x v="85"/>
    </i>
    <i r="2">
      <x v="114"/>
    </i>
    <i>
      <x v="13"/>
    </i>
    <i r="1">
      <x/>
    </i>
    <i r="2">
      <x v="4"/>
    </i>
    <i r="2">
      <x v="35"/>
    </i>
    <i r="2">
      <x v="51"/>
    </i>
    <i r="2">
      <x v="90"/>
    </i>
    <i r="2">
      <x v="93"/>
    </i>
    <i r="2">
      <x v="99"/>
    </i>
    <i r="2">
      <x v="100"/>
    </i>
    <i>
      <x v="14"/>
    </i>
    <i r="1">
      <x/>
    </i>
    <i r="2">
      <x v="37"/>
    </i>
    <i>
      <x v="15"/>
    </i>
    <i r="1">
      <x/>
    </i>
    <i r="2">
      <x v="81"/>
    </i>
    <i r="2">
      <x v="94"/>
    </i>
    <i r="1">
      <x v="3"/>
    </i>
    <i r="2">
      <x v="38"/>
    </i>
    <i>
      <x v="16"/>
    </i>
    <i r="1">
      <x/>
    </i>
    <i r="2">
      <x v="80"/>
    </i>
    <i r="2">
      <x v="97"/>
    </i>
    <i r="2">
      <x v="120"/>
    </i>
    <i r="1">
      <x v="1"/>
    </i>
    <i r="2">
      <x v="39"/>
    </i>
    <i r="1">
      <x v="4"/>
    </i>
    <i r="2">
      <x v="17"/>
    </i>
    <i r="2">
      <x v="97"/>
    </i>
    <i>
      <x v="17"/>
    </i>
    <i r="1">
      <x/>
    </i>
    <i r="2">
      <x v="94"/>
    </i>
    <i>
      <x v="18"/>
    </i>
    <i r="1">
      <x/>
    </i>
    <i r="2">
      <x/>
    </i>
    <i r="2">
      <x v="31"/>
    </i>
    <i r="2">
      <x v="77"/>
    </i>
    <i r="2">
      <x v="101"/>
    </i>
    <i r="2">
      <x v="103"/>
    </i>
    <i r="2">
      <x v="116"/>
    </i>
    <i r="1">
      <x v="1"/>
    </i>
    <i r="2">
      <x v="31"/>
    </i>
    <i r="2">
      <x v="77"/>
    </i>
    <i>
      <x v="19"/>
    </i>
    <i r="1">
      <x/>
    </i>
    <i r="2">
      <x v="14"/>
    </i>
    <i r="2">
      <x v="15"/>
    </i>
    <i r="2">
      <x v="16"/>
    </i>
    <i r="2">
      <x v="24"/>
    </i>
    <i r="2">
      <x v="42"/>
    </i>
    <i r="2">
      <x v="53"/>
    </i>
    <i r="2">
      <x v="55"/>
    </i>
    <i r="2">
      <x v="59"/>
    </i>
    <i r="2">
      <x v="62"/>
    </i>
    <i r="2">
      <x v="66"/>
    </i>
    <i r="2">
      <x v="67"/>
    </i>
    <i r="2">
      <x v="118"/>
    </i>
    <i r="1">
      <x v="1"/>
    </i>
    <i r="2">
      <x v="53"/>
    </i>
    <i r="2">
      <x v="55"/>
    </i>
    <i r="2">
      <x v="59"/>
    </i>
    <i r="2">
      <x v="61"/>
    </i>
    <i r="2">
      <x v="63"/>
    </i>
    <i r="2">
      <x v="64"/>
    </i>
    <i r="2">
      <x v="67"/>
    </i>
    <i r="1">
      <x v="4"/>
    </i>
    <i r="2">
      <x v="14"/>
    </i>
    <i r="2">
      <x v="42"/>
    </i>
    <i>
      <x v="20"/>
    </i>
    <i r="1">
      <x/>
    </i>
    <i r="2">
      <x v="6"/>
    </i>
    <i r="2">
      <x v="92"/>
    </i>
    <i r="2">
      <x v="105"/>
    </i>
    <i r="1">
      <x v="1"/>
    </i>
    <i r="2">
      <x v="6"/>
    </i>
    <i>
      <x v="21"/>
    </i>
    <i r="1">
      <x/>
    </i>
    <i r="2">
      <x v="9"/>
    </i>
    <i>
      <x v="22"/>
    </i>
    <i r="1">
      <x/>
    </i>
    <i r="2">
      <x v="34"/>
    </i>
    <i r="2">
      <x v="80"/>
    </i>
    <i r="2">
      <x v="84"/>
    </i>
    <i>
      <x v="23"/>
    </i>
    <i r="1">
      <x/>
    </i>
    <i r="2">
      <x v="46"/>
    </i>
    <i r="1">
      <x v="1"/>
    </i>
    <i r="2">
      <x v="46"/>
    </i>
    <i>
      <x v="24"/>
    </i>
    <i r="1">
      <x/>
    </i>
    <i r="2">
      <x v="8"/>
    </i>
    <i r="2">
      <x v="29"/>
    </i>
    <i r="2">
      <x v="30"/>
    </i>
    <i r="2">
      <x v="33"/>
    </i>
    <i r="2">
      <x v="34"/>
    </i>
    <i r="2">
      <x v="40"/>
    </i>
    <i r="2">
      <x v="77"/>
    </i>
    <i r="2">
      <x v="95"/>
    </i>
    <i r="2">
      <x v="96"/>
    </i>
    <i r="2">
      <x v="98"/>
    </i>
    <i r="2">
      <x v="109"/>
    </i>
    <i>
      <x v="25"/>
    </i>
    <i r="1">
      <x/>
    </i>
    <i r="2">
      <x v="48"/>
    </i>
    <i r="1">
      <x v="2"/>
    </i>
    <i r="2">
      <x v="48"/>
    </i>
    <i>
      <x v="26"/>
    </i>
    <i r="1">
      <x/>
    </i>
    <i r="2">
      <x v="94"/>
    </i>
    <i r="2">
      <x v="109"/>
    </i>
    <i>
      <x v="27"/>
    </i>
    <i r="1">
      <x/>
    </i>
    <i r="2">
      <x v="13"/>
    </i>
    <i r="2">
      <x v="21"/>
    </i>
    <i r="2">
      <x v="22"/>
    </i>
    <i r="2">
      <x v="23"/>
    </i>
    <i r="2">
      <x v="26"/>
    </i>
    <i r="2">
      <x v="32"/>
    </i>
    <i r="2">
      <x v="41"/>
    </i>
    <i r="2">
      <x v="49"/>
    </i>
    <i r="2">
      <x v="58"/>
    </i>
    <i r="2">
      <x v="65"/>
    </i>
    <i r="2">
      <x v="66"/>
    </i>
    <i r="2">
      <x v="68"/>
    </i>
    <i r="2">
      <x v="69"/>
    </i>
    <i r="2">
      <x v="70"/>
    </i>
    <i r="2">
      <x v="72"/>
    </i>
    <i r="2">
      <x v="74"/>
    </i>
    <i r="2">
      <x v="75"/>
    </i>
    <i r="2">
      <x v="76"/>
    </i>
    <i r="2">
      <x v="87"/>
    </i>
    <i r="2">
      <x v="107"/>
    </i>
    <i r="2">
      <x v="115"/>
    </i>
    <i r="2">
      <x v="117"/>
    </i>
    <i r="1">
      <x v="1"/>
    </i>
    <i r="2">
      <x v="23"/>
    </i>
    <i r="2">
      <x v="44"/>
    </i>
    <i r="2">
      <x v="54"/>
    </i>
    <i r="2">
      <x v="56"/>
    </i>
    <i r="2">
      <x v="57"/>
    </i>
    <i r="2">
      <x v="58"/>
    </i>
    <i r="2">
      <x v="60"/>
    </i>
    <i r="2">
      <x v="65"/>
    </i>
    <i r="2">
      <x v="66"/>
    </i>
    <i r="2">
      <x v="69"/>
    </i>
    <i r="2">
      <x v="70"/>
    </i>
    <i r="2">
      <x v="74"/>
    </i>
    <i r="2">
      <x v="76"/>
    </i>
    <i r="2">
      <x v="115"/>
    </i>
    <i>
      <x v="28"/>
    </i>
    <i r="1">
      <x/>
    </i>
    <i r="2">
      <x v="52"/>
    </i>
    <i>
      <x v="29"/>
    </i>
    <i r="1">
      <x/>
    </i>
    <i r="2">
      <x v="84"/>
    </i>
    <i>
      <x v="30"/>
    </i>
    <i r="1">
      <x/>
    </i>
    <i r="2">
      <x v="9"/>
    </i>
    <i r="2">
      <x v="10"/>
    </i>
    <i r="2">
      <x v="11"/>
    </i>
    <i r="2">
      <x v="12"/>
    </i>
    <i r="2">
      <x v="43"/>
    </i>
    <i r="2">
      <x v="83"/>
    </i>
    <i r="1">
      <x v="1"/>
    </i>
    <i r="2">
      <x v="9"/>
    </i>
    <i r="2">
      <x v="10"/>
    </i>
    <i r="2">
      <x v="11"/>
    </i>
    <i r="1">
      <x v="4"/>
    </i>
    <i r="2">
      <x v="12"/>
    </i>
    <i>
      <x v="31"/>
    </i>
    <i r="1">
      <x v="1"/>
    </i>
    <i r="2">
      <x v="5"/>
    </i>
    <i>
      <x v="32"/>
    </i>
    <i r="1">
      <x/>
    </i>
    <i r="2">
      <x v="40"/>
    </i>
    <i r="2">
      <x v="84"/>
    </i>
    <i r="2">
      <x v="86"/>
    </i>
    <i r="2">
      <x v="98"/>
    </i>
    <i r="2">
      <x v="110"/>
    </i>
    <i>
      <x v="33"/>
    </i>
    <i r="1">
      <x/>
    </i>
    <i r="2">
      <x v="19"/>
    </i>
    <i r="2">
      <x v="90"/>
    </i>
    <i>
      <x v="34"/>
    </i>
    <i r="1">
      <x/>
    </i>
    <i r="2">
      <x v="94"/>
    </i>
    <i>
      <x v="35"/>
    </i>
    <i r="1">
      <x/>
    </i>
    <i r="2">
      <x v="94"/>
    </i>
    <i>
      <x v="36"/>
    </i>
    <i r="1">
      <x/>
    </i>
    <i r="2">
      <x v="81"/>
    </i>
    <i r="2">
      <x v="111"/>
    </i>
    <i r="2">
      <x v="114"/>
    </i>
    <i r="1">
      <x v="1"/>
    </i>
    <i r="2">
      <x v="81"/>
    </i>
    <i>
      <x v="37"/>
    </i>
    <i r="1">
      <x/>
    </i>
    <i r="2">
      <x v="113"/>
    </i>
    <i>
      <x v="38"/>
    </i>
    <i r="1">
      <x/>
    </i>
    <i r="2">
      <x v="117"/>
    </i>
    <i t="grand">
      <x/>
    </i>
  </rowItems>
  <colFields count="1">
    <field x="1"/>
  </colFields>
  <colItems count="13">
    <i>
      <x/>
    </i>
    <i>
      <x v="1"/>
    </i>
    <i>
      <x v="2"/>
    </i>
    <i>
      <x v="3"/>
    </i>
    <i>
      <x v="4"/>
    </i>
    <i>
      <x v="5"/>
    </i>
    <i>
      <x v="6"/>
    </i>
    <i>
      <x v="7"/>
    </i>
    <i>
      <x v="8"/>
    </i>
    <i>
      <x v="9"/>
    </i>
    <i>
      <x v="10"/>
    </i>
    <i>
      <x v="11"/>
    </i>
    <i t="grand">
      <x/>
    </i>
  </colItem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5B69879E-87C3-42D3-AFF6-76457FBE9017}" autoFormatId="16" applyNumberFormats="0" applyBorderFormats="0" applyFontFormats="0" applyPatternFormats="0" applyAlignmentFormats="0" applyWidthHeightFormats="0">
  <queryTableRefresh nextId="8">
    <queryTableFields count="6">
      <queryTableField id="1" name="source" tableColumnId="1"/>
      <queryTableField id="2" name="date" tableColumnId="2"/>
      <queryTableField id="3" name="item" tableColumnId="3"/>
      <queryTableField id="4" name="account_type" tableColumnId="4"/>
      <queryTableField id="5" name="account_name" tableColumnId="5"/>
      <queryTableField id="6" name="amount"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F1F15EC5-2350-4B70-AFC7-C3207118DAEB}" autoFormatId="16" applyNumberFormats="0" applyBorderFormats="0" applyFontFormats="0" applyPatternFormats="0" applyAlignmentFormats="0" applyWidthHeightFormats="0">
  <queryTableRefresh nextId="5">
    <queryTableFields count="4">
      <queryTableField id="1" name="Date" tableColumnId="1"/>
      <queryTableField id="2" name="AccountName" tableColumnId="2"/>
      <queryTableField id="3" name="AccountType"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26D17B3-021B-4DD7-BFB2-D070F3F067AB}" sourceName="Date">
  <pivotTables>
    <pivotTable tabId="54" name="PT_Filter"/>
    <pivotTable tabId="54" name="PT_Timeline"/>
  </pivotTables>
  <data>
    <tabular pivotCacheId="540053476">
      <items count="13">
        <i x="4" s="1"/>
        <i x="3" s="1"/>
        <i x="7" s="1"/>
        <i x="0" s="1"/>
        <i x="8" s="1"/>
        <i x="6" s="1"/>
        <i x="5" s="1"/>
        <i x="1" s="1"/>
        <i x="11" s="1"/>
        <i x="10" s="1"/>
        <i x="9" s="1"/>
        <i x="2" s="1"/>
        <i x="1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1" xr10:uid="{E45624BC-0B77-4C4A-8E3A-6F346517157F}" sourceName="Trans. Type">
  <extLst>
    <x:ext xmlns:x15="http://schemas.microsoft.com/office/spreadsheetml/2010/11/main" uri="{2F2917AC-EB37-4324-AD4E-5DD8C200BD13}">
      <x15:tableSlicerCache tableId="19" column="3" sortOrder="descending"/>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 xr10:uid="{7D8510ED-0A83-4F6F-A45B-8C840130193A}" sourceName="PRIO">
  <extLst>
    <x:ext xmlns:x15="http://schemas.microsoft.com/office/spreadsheetml/2010/11/main" uri="{2F2917AC-EB37-4324-AD4E-5DD8C200BD13}">
      <x15:tableSlicerCache tableId="19"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12" xr10:uid="{AD93E9E1-C2F3-4578-A463-2741DF598EB5}" sourceName="Trans. Type">
  <extLst>
    <x:ext xmlns:x15="http://schemas.microsoft.com/office/spreadsheetml/2010/11/main" uri="{2F2917AC-EB37-4324-AD4E-5DD8C200BD13}">
      <x15:tableSlicerCache tableId="11" column="3" sortOrder="descending"/>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2" xr10:uid="{54EA7847-0366-40C9-8C6C-3DC2ECB8EB3F}" sourceName="PRIO">
  <extLst>
    <x:ext xmlns:x15="http://schemas.microsoft.com/office/spreadsheetml/2010/11/main" uri="{2F2917AC-EB37-4324-AD4E-5DD8C200BD13}">
      <x15:tableSlicerCache tableId="11"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4FFF01E-5ADB-411B-9AD3-8DDF10D0C820}" sourceName="Year">
  <extLst>
    <x:ext xmlns:x15="http://schemas.microsoft.com/office/spreadsheetml/2010/11/main" uri="{2F2917AC-EB37-4324-AD4E-5DD8C200BD13}">
      <x15:tableSlicerCache tableId="11" column="5"/>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s2" xr10:uid="{9BD7AF49-CA62-4DF4-8312-55A47C79DE3E}" sourceName="Item">
  <extLst>
    <x:ext xmlns:x15="http://schemas.microsoft.com/office/spreadsheetml/2010/11/main" uri="{2F2917AC-EB37-4324-AD4E-5DD8C200BD13}">
      <x15:tableSlicerCache tableId="11" column="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13" xr10:uid="{BB200F18-E011-48F0-9114-D6DF99C25E41}" sourceName="Trans. Type">
  <extLst>
    <x:ext xmlns:x15="http://schemas.microsoft.com/office/spreadsheetml/2010/11/main" uri="{2F2917AC-EB37-4324-AD4E-5DD8C200BD13}">
      <x15:tableSlicerCache tableId="12" column="3"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3" xr10:uid="{233DA678-7B0F-4881-AF57-A923880F2E31}" sourceName="PRIO">
  <extLst>
    <x:ext xmlns:x15="http://schemas.microsoft.com/office/spreadsheetml/2010/11/main" uri="{2F2917AC-EB37-4324-AD4E-5DD8C200BD13}">
      <x15:tableSlicerCache tableId="12"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8C83F7E5-CB98-4A53-8698-F956F1A9F947}" sourceName="Year">
  <extLst>
    <x:ext xmlns:x15="http://schemas.microsoft.com/office/spreadsheetml/2010/11/main" uri="{2F2917AC-EB37-4324-AD4E-5DD8C200BD13}">
      <x15:tableSlicerCache tableId="12" column="5"/>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s3" xr10:uid="{D5F9B416-5BC5-43A8-B5AC-C0C99A3CA91B}" sourceName="Item">
  <extLst>
    <x:ext xmlns:x15="http://schemas.microsoft.com/office/spreadsheetml/2010/11/main" uri="{2F2917AC-EB37-4324-AD4E-5DD8C200BD13}">
      <x15:tableSlicerCache tableId="1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4FDD024-5E90-4733-9AB1-3468599A1675}" cache="Slicer_Date" caption="Date" style="SlicerStyleLight5"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9EFF2547-C113-4ED1-BC2A-0C65C9982C34}" cache="Slicer_Date" caption="Date" style="SlicerStyleLight5"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4C865CC0-6AE7-40BA-805D-E295877BB4F5}" cache="Slicer_Type_12" caption="Trans. Type" rowHeight="241300"/>
  <slicer name="PRIO 2" xr10:uid="{2694B3CF-A0D5-4D6A-89AD-181A5C505EE4}" cache="Slicer_PRIO2" caption="PRIO" rowHeight="241300"/>
  <slicer name="Year 2" xr10:uid="{B934F9D1-7536-4E53-BCF9-408C3A0AB9BF}" cache="Slicer_Year2" caption="Column1" rowHeight="241300"/>
  <slicer name="Items 2" xr10:uid="{28298BB1-04B0-41CC-A99B-19FE107005B0}" cache="Slicer_Items2" caption="Item" columnCount="9"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4" xr10:uid="{0049207C-3ABA-40B6-823D-418EE36CB4EC}" cache="Slicer_Type_13" caption="Trans. Type" rowHeight="241300"/>
  <slicer name="PRIO 3" xr10:uid="{6551DFC5-778C-42CC-926B-E10D433D9E56}" cache="Slicer_PRIO3" caption="PRIO" rowHeight="241300"/>
  <slicer name="Year 3" xr10:uid="{5FBA2406-6E97-41C4-8B5C-ABC606E3DF40}" cache="Slicer_Year3" caption="Column1" rowHeight="241300"/>
  <slicer name="Items 3" xr10:uid="{120F8B2D-1562-496D-A62A-1316D2CC1AC2}" cache="Slicer_Items3" caption="Item" columnCount="9"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549F5DCD-B7F5-474D-8690-DA4C5D3D1B2A}" cache="Slicer_Type_1" caption="Trans. Type" rowHeight="241300"/>
  <slicer name="PRIO" xr10:uid="{6B4C0379-FA24-4A19-A66F-AF8B7C04C588}" cache="Slicer_PRIO" caption="PRIO" rowHeight="241300"/>
</slicers>
</file>

<file path=xl/tables/_rels/table2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51A16E-B7D4-476E-A5CA-855B9B4A856A}" name="Journal" displayName="Journal" ref="B12:K98" headerRowDxfId="295" dataDxfId="294">
  <autoFilter ref="B12:K98" xr:uid="{2FB2624C-C53E-4928-997B-E822236CEE93}"/>
  <sortState xmlns:xlrd2="http://schemas.microsoft.com/office/spreadsheetml/2017/richdata2" ref="C13:K13">
    <sortCondition ref="C12:C13"/>
  </sortState>
  <tableColumns count="10">
    <tableColumn id="8" xr3:uid="{32E4AA69-F79B-4C93-BDD5-06B538B35FBA}" name="TransNo" dataDxfId="293">
      <calculatedColumnFormula>ROW(Journal[[#This Row],[Item]])-ROW(Journal[[#Headers],[Append_Journal]])</calculatedColumnFormula>
    </tableColumn>
    <tableColumn id="2" xr3:uid="{C6EB0670-D851-43B0-9815-CB58043EAADC}" name="Date" totalsRowLabel="Total" dataDxfId="292"/>
    <tableColumn id="9" xr3:uid="{2B2CBCAF-267E-457E-B4EC-C595E0DFFF94}" name="TransType" dataDxfId="291">
      <calculatedColumnFormula>IF(Journal[[#This Row],[Debit]]&gt;0,"Debit","Credit")</calculatedColumnFormula>
    </tableColumn>
    <tableColumn id="15" xr3:uid="{BD348373-9632-46E7-801E-454FDF09C518}" name="Item" dataDxfId="290"/>
    <tableColumn id="3" xr3:uid="{820CB306-BCF8-472A-A757-8BD029CEDA9B}" name="AccountName" dataDxfId="289"/>
    <tableColumn id="4" xr3:uid="{0C1D396D-0A37-48DD-957B-1BC8BE73B75C}" name="PostRef" dataDxfId="288">
      <calculatedColumnFormula array="1">IF(AND(ROW(Journal[[#This Row],[PostRef]])=Journal_Row_Min,ROW(OFFSET(Journal[[#This Row],[PostRef]],-1,0))=Journal_Header_Row),1,
IF(AND(Journal[[#This Row],[TransType]]="debit",OFFSET(Journal[[#This Row],[TransType]],-1,0)="credit"),OFFSET(Journal[[#This Row],[PostRef]],-1,0)+1,OFFSET(Journal[[#This Row],[PostRef]],-1,0)))</calculatedColumnFormula>
    </tableColumn>
    <tableColumn id="5" xr3:uid="{A712F474-CA9C-4BD9-B923-0E86299D66ED}" name="Debit" totalsRowFunction="sum" dataDxfId="287"/>
    <tableColumn id="6" xr3:uid="{1ABC9A94-9B58-43F5-AD13-3198AFCF32FA}" name="Credit" totalsRowFunction="sum" dataDxfId="286"/>
    <tableColumn id="7" xr3:uid="{766D3E5B-9190-43B4-8F3B-C63A3F52F498}" name="Details" totalsRowFunction="count" dataDxfId="285"/>
    <tableColumn id="1" xr3:uid="{9ABBDC5A-3F2A-4AC4-B04F-0EEF7C473E19}" name="Append_Journal" dataDxfId="284">
      <calculatedColumnFormula>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calculatedColumnFormula>
    </tableColumn>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710C41-3CA2-4354-8248-0B643DCFAC40}" name="Asset_Plan" displayName="Asset_Plan" ref="C19:Y25" headerRowDxfId="283">
  <autoFilter ref="C19:Y25" xr:uid="{9DA86ACD-4198-4961-9ADE-2DD19BD9CD91}"/>
  <sortState xmlns:xlrd2="http://schemas.microsoft.com/office/spreadsheetml/2017/richdata2" ref="C20:Y25">
    <sortCondition ref="J19:J25"/>
  </sortState>
  <tableColumns count="23">
    <tableColumn id="6" xr3:uid="{43F22577-B82F-493C-9446-6EC762B7A9B2}" name="Source" dataDxfId="282"/>
    <tableColumn id="5" xr3:uid="{1B59C7D4-FF1F-479F-80A6-A774B2765F2C}" name="Year" dataDxfId="281"/>
    <tableColumn id="3" xr3:uid="{D78AC78E-312E-452D-B47B-F43A23AE25CB}" name="Trans. Type" dataDxfId="280" totalsRowDxfId="279"/>
    <tableColumn id="7" xr3:uid="{0F78FA94-986B-4DCB-9899-AF0E343C7DA5}" name="Fix/Flex" dataDxfId="278" totalsRowDxfId="277"/>
    <tableColumn id="2" xr3:uid="{48F04FF4-C584-4D98-B9F2-9902BF906A6C}" name="PRIO" dataDxfId="276" totalsRowDxfId="275"/>
    <tableColumn id="23" xr3:uid="{8E495F35-6BB9-4B06-97F4-D1F0FD36B24A}" name="acct" dataDxfId="274" totalsRowDxfId="273"/>
    <tableColumn id="1" xr3:uid="{9B112C4F-889D-4390-8208-1F440908BD45}" name="item" dataDxfId="272" totalsRowDxfId="271"/>
    <tableColumn id="8" xr3:uid="{7B923235-868B-4C8A-97AB-CC83F5E0FA03}" name="item_acct_name" dataDxfId="270" totalsRowDxfId="269"/>
    <tableColumn id="10" xr3:uid="{98E384BF-9FA1-4536-AD11-289FAD90020F}" name="Details"/>
    <tableColumn id="9" xr3:uid="{B06CB925-4EED-424D-8845-740165359D8A}" name="Status" dataDxfId="268"/>
    <tableColumn id="11" xr3:uid="{F1333D98-E15C-4588-88B3-2B993B69C74D}" name="Jan" totalsRowFunction="sum" dataDxfId="267" totalsRowDxfId="266"/>
    <tableColumn id="12" xr3:uid="{F0144F79-FC41-4B02-BDC1-8000B6005603}" name="Feb" totalsRowFunction="sum" dataDxfId="265" totalsRowDxfId="264"/>
    <tableColumn id="13" xr3:uid="{F8AFF662-DF19-4E07-BFF8-AB03A63EA338}" name="Mar" totalsRowFunction="sum" dataDxfId="263" totalsRowDxfId="262"/>
    <tableColumn id="14" xr3:uid="{3F78902D-72D9-4CB1-8B04-23EDD0970899}" name="Apr" totalsRowFunction="sum" dataDxfId="261" totalsRowDxfId="260"/>
    <tableColumn id="15" xr3:uid="{6D4612BB-B864-48A2-BECD-1B1FA065D6FE}" name="May" totalsRowFunction="sum" dataDxfId="259" totalsRowDxfId="258"/>
    <tableColumn id="16" xr3:uid="{F5546DED-D64E-4EA3-B389-12F746992915}" name="Jun" totalsRowFunction="sum" dataDxfId="257" totalsRowDxfId="256"/>
    <tableColumn id="17" xr3:uid="{87A904BF-4A1F-4315-AEDE-7E055258D05D}" name="Jul" totalsRowFunction="sum" dataDxfId="255" totalsRowDxfId="254"/>
    <tableColumn id="18" xr3:uid="{27AC46C8-E4F6-445F-B5E8-769F1103C485}" name="Aug" totalsRowFunction="sum" dataDxfId="253" totalsRowDxfId="252"/>
    <tableColumn id="19" xr3:uid="{F2DB3F3C-FA4C-4656-9B90-2E2836C425AC}" name="Sep" totalsRowFunction="sum" dataDxfId="251" totalsRowDxfId="250"/>
    <tableColumn id="20" xr3:uid="{ECE76E8E-A8E8-4517-82F0-393191C9DCD4}" name="Oct" totalsRowFunction="sum" dataDxfId="249" totalsRowDxfId="248"/>
    <tableColumn id="21" xr3:uid="{6E2532E8-3C0D-429D-B974-B2E70EB3F3EF}" name="Nov" totalsRowFunction="sum" dataDxfId="247" totalsRowDxfId="246"/>
    <tableColumn id="22" xr3:uid="{5D29538E-0740-4280-B860-AEB645129BDE}" name="Dec" totalsRowFunction="sum" dataDxfId="245" totalsRowDxfId="244"/>
    <tableColumn id="4" xr3:uid="{0141BC26-2E69-4870-9545-6C12C2700988}" name="Total" totalsRowFunction="sum" dataDxfId="243" totalsRowDxfId="242">
      <calculatedColumnFormula>SUM($M20:$X20)</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5CA464-5D04-4E61-831B-55F4B9B1E5A8}" name="TrialBalance" displayName="TrialBalance" ref="H7:R59" totalsRowCount="1">
  <autoFilter ref="H7:R58" xr:uid="{755CA464-5D04-4E61-831B-55F4B9B1E5A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xmlns:xlrd2="http://schemas.microsoft.com/office/spreadsheetml/2017/richdata2" ref="H8:R58">
    <sortCondition ref="J7:J58"/>
  </sortState>
  <tableColumns count="11">
    <tableColumn id="6" xr3:uid="{1C6905AB-4F34-480A-BBD8-0AB746FDF109}" name="Type" dataDxfId="241">
      <calculatedColumnFormula>_xlfn.XLOOKUP(TrialBalance[[#This Row],[AccountName]],acct_ref[AccountName],acct_ref[AcctType],"Missing",0)</calculatedColumnFormula>
    </tableColumn>
    <tableColumn id="1" xr3:uid="{5B8C2390-A53B-4228-BBAB-1590EE2020EA}" name="AccountName" totalsRowLabel="Total" dataDxfId="240">
      <calculatedColumnFormula>_xlfn.XLOOKUP(TrialBalance[[#This Row],[AcctNo]],acct_ref[AcctNo],acct_ref[AccountName],"Error/Missing Info",0)</calculatedColumnFormula>
    </tableColumn>
    <tableColumn id="4" xr3:uid="{6FB70A5D-1807-42F9-AECC-56E0FFB81997}" name="AcctNo" dataDxfId="239" totalsRowDxfId="238"/>
    <tableColumn id="5" xr3:uid="{E6AA6907-ED83-4074-9B36-2DCA1E18C6A6}" name="BalanceType" dataDxfId="237" totalsRowDxfId="236">
      <calculatedColumnFormula>_xlfn.XLOOKUP(TrialBalance[[#This Row],[AcctNo]],acct_ref[AcctNo],acct_ref[BalanceID],"",0)</calculatedColumnFormula>
    </tableColumn>
    <tableColumn id="2" xr3:uid="{7BB65A28-1A16-4F11-9CAB-D715EC155D56}" name="Debit Balance" totalsRowFunction="sum" dataDxfId="235">
      <calculatedColumnFormula>IF(TrialBalance[[#This Row],[BalanceType]]=1,_xlfn.XLOOKUP(TrialBalance[[#This Row],[AcctNo]],BalanceRef[AccountNo.],BalanceRef[Balance]),"")</calculatedColumnFormula>
    </tableColumn>
    <tableColumn id="3" xr3:uid="{82AB90C7-C685-45C6-B3F7-DDFDF0921F7D}" name="Credit Balance" totalsRowFunction="sum" dataDxfId="234">
      <calculatedColumnFormula>IF(TrialBalance[[#This Row],[BalanceType]]=2,_xlfn.XLOOKUP(TrialBalance[[#This Row],[AcctNo]],BalanceRef[AccountNo.],BalanceRef[Balance]),"")</calculatedColumnFormula>
    </tableColumn>
    <tableColumn id="7" xr3:uid="{01669426-DEB6-4B19-9DFC-FC27C63ECB9C}" name="IncStat Debit Balance" totalsRowFunction="sum" dataDxfId="233"/>
    <tableColumn id="8" xr3:uid="{C0D23905-17DE-4631-9C36-49AD53B08773}" name="IncStat Credit Balance" totalsRowFunction="sum" dataDxfId="232"/>
    <tableColumn id="10" xr3:uid="{27BF360E-1FCF-459F-8B99-8C0B656252B6}" name="Aggreation SOY"/>
    <tableColumn id="9" xr3:uid="{7B065415-7C03-414D-9B4C-05B4D28F69BA}" name="Aggreation Current" dataDxfId="231"/>
    <tableColumn id="11" xr3:uid="{9E27A29B-E4F2-43AD-BEB4-01533DC9B25B}" name="Aggreation EOY" dataDxfId="230"/>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5BFE60-E5F6-4B22-BE60-C8C45409FFCE}" name="TrialBalanceTotals" displayName="TrialBalanceTotals" ref="B4:C6" totalsRowShown="0">
  <autoFilter ref="B4:C6" xr:uid="{505BFE60-E5F6-4B22-BE60-C8C45409FFCE}">
    <filterColumn colId="0" hiddenButton="1"/>
    <filterColumn colId="1" hiddenButton="1"/>
  </autoFilter>
  <tableColumns count="2">
    <tableColumn id="1" xr3:uid="{BC735099-6714-41B5-B8DA-2E2B80927013}" name="Balance"/>
    <tableColumn id="2" xr3:uid="{3C0E0A01-D604-484B-BDD1-60751D9B15CD}" name="Amount" dataDxfId="22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8E21C40-68B0-4CFA-8740-990AC0524BDE}" name="Lia_Plan" displayName="Lia_Plan" ref="C7:X8" headerRowDxfId="228">
  <autoFilter ref="C7:X8" xr:uid="{9DA86ACD-4198-4961-9ADE-2DD19BD9CD91}"/>
  <sortState xmlns:xlrd2="http://schemas.microsoft.com/office/spreadsheetml/2017/richdata2" ref="C8:X8">
    <sortCondition ref="H7:H8"/>
  </sortState>
  <tableColumns count="22">
    <tableColumn id="6" xr3:uid="{22365522-CFE1-417A-8532-2C475FDDD878}" name="Source" dataDxfId="227"/>
    <tableColumn id="5" xr3:uid="{B387CC79-87F0-4375-A611-D4CD1566F344}" name="Year" dataDxfId="226"/>
    <tableColumn id="3" xr3:uid="{3962521D-BD00-436B-A603-622EFD1C7B10}" name="Trans. Type" dataDxfId="225" totalsRowDxfId="224">
      <calculatedColumnFormula>_xlfn.XLOOKUP(Lia_Plan[[#This Row],[Item]],item_ref[Item],item_ref[Trans_Type],"missing info",0)</calculatedColumnFormula>
    </tableColumn>
    <tableColumn id="7" xr3:uid="{9F78C0EA-D3CA-42F9-94B4-FBEA420A575B}" name="Fix/Flex" dataDxfId="223" totalsRowDxfId="222">
      <calculatedColumnFormula>_xlfn.XLOOKUP(Lia_Plan[[#This Row],[Item]],item_ref[Item],item_ref[Fix/Flex],"missing info",0)</calculatedColumnFormula>
    </tableColumn>
    <tableColumn id="2" xr3:uid="{181D1E0C-1815-4744-985E-A7BFD529263C}" name="PRIO" dataDxfId="221" totalsRowDxfId="220">
      <calculatedColumnFormula>_xlfn.XLOOKUP(Lia_Plan[[#This Row],[Item]],item_ref[Item],item_ref[PRIO],"missing info",0)</calculatedColumnFormula>
    </tableColumn>
    <tableColumn id="8" xr3:uid="{89C02408-2D59-4A17-BF19-0B13C65D2BD8}" name="Account" dataDxfId="219" totalsRowDxfId="218">
      <calculatedColumnFormula>_xlfn.XLOOKUP(Lia_Plan[[#This Row],[Item]],item_ref[Item],item_ref[Account],"missing info",0)</calculatedColumnFormula>
    </tableColumn>
    <tableColumn id="1" xr3:uid="{ECD1D196-2A86-4CBA-8F23-864D444345D1}" name="Item" dataDxfId="217"/>
    <tableColumn id="10" xr3:uid="{2DE50560-D6CD-4459-BB10-658210F277F7}" name="Details"/>
    <tableColumn id="9" xr3:uid="{A09654E5-610B-431F-9B3F-01BD9A4B1D39}" name="Status" dataDxfId="216"/>
    <tableColumn id="11" xr3:uid="{8BFC71C3-E0EB-4D12-80C0-4280FB507B93}" name="Jan" totalsRowFunction="sum" dataDxfId="215" totalsRowDxfId="214"/>
    <tableColumn id="12" xr3:uid="{63C24377-51F6-41B5-A426-DEAF4768DD86}" name="Feb" totalsRowFunction="sum" dataDxfId="213" totalsRowDxfId="212"/>
    <tableColumn id="13" xr3:uid="{DEA68CA1-BEE6-463B-BE11-37E35622DCAF}" name="Mar" totalsRowFunction="sum" dataDxfId="211" totalsRowDxfId="210"/>
    <tableColumn id="14" xr3:uid="{9E075C6E-62A4-49DD-B0BA-5F9E2B4ED894}" name="Apr" totalsRowFunction="sum" dataDxfId="209" totalsRowDxfId="208"/>
    <tableColumn id="15" xr3:uid="{578EB5F4-D531-47B9-BA99-E25D9E8C4F11}" name="May" totalsRowFunction="sum" dataDxfId="207" totalsRowDxfId="206"/>
    <tableColumn id="16" xr3:uid="{F0B694D3-AD44-4851-9172-C24785D877FF}" name="Jun" totalsRowFunction="sum" dataDxfId="205" totalsRowDxfId="204"/>
    <tableColumn id="17" xr3:uid="{69F08F14-7BF5-40BB-AA75-75CA5A81F95C}" name="Jul" totalsRowFunction="sum" dataDxfId="203" totalsRowDxfId="202"/>
    <tableColumn id="18" xr3:uid="{D0E31F6C-7FB7-4F83-A438-222C112E8928}" name="Aug" totalsRowFunction="sum" dataDxfId="201" totalsRowDxfId="200"/>
    <tableColumn id="19" xr3:uid="{737C2FDF-20CE-4E18-AF08-811C5BD3217A}" name="Sep" totalsRowFunction="sum" dataDxfId="199" totalsRowDxfId="198"/>
    <tableColumn id="20" xr3:uid="{30338F61-C680-45BB-9124-1181467AA1B4}" name="Oct" totalsRowFunction="sum" dataDxfId="197" totalsRowDxfId="196"/>
    <tableColumn id="21" xr3:uid="{7DCA328C-5894-47E9-8715-DB679DD5EE9B}" name="Nov" totalsRowFunction="sum" dataDxfId="195" totalsRowDxfId="194"/>
    <tableColumn id="22" xr3:uid="{C7A9903C-6799-4525-9719-03124B0A69ED}" name="Dec" totalsRowFunction="sum" dataDxfId="193" totalsRowDxfId="192"/>
    <tableColumn id="4" xr3:uid="{87B4CE2D-42E3-415C-8EBE-030545998465}" name="Total" totalsRowFunction="sum" dataDxfId="191" totalsRowDxfId="190">
      <calculatedColumnFormula>SUM(Lia_Plan[[#This Row],[Jan]:[Dec]])</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6DE9F0-C9C4-42EE-938D-A1E9642B62EA}" name="Inc_Plan" displayName="Inc_Plan" ref="C11:X14" headerRowDxfId="189">
  <autoFilter ref="C11:X14" xr:uid="{9DA86ACD-4198-4961-9ADE-2DD19BD9CD91}"/>
  <sortState xmlns:xlrd2="http://schemas.microsoft.com/office/spreadsheetml/2017/richdata2" ref="C12:X12">
    <sortCondition ref="H11:H12"/>
  </sortState>
  <tableColumns count="22">
    <tableColumn id="6" xr3:uid="{8003A3C9-C9E8-4E8F-AC12-E23FB85F424D}" name="Source" dataDxfId="188"/>
    <tableColumn id="5" xr3:uid="{07D7E04F-902A-4DAF-B570-007452056F2A}" name="Year" dataDxfId="187"/>
    <tableColumn id="3" xr3:uid="{57C20710-76E5-4D29-BCAA-65DD890301D9}" name="Trans. Type" dataDxfId="186" totalsRowDxfId="185"/>
    <tableColumn id="7" xr3:uid="{B2B40064-A75B-4BE8-8A31-3AE1BEA32BAB}" name="Fix/Flex" dataDxfId="184" totalsRowDxfId="183"/>
    <tableColumn id="2" xr3:uid="{D684A999-0136-4A0E-8DCE-7A052D3C62A9}" name="PRIO" dataDxfId="182" totalsRowDxfId="181"/>
    <tableColumn id="8" xr3:uid="{E32CE2CD-CFCA-4F94-9F85-950781FF12F4}" name="Account" dataDxfId="180" totalsRowDxfId="179">
      <calculatedColumnFormula>_xlfn.XLOOKUP(Inc_Plan[[#This Row],[Item]],item_ref[Item],item_ref[Account],"data missing",0)</calculatedColumnFormula>
    </tableColumn>
    <tableColumn id="1" xr3:uid="{43C027CB-C5BB-46DE-A334-C185661CFC15}" name="Item" dataDxfId="178"/>
    <tableColumn id="10" xr3:uid="{6CC7CB27-C7B4-45E1-9D06-22B3DE68FCD3}" name="Details"/>
    <tableColumn id="9" xr3:uid="{0B1AACD2-E552-469E-B570-A43D38DCD4DF}" name="Status" dataDxfId="177"/>
    <tableColumn id="11" xr3:uid="{EF9791A7-AFC8-4774-B03B-B15FF79468A3}" name="Jan" totalsRowFunction="sum" dataDxfId="176" totalsRowDxfId="175"/>
    <tableColumn id="12" xr3:uid="{AEB33FEB-FDD3-4559-A152-C5AEC659DE9A}" name="Feb" totalsRowFunction="sum" dataDxfId="174" totalsRowDxfId="173"/>
    <tableColumn id="13" xr3:uid="{3BA1330F-569F-4247-83F8-DF40DB675BB6}" name="Mar" totalsRowFunction="sum" dataDxfId="172" totalsRowDxfId="171"/>
    <tableColumn id="14" xr3:uid="{4128A560-A713-4AC0-8684-198D1B7727E0}" name="Apr" totalsRowFunction="sum" dataDxfId="170" totalsRowDxfId="169"/>
    <tableColumn id="15" xr3:uid="{E3ABBAC6-249A-481D-AC80-5935B8E27802}" name="May" totalsRowFunction="sum" dataDxfId="168" totalsRowDxfId="167"/>
    <tableColumn id="16" xr3:uid="{94327942-1003-4E90-A122-B25BDB6ECFCF}" name="Jun" totalsRowFunction="sum" dataDxfId="166" totalsRowDxfId="165"/>
    <tableColumn id="17" xr3:uid="{6075974E-C0A9-4894-A65B-6DD0DD6045D4}" name="Jul" totalsRowFunction="sum" dataDxfId="164" totalsRowDxfId="163"/>
    <tableColumn id="18" xr3:uid="{D6FEEBCA-1AA4-497B-BDAB-C913228A1C72}" name="Aug" totalsRowFunction="sum" dataDxfId="162" totalsRowDxfId="161"/>
    <tableColumn id="19" xr3:uid="{7ED67003-C083-41C3-815F-E8E1E9397A0D}" name="Sep" totalsRowFunction="sum" dataDxfId="160" totalsRowDxfId="159"/>
    <tableColumn id="20" xr3:uid="{96D2EF44-4286-40FC-AE11-E46417EFB134}" name="Oct" totalsRowFunction="sum" dataDxfId="158" totalsRowDxfId="157"/>
    <tableColumn id="21" xr3:uid="{6DC68B16-81FA-42EC-9645-7FDD78E5D596}" name="Nov" totalsRowFunction="sum" dataDxfId="156" totalsRowDxfId="155"/>
    <tableColumn id="22" xr3:uid="{3578FF24-37D8-4A1D-A99A-4124776D1A82}" name="Dec" totalsRowFunction="sum" dataDxfId="154" totalsRowDxfId="153"/>
    <tableColumn id="4" xr3:uid="{6F50FB88-97C5-4B80-AC3E-030CC792EDE4}" name="Total" totalsRowFunction="sum" dataDxfId="152" totalsRowDxfId="151">
      <calculatedColumnFormula>SUM(Inc_Plan[[#This Row],[Jan]:[Dec]])</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76F92B9-2310-4C74-A4A3-43C944C3D7ED}" name="Exp_Plan" displayName="Exp_Plan" ref="C11:X47" headerRowDxfId="150">
  <autoFilter ref="C11:X47" xr:uid="{9DA86ACD-4198-4961-9ADE-2DD19BD9CD91}"/>
  <sortState xmlns:xlrd2="http://schemas.microsoft.com/office/spreadsheetml/2017/richdata2" ref="C12:X47">
    <sortCondition ref="H11:H47"/>
  </sortState>
  <tableColumns count="22">
    <tableColumn id="6" xr3:uid="{D447937C-3589-4684-B04D-D4A29713FB71}" name="Source" dataDxfId="149"/>
    <tableColumn id="5" xr3:uid="{BFCC1C7B-7100-4573-8012-364B2ECBFD0E}" name="Year" dataDxfId="148"/>
    <tableColumn id="3" xr3:uid="{B0F171C3-E9AA-47F2-8FB7-E57123DCF7F1}" name="Trans. Type" dataDxfId="147" totalsRowDxfId="146">
      <calculatedColumnFormula>_xlfn.XLOOKUP(Exp_Plan[[#This Row],[Item]],item_ref[Item],item_ref[Trans_Type],"missing info",0)</calculatedColumnFormula>
    </tableColumn>
    <tableColumn id="7" xr3:uid="{4CC66FBB-B883-4D67-8001-8DD17DED4DDD}" name="Fix/Flex" dataDxfId="145" totalsRowDxfId="144">
      <calculatedColumnFormula>_xlfn.XLOOKUP(Exp_Plan[[#This Row],[Item]],item_ref[Item],item_ref[Fix/Flex],"missing info",0)</calculatedColumnFormula>
    </tableColumn>
    <tableColumn id="2" xr3:uid="{E91A52F5-B7AD-4ED7-BD5D-922ED797668A}" name="PRIO" dataDxfId="143" totalsRowDxfId="142">
      <calculatedColumnFormula>_xlfn.XLOOKUP(Exp_Plan[[#This Row],[Item]],item_ref[Item],item_ref[PRIO],"missing info",0)</calculatedColumnFormula>
    </tableColumn>
    <tableColumn id="8" xr3:uid="{E0C97AD0-EDE1-48E8-86C0-4F7FE8B911AD}" name="Account" dataDxfId="141" totalsRowDxfId="140">
      <calculatedColumnFormula>_xlfn.XLOOKUP(Exp_Plan[[#This Row],[Item]],item_ref[Item],item_ref[Account],"missing info",0)</calculatedColumnFormula>
    </tableColumn>
    <tableColumn id="1" xr3:uid="{393F92FE-E412-43A9-BE33-327C03443785}" name="Item" dataDxfId="139"/>
    <tableColumn id="10" xr3:uid="{7626DAFC-6F5A-4F85-835B-3B874C4F41B7}" name="Details"/>
    <tableColumn id="9" xr3:uid="{EB0BE1E1-9728-40A6-9E13-65557D1F4E63}" name="Status" dataDxfId="138"/>
    <tableColumn id="11" xr3:uid="{CE7288AE-4E73-4FE4-9C85-717614FDD602}" name="Jan" totalsRowFunction="sum" dataDxfId="137" totalsRowDxfId="136"/>
    <tableColumn id="12" xr3:uid="{93DAF30E-52FB-46D5-AC0C-60DFD7337045}" name="Feb" totalsRowFunction="sum" dataDxfId="135" totalsRowDxfId="134"/>
    <tableColumn id="13" xr3:uid="{2B6B33D5-FBBB-409A-8E6C-6B59A5C1C2D2}" name="Mar" totalsRowFunction="sum" dataDxfId="133" totalsRowDxfId="132"/>
    <tableColumn id="14" xr3:uid="{E61E1719-A363-4B84-AD81-1895392CF147}" name="Apr" totalsRowFunction="sum" dataDxfId="131" totalsRowDxfId="130"/>
    <tableColumn id="15" xr3:uid="{2EF844D0-34B3-438B-8A6C-E988D6876D1D}" name="May" totalsRowFunction="sum" dataDxfId="129" totalsRowDxfId="128"/>
    <tableColumn id="16" xr3:uid="{577EF9A7-061C-4530-A018-252E19297788}" name="Jun" totalsRowFunction="sum" dataDxfId="127" totalsRowDxfId="126"/>
    <tableColumn id="17" xr3:uid="{0E863726-B8DF-4CCC-AC54-88EF7BB732DB}" name="Jul" totalsRowFunction="sum" dataDxfId="125" totalsRowDxfId="124"/>
    <tableColumn id="18" xr3:uid="{1D210298-A933-4145-ACC6-76724E5F8E55}" name="Aug" totalsRowFunction="sum" dataDxfId="123" totalsRowDxfId="122"/>
    <tableColumn id="19" xr3:uid="{FE4D7200-82D3-4BDD-8055-6CED7CDC2A1C}" name="Sep" totalsRowFunction="sum" dataDxfId="121" totalsRowDxfId="120"/>
    <tableColumn id="20" xr3:uid="{C599007F-9DAD-4D9A-B5DE-0B0F7CDBF85B}" name="Oct" totalsRowFunction="sum" dataDxfId="119" totalsRowDxfId="118"/>
    <tableColumn id="21" xr3:uid="{FE2E388B-B3D8-456F-B0ED-3A345F782CC9}" name="Nov" totalsRowFunction="sum" dataDxfId="117" totalsRowDxfId="116"/>
    <tableColumn id="22" xr3:uid="{2B2DF2FC-2781-433D-915E-A1C746AD60BD}" name="Dec" totalsRowFunction="sum" dataDxfId="115" totalsRowDxfId="114"/>
    <tableColumn id="4" xr3:uid="{C8F3F2C2-0540-478D-BF4E-1C73D47264C4}" name="Total" totalsRowFunction="sum" dataDxfId="113" totalsRowDxfId="112">
      <calculatedColumnFormula>SUM(Exp_Plan[[#This Row],[Jan]:[Dec]])</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CAD9219-2C5C-4F4D-9DB7-9FA3B2799287}" name="Shop_List" displayName="Shop_List" ref="E11:Z19" headerRowDxfId="111">
  <autoFilter ref="E11:Z19" xr:uid="{9DA86ACD-4198-4961-9ADE-2DD19BD9CD9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6" xr3:uid="{FD5EA443-33AE-4867-BD3B-8ECE223985F7}" name="Source" dataDxfId="110"/>
    <tableColumn id="9" xr3:uid="{76D18E85-E040-400C-9E6A-330FA4B13875}" name="Year" dataDxfId="109"/>
    <tableColumn id="3" xr3:uid="{A46C792B-6776-403A-B082-B62BBB2D45E3}" name="Trans. Type" dataDxfId="108" totalsRowDxfId="107"/>
    <tableColumn id="2" xr3:uid="{5F774F30-EC92-448E-84FE-6053513C3EF5}" name="Fix/Flex" dataDxfId="106" totalsRowDxfId="105"/>
    <tableColumn id="7" xr3:uid="{62CE078F-FDB7-4607-B8F6-2AD451075857}" name="Prio" dataDxfId="104" totalsRowDxfId="103"/>
    <tableColumn id="1" xr3:uid="{1E4B8909-B18C-40E6-B142-E7B37B08DB10}" name="Account" dataDxfId="102">
      <calculatedColumnFormula>_xlfn.XLOOKUP(Shop_List[[#This Row],[Item]],item_ref[Item],item_ref[Account],"missing account",0)</calculatedColumnFormula>
    </tableColumn>
    <tableColumn id="8" xr3:uid="{4A75A35B-6122-4A90-80DC-145C66CCF886}" name="Item"/>
    <tableColumn id="5" xr3:uid="{E969D747-D1A3-4BBE-9DCB-E2B1ED129BDF}" name="Details"/>
    <tableColumn id="10" xr3:uid="{67243C82-75F0-4D9A-882A-5F79DD4F6AE9}" name="Status"/>
    <tableColumn id="11" xr3:uid="{EC54F03A-F231-469F-9381-EE1F51AB4968}" name="Jan" totalsRowFunction="sum" dataDxfId="101" totalsRowDxfId="100"/>
    <tableColumn id="12" xr3:uid="{A18154E1-7800-4085-A51D-80AFF24806D7}" name="Feb" totalsRowFunction="sum" dataDxfId="99" totalsRowDxfId="98"/>
    <tableColumn id="13" xr3:uid="{080F2D52-267E-419D-BA81-7E7B425D6A54}" name="Mar" totalsRowFunction="sum" dataDxfId="97" totalsRowDxfId="96"/>
    <tableColumn id="14" xr3:uid="{D544C65A-C45D-4D1E-A10D-5A65BD66DBB9}" name="Apr" totalsRowFunction="sum" dataDxfId="95" totalsRowDxfId="94"/>
    <tableColumn id="15" xr3:uid="{8E72A7D9-D709-44EE-A811-1F9E0979795B}" name="May" totalsRowFunction="sum" dataDxfId="93" totalsRowDxfId="92"/>
    <tableColumn id="16" xr3:uid="{3D071F92-D672-4FF1-B23E-74B565593C07}" name="Jun" totalsRowFunction="sum" dataDxfId="91" totalsRowDxfId="90"/>
    <tableColumn id="17" xr3:uid="{949772B1-D4AF-4B27-9319-73B00525AEAD}" name="Jul" totalsRowFunction="sum" dataDxfId="89" totalsRowDxfId="88"/>
    <tableColumn id="18" xr3:uid="{A0BD91A6-4A3C-4208-9F98-0C339C560A55}" name="Aug" totalsRowFunction="sum" dataDxfId="87" totalsRowDxfId="86"/>
    <tableColumn id="19" xr3:uid="{83E0F826-6BA6-468F-AAD3-DEE2C3A70E49}" name="Sep" totalsRowFunction="sum" dataDxfId="85" totalsRowDxfId="84"/>
    <tableColumn id="20" xr3:uid="{C3C22CA3-A2EA-4118-9327-A415A59DF950}" name="Oct" totalsRowFunction="sum" dataDxfId="83" totalsRowDxfId="82"/>
    <tableColumn id="21" xr3:uid="{1523855E-B37D-46CE-A6B8-D89FFDF76297}" name="Nov" totalsRowFunction="sum" dataDxfId="81" totalsRowDxfId="80"/>
    <tableColumn id="22" xr3:uid="{D789E7C7-EB5B-406B-92EE-3849A3D0FA52}" name="Dec" totalsRowFunction="sum" dataDxfId="79" totalsRowDxfId="78"/>
    <tableColumn id="4" xr3:uid="{B1FCAE65-206B-450E-98FE-CCADDE535AB7}" name="Total" totalsRowFunction="sum" dataDxfId="77" totalsRowDxfId="76">
      <calculatedColumnFormula>SUM(Shop_List[[#This Row],[Jan]:[Dec]])</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884208-D925-4A66-87DD-6BADD3D2EC80}" name="acct_ref" displayName="acct_ref" ref="C11:H62" totalsRowShown="0">
  <autoFilter ref="C11:H62" xr:uid="{57884208-D925-4A66-87DD-6BADD3D2EC80}">
    <filterColumn colId="0" hiddenButton="1"/>
    <filterColumn colId="1" hiddenButton="1"/>
    <filterColumn colId="2" hiddenButton="1"/>
    <filterColumn colId="3" hiddenButton="1"/>
    <filterColumn colId="4" hiddenButton="1"/>
    <filterColumn colId="5" hiddenButton="1"/>
  </autoFilter>
  <sortState xmlns:xlrd2="http://schemas.microsoft.com/office/spreadsheetml/2017/richdata2" ref="C12:F60">
    <sortCondition ref="E11:E60"/>
  </sortState>
  <tableColumns count="6">
    <tableColumn id="1" xr3:uid="{A9D2BD5A-2768-4962-9A26-500E63117D38}" name="AccountName"/>
    <tableColumn id="2" xr3:uid="{1BF93D25-8E5E-4B99-A9DA-98FE1CD1CA3B}" name="AcctType"/>
    <tableColumn id="3" xr3:uid="{3B35C801-7386-4393-A423-EF08E525C054}" name="AcctNo"/>
    <tableColumn id="4" xr3:uid="{9359379A-3045-4388-A921-85B5AA778C99}" name="BalanceID" dataDxfId="75">
      <calculatedColumnFormula>_xlfn.XLOOKUP(acct_ref[[#This Row],[AcctType]],acct_type_ref[AcctType],acct_type_ref[BalanceID],"Check Spelling",0)</calculatedColumnFormula>
    </tableColumn>
    <tableColumn id="5" xr3:uid="{AC1598AB-D0D6-401A-A403-049DDC559D82}" name="AggActDash"/>
    <tableColumn id="6" xr3:uid="{E7C3A883-778B-4533-8AFB-83DC84632B49}" name="AggActFinState"/>
  </tableColumns>
  <tableStyleInfo name="TableStyleMedium2"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0F3BAB-7365-4A36-9E1F-0914E369A5A6}" name="acct_type_ref" displayName="acct_type_ref" ref="J11:K17" totalsRowShown="0">
  <autoFilter ref="J11:K17" xr:uid="{9A0F3BAB-7365-4A36-9E1F-0914E369A5A6}"/>
  <tableColumns count="2">
    <tableColumn id="1" xr3:uid="{B7F78F3F-2C78-422C-9C0E-1762566718F6}" name="AcctType"/>
    <tableColumn id="2" xr3:uid="{2351561B-26E8-4CF1-BEE3-DCEF65D6BD4F}" name="BalanceID"/>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DFB564-3487-4BB1-87E9-984F436D6DC9}" name="IndexSeq" displayName="IndexSeq" ref="A1:A101" totalsRowShown="0">
  <autoFilter ref="A1:A101" xr:uid="{43DFB564-3487-4BB1-87E9-984F436D6DC9}"/>
  <tableColumns count="1">
    <tableColumn id="1" xr3:uid="{44816514-4FB4-4AAC-BF39-609553022917}" name="Number"/>
  </tableColumns>
  <tableStyleInfo name="TableStyleMedium2"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CF60C824-530C-48E4-A051-C3ADB3F6F3E0}" name="colour_ref" displayName="colour_ref" ref="J63:K83" totalsRowShown="0">
  <autoFilter ref="J63:K83" xr:uid="{CF60C824-530C-48E4-A051-C3ADB3F6F3E0}"/>
  <tableColumns count="2">
    <tableColumn id="1" xr3:uid="{D8BB233B-2102-4E26-A1BD-018343E1C51C}" name="Tab"/>
    <tableColumn id="2" xr3:uid="{CD046F79-9D8E-4719-AB81-D8BD5FE598F9}" name="Color &amp; Code"/>
  </tableColumns>
  <tableStyleInfo name="TableStyleMedium2"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0F9E868-C678-49E9-98C3-182947FF181A}" name="item_ref" displayName="item_ref" ref="N11:W141" totalsRowShown="0">
  <autoFilter ref="N11:W141" xr:uid="{60F9E868-C678-49E9-98C3-182947FF181A}"/>
  <sortState xmlns:xlrd2="http://schemas.microsoft.com/office/spreadsheetml/2017/richdata2" ref="N12:W141">
    <sortCondition ref="O11:O141"/>
  </sortState>
  <tableColumns count="10">
    <tableColumn id="1" xr3:uid="{27F44F43-457E-4B90-9723-5AE8D202E222}" name="Item" dataDxfId="74"/>
    <tableColumn id="6" xr3:uid="{39035B4A-5844-493E-8844-C315861C9EFA}" name="Account" dataDxfId="73"/>
    <tableColumn id="8" xr3:uid="{98F3B708-A51C-4714-A912-36290A6DE5E4}" name="AcctNo" dataDxfId="72">
      <calculatedColumnFormula>_xlfn.XLOOKUP(item_ref[[#This Row],[Account]],acct_ref[AccountName],acct_ref[AcctNo],"missing",0)</calculatedColumnFormula>
    </tableColumn>
    <tableColumn id="11" xr3:uid="{BB0F5062-7F43-4D7C-BB34-0A6F36014621}" name="Status"/>
    <tableColumn id="9" xr3:uid="{631335EC-137C-4BD2-9521-8B8EF41CA094}" name="AggItemID"/>
    <tableColumn id="5" xr3:uid="{B020F2AB-5ABA-495B-98F4-FBB88461D9B8}" name="Trans_Type" dataDxfId="71"/>
    <tableColumn id="4" xr3:uid="{02890899-D453-410A-B1C5-96BADD4A08E3}" name="Fix/Flex" dataDxfId="70"/>
    <tableColumn id="3" xr3:uid="{68464970-55CA-451C-AB68-77E0E8260D52}" name="PRIO" dataDxfId="69"/>
    <tableColumn id="2" xr3:uid="{839A7D39-A31D-4DF1-A735-F9866E4A33E7}" name="DesID_1" dataDxfId="68">
      <calculatedColumnFormula>_xlfn.CONCAT(item_ref[[#This Row],[Trans_Type]],item_ref[[#This Row],[Fix/Flex]],item_ref[[#This Row],[PRIO]],"-")</calculatedColumnFormula>
    </tableColumn>
    <tableColumn id="7" xr3:uid="{2CC23797-7832-47D8-83A0-2B50BFB7312D}" name="DesID_Full" dataDxfId="67">
      <calculatedColumnFormula>_xlfn.CONCAT(item_ref[[#This Row],[DesID_1]])</calculatedColumnFormula>
    </tableColumn>
  </tableColumns>
  <tableStyleInfo name="TableStyleMedium2" showFirstColumn="0" showLastColumn="0" showRowStripes="0"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78D1A44-51E2-493E-96C3-76D3DEDE83F2}" name="agg_acct_dash" displayName="agg_acct_dash" ref="J21:L36" totalsRowShown="0">
  <autoFilter ref="J21:L36" xr:uid="{278D1A44-51E2-493E-96C3-76D3DEDE83F2}"/>
  <sortState xmlns:xlrd2="http://schemas.microsoft.com/office/spreadsheetml/2017/richdata2" ref="J22:K34">
    <sortCondition ref="K21:K34"/>
  </sortState>
  <tableColumns count="3">
    <tableColumn id="1" xr3:uid="{40002F30-B3A8-4BB6-AC47-8EA0DE672085}" name="AggAcctName"/>
    <tableColumn id="2" xr3:uid="{F2E05416-B3D3-405B-9456-2A97C9E799F6}" name="AcctType"/>
    <tableColumn id="3" xr3:uid="{9449B48D-7E00-480C-95E2-59B36B1763B1}" name="ID"/>
  </tableColumns>
  <tableStyleInfo name="TableStyleMedium2" showFirstColumn="0" showLastColumn="0" showRowStripes="0"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313EFF-8CAB-4FF0-A170-98BE4BC9ED74}" name="agg_acct_fin" displayName="agg_acct_fin" ref="J44:K56" totalsRowShown="0">
  <autoFilter ref="J44:K56" xr:uid="{AF313EFF-8CAB-4FF0-A170-98BE4BC9ED74}"/>
  <tableColumns count="2">
    <tableColumn id="1" xr3:uid="{53B99EAE-DF54-481B-BB45-621ECB3C934C}" name="Agg. Acct Name"/>
    <tableColumn id="2" xr3:uid="{21CD472F-4B91-4E29-98E3-0FD30743F34D}" name="ID"/>
  </tableColumns>
  <tableStyleInfo name="TableStyleMedium2" showFirstColumn="0" showLastColumn="0" showRowStripes="0"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5875FC0-3087-4A2B-89F2-4C9F2E1FD8E0}" name="AggItems" displayName="AggItems" ref="Y13:Z15" totalsRowShown="0">
  <autoFilter ref="Y13:Z15" xr:uid="{75875FC0-3087-4A2B-89F2-4C9F2E1FD8E0}"/>
  <sortState xmlns:xlrd2="http://schemas.microsoft.com/office/spreadsheetml/2017/richdata2" ref="Y14:Z15">
    <sortCondition ref="Z13:Z15"/>
  </sortState>
  <tableColumns count="2">
    <tableColumn id="1" xr3:uid="{419B32E3-BCC2-40B6-B7B9-7528B1A7B0D3}" name="AggItem"/>
    <tableColumn id="2" xr3:uid="{F0B3A150-104A-48A2-B01E-424FEAB80F07}" name="ID"/>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ABD7D35-4792-44F3-BBF7-1E681BC9D2FE}" name="balance_id_type" displayName="balance_id_type" ref="J58:K60" totalsRowShown="0">
  <autoFilter ref="J58:K60" xr:uid="{1ABD7D35-4792-44F3-BBF7-1E681BC9D2FE}"/>
  <tableColumns count="2">
    <tableColumn id="1" xr3:uid="{FC8998FC-CDB4-4E95-91E3-C80D39FEFEDD}" name="ID"/>
    <tableColumn id="2" xr3:uid="{7DB12353-510C-4DE6-8B93-231E61CC9D22}" name="nam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DF64791-F029-4B09-9938-54AD32BC3FF9}" name="src_type" displayName="src_type" ref="J86:J92" totalsRowShown="0">
  <autoFilter ref="J86:J92" xr:uid="{FDF64791-F029-4B09-9938-54AD32BC3FF9}"/>
  <tableColumns count="1">
    <tableColumn id="1" xr3:uid="{8F5F9F3F-C0F7-4A45-81B9-DBF21DEE455A}" name="src_name"/>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1E5A17E-B2DE-464B-A813-EB99723A7193}" name="BalanceRef" displayName="BalanceRef" ref="E10:K61" totalsRowShown="0">
  <autoFilter ref="E10:K61" xr:uid="{E1E5A17E-B2DE-464B-A813-EB99723A7193}"/>
  <sortState xmlns:xlrd2="http://schemas.microsoft.com/office/spreadsheetml/2017/richdata2" ref="E11:K61">
    <sortCondition ref="F10:F61"/>
  </sortState>
  <tableColumns count="7">
    <tableColumn id="1" xr3:uid="{9C62A56D-1197-46BC-B7C1-FDD0F8723AB7}" name="Account Name" dataDxfId="66">
      <calculatedColumnFormula>_xlfn.XLOOKUP(BalanceRef[[#This Row],[AccountNo.]],acct_ref[AcctNo],acct_ref[AccountName],"Error/Missing Info",0)</calculatedColumnFormula>
    </tableColumn>
    <tableColumn id="2" xr3:uid="{58672921-AB80-466B-8BA3-7717F6D47B78}" name="AccountNo." dataDxfId="65"/>
    <tableColumn id="3" xr3:uid="{729ECE33-F56E-482A-A61C-1B039A44186C}" name="Debit Total" dataDxfId="64">
      <calculatedColumnFormula>ROUND(SUMIFS(Journal[Debit],Journal[AccountName],BalanceRef[[#This Row],[Account Name]]),2)</calculatedColumnFormula>
    </tableColumn>
    <tableColumn id="4" xr3:uid="{C4D0E198-5E77-4BB8-951A-F653412013E7}" name="Credit Total" dataDxfId="63">
      <calculatedColumnFormula>ROUND(SUMIFS(Journal[Credit],Journal[AccountName],BalanceRef[[#This Row],[Account Name]]),2)</calculatedColumnFormula>
    </tableColumn>
    <tableColumn id="5" xr3:uid="{F94BF1F5-18CD-4651-A1EE-DE05F74F571A}" name="BalanceID" dataDxfId="62">
      <calculatedColumnFormula>_xlfn.XLOOKUP(BalanceRef[[#This Row],[AccountNo.]],acct_ref[AcctNo],acct_ref[BalanceID],"Missing Info",0)</calculatedColumnFormula>
    </tableColumn>
    <tableColumn id="6" xr3:uid="{355C6B42-61B3-4CC1-B0ED-9E1B63126C37}" name="Balance" dataDxfId="61">
      <calculatedColumnFormula>ROUND(IF(BalanceRef[[#This Row],[BalanceID]]=1,BalanceRef[[#This Row],[Debit Total]]-BalanceRef[[#This Row],[Credit Total]],IF(BalanceRef[[#This Row],[BalanceID]]=2,BalanceRef[[#This Row],[Credit Total]]-BalanceRef[[#This Row],[Debit Total]],"Error/Missing Info")),2)</calculatedColumnFormula>
    </tableColumn>
    <tableColumn id="7" xr3:uid="{D3259AC5-E822-420A-B62D-F4C97A22671A}" name="Pers. State. ID" dataDxfId="6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2E1A35-D996-4166-B688-5417D7EB165C}" name="Pers_State_Calc" displayName="Pers_State_Calc" ref="M10:P30" totalsRowShown="0">
  <autoFilter ref="M10:P30" xr:uid="{1C2E1A35-D996-4166-B688-5417D7EB165C}"/>
  <tableColumns count="4">
    <tableColumn id="1" xr3:uid="{9C3114D3-F892-4F66-B489-5D5228E22B9A}" name="Item"/>
    <tableColumn id="4" xr3:uid="{325B9353-1E8A-4765-B8E5-30C02AB1E098}" name="Type"/>
    <tableColumn id="2" xr3:uid="{3752B952-E58A-421B-8DC7-7564052D4FB1}" name="ID"/>
    <tableColumn id="3" xr3:uid="{E541A528-3917-4348-9C6C-2C84D22B2E24}" name="Amount" dataDxfId="59">
      <calculatedColumnFormula>SUMIFS(BalanceRef[Balance],BalanceRef[Pers. State. ID],Pers_State_Calc[[#This Row],[ID]])</calculatedColumnFormula>
    </tableColumn>
  </tableColumns>
  <tableStyleInfo name="TableStyleLight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AAB6626-DF64-49D0-B3A1-48D8CD8D4EBE}" name="Group_Names_Account" displayName="Group_Names_Account" ref="T10:U51" totalsRowShown="0">
  <autoFilter ref="T10:U51" xr:uid="{9AAB6626-DF64-49D0-B3A1-48D8CD8D4EBE}"/>
  <tableColumns count="2">
    <tableColumn id="1" xr3:uid="{D063CFFF-ED41-413A-9828-1994E41B0347}" name="Name"/>
    <tableColumn id="2" xr3:uid="{71E4FB26-BAD3-4E50-99DE-0B3260AC9CA8}" name="Accounts"/>
  </tableColumns>
  <tableStyleInfo name="TableStyleLight21" showFirstColumn="0" showLastColumn="0" showRowStripes="0"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F135014-CF72-46BE-A2FF-38921B7C7445}" name="summary_all" displayName="summary_all" ref="A1:F401" tableType="queryTable" totalsRowShown="0">
  <autoFilter ref="A1:F401" xr:uid="{CF135014-CF72-46BE-A2FF-38921B7C7445}"/>
  <tableColumns count="6">
    <tableColumn id="1" xr3:uid="{F9EC7EF1-ACAB-462F-88F3-4EA0714502E6}" uniqueName="1" name="source" queryTableFieldId="1"/>
    <tableColumn id="2" xr3:uid="{1A0F9F1B-8126-4181-A9FE-6A9FE70A15E8}" uniqueName="2" name="date" queryTableFieldId="2" dataDxfId="58"/>
    <tableColumn id="3" xr3:uid="{8511CED1-F671-4BF1-AAA0-8C4054F8A575}" uniqueName="3" name="item" queryTableFieldId="3" dataDxfId="57"/>
    <tableColumn id="4" xr3:uid="{876D7740-A8E6-4788-951B-8CA7B55117EB}" uniqueName="4" name="account_type" queryTableFieldId="4" dataDxfId="56"/>
    <tableColumn id="5" xr3:uid="{B271A1E8-3C04-4554-B192-44EFA5F8546A}" uniqueName="5" name="account_name" queryTableFieldId="5" dataDxfId="55"/>
    <tableColumn id="6" xr3:uid="{50E95E27-D680-49AB-AB1B-D91552D23929}" uniqueName="6" name="amount" queryTableFieldId="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EEB56E-01C0-43CA-AB99-A3FC5A2FA9FD}" name="Agg_ActName_ActType" displayName="Agg_ActName_ActType" ref="B3:E206" tableType="queryTable" totalsRowShown="0">
  <autoFilter ref="B3:E206" xr:uid="{8CEEB56E-01C0-43CA-AB99-A3FC5A2FA9FD}"/>
  <tableColumns count="4">
    <tableColumn id="1" xr3:uid="{93737A42-9ADD-423D-9DF3-694FF09C48EE}" uniqueName="1" name="Date" queryTableFieldId="1"/>
    <tableColumn id="2" xr3:uid="{66110C53-71C0-43F7-A59C-22D5CCD927AB}" uniqueName="2" name="AccountName" queryTableFieldId="2"/>
    <tableColumn id="3" xr3:uid="{1998C7D2-4C08-49F7-A55B-2718CE14F9B9}" uniqueName="3" name="AccountType" queryTableFieldId="3" dataDxfId="54"/>
    <tableColumn id="4" xr3:uid="{43765E94-D7DB-4441-9F84-0518BA75E4DF}" uniqueName="4" name="Amount"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0" dT="2024-05-02T09:55:47.17" personId="{1B8C5D95-2EA6-4634-B281-8E798B6A72A4}" id="{60857279-41EC-4187-9BFA-70D6AAA47503}">
    <text>This says if the current balance is a debit balance or a credit balance. If it's balanced it will say balanced and is green, if it's not balanced it will be red and say what type of balance it is and the amount</text>
  </threadedComment>
</ThreadedComments>
</file>

<file path=xl/threadedComments/threadedComment2.xml><?xml version="1.0" encoding="utf-8"?>
<ThreadedComments xmlns="http://schemas.microsoft.com/office/spreadsheetml/2018/threadedcomments" xmlns:x="http://schemas.openxmlformats.org/spreadsheetml/2006/main">
  <threadedComment ref="H6" dT="2024-04-27T15:10:07.80" personId="{1B8C5D95-2EA6-4634-B281-8E798B6A72A4}" id="{286F1A72-96F4-4635-B58C-E4D1971991CC}">
    <text>This is a check to make sure that all account ledgers are included. It compares this list with the List of Ledger Accounts found in Account References tab. A negative number indicates missing accounts, a positive means there are too many. To find a complete list of accounts, you can click on the link above, or there is a complete list of accounts in a grouped tab to the left for an easy side-by-side comparison.</text>
  </threadedComment>
</ThreadedComments>
</file>

<file path=xl/threadedComments/threadedComment3.xml><?xml version="1.0" encoding="utf-8"?>
<ThreadedComments xmlns="http://schemas.microsoft.com/office/spreadsheetml/2018/threadedcomments" xmlns:x="http://schemas.openxmlformats.org/spreadsheetml/2006/main">
  <threadedComment ref="F9" dT="2024-04-27T15:10:07.80" personId="{1B8C5D95-2EA6-4634-B281-8E798B6A72A4}" id="{B945A42C-74E7-4A69-989D-BAED2D14AA90}">
    <text>This is a check to make sure that all account ledgers are included. It compares this list with the List of Ledger Accounts found in Account References tab. A negative number indicates missing accounts, a positive means there are too many. To find a complete list of accounts, you can click on the link above, or there is a complete list of accounts in a grouped tab to the left for an easy side-by-side comparison.</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microsoft.com/office/2007/relationships/slicer" Target="../slicers/slicer1.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7"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microsoft.com/office/2007/relationships/slicer" Target="../slicers/slicer4.xml"/><Relationship Id="rId5" Type="http://schemas.openxmlformats.org/officeDocument/2006/relationships/table" Target="../tables/table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7" Type="http://schemas.microsoft.com/office/2007/relationships/slicer" Target="../slicers/slicer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7.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8.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vmlDrawing" Target="../drawings/vmlDrawing11.vm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69A29-F676-428F-B33B-4C894A339D89}">
  <sheetPr codeName="Sheet1">
    <tabColor theme="0"/>
  </sheetPr>
  <dimension ref="A1:T63"/>
  <sheetViews>
    <sheetView showGridLines="0" workbookViewId="0">
      <selection activeCell="H16" sqref="H16"/>
    </sheetView>
  </sheetViews>
  <sheetFormatPr defaultRowHeight="15" x14ac:dyDescent="0.25"/>
  <cols>
    <col min="1" max="1" width="12.5703125" style="144" customWidth="1"/>
    <col min="2" max="2" width="2.140625" customWidth="1"/>
    <col min="3" max="3" width="9.28515625" customWidth="1"/>
    <col min="4" max="10" width="9.140625" customWidth="1"/>
    <col min="12" max="12" width="9.140625" customWidth="1"/>
    <col min="21" max="21" width="9.140625" customWidth="1"/>
  </cols>
  <sheetData>
    <row r="1" spans="2:20" ht="9" customHeight="1" x14ac:dyDescent="0.25"/>
    <row r="2" spans="2:20" ht="9" customHeight="1" x14ac:dyDescent="0.25"/>
    <row r="3" spans="2:20" ht="26.25" x14ac:dyDescent="0.4">
      <c r="C3" s="303" t="s">
        <v>40</v>
      </c>
    </row>
    <row r="4" spans="2:20" ht="9" customHeight="1" x14ac:dyDescent="0.25">
      <c r="R4" s="9"/>
      <c r="S4" s="9"/>
      <c r="T4" s="9"/>
    </row>
    <row r="5" spans="2:20" ht="15" customHeight="1" x14ac:dyDescent="0.25">
      <c r="C5" s="277"/>
      <c r="D5" s="280"/>
      <c r="E5" s="280"/>
      <c r="F5" s="280"/>
      <c r="G5" s="19"/>
      <c r="H5" s="19"/>
    </row>
    <row r="6" spans="2:20" ht="24.95" customHeight="1" x14ac:dyDescent="0.25">
      <c r="B6" s="281"/>
      <c r="C6" s="302" t="s">
        <v>527</v>
      </c>
      <c r="D6" s="308"/>
      <c r="E6" s="308"/>
      <c r="F6" s="308"/>
      <c r="G6" s="309"/>
      <c r="H6" s="309"/>
      <c r="I6" s="3"/>
      <c r="J6" s="3"/>
      <c r="K6" s="3"/>
      <c r="L6" s="3"/>
      <c r="M6" s="3"/>
    </row>
    <row r="7" spans="2:20" ht="24" customHeight="1" x14ac:dyDescent="0.25">
      <c r="B7" s="282"/>
      <c r="C7" s="302" t="s">
        <v>530</v>
      </c>
      <c r="D7" s="308"/>
      <c r="E7" s="308"/>
      <c r="F7" s="308"/>
      <c r="G7" s="309"/>
      <c r="H7" s="309"/>
      <c r="I7" s="3"/>
      <c r="J7" s="3"/>
      <c r="K7" s="3"/>
      <c r="L7" s="3"/>
      <c r="M7" s="3"/>
    </row>
    <row r="8" spans="2:20" ht="24.6" customHeight="1" x14ac:dyDescent="0.25">
      <c r="B8" s="19"/>
      <c r="C8" s="310"/>
      <c r="D8" s="302" t="s">
        <v>531</v>
      </c>
      <c r="E8" s="311"/>
      <c r="F8" s="311"/>
      <c r="G8" s="311"/>
      <c r="H8" s="311"/>
      <c r="I8" s="312"/>
      <c r="J8" s="312"/>
      <c r="K8" s="312"/>
      <c r="L8" s="312"/>
      <c r="M8" s="3"/>
    </row>
    <row r="9" spans="2:20" ht="15" customHeight="1" x14ac:dyDescent="0.25">
      <c r="B9" s="18"/>
      <c r="C9" s="3"/>
      <c r="D9" s="3"/>
      <c r="E9" s="3"/>
      <c r="F9" s="3"/>
      <c r="G9" s="310"/>
      <c r="H9" s="310"/>
      <c r="I9" s="312"/>
      <c r="J9" s="312"/>
      <c r="K9" s="312"/>
      <c r="L9" s="312"/>
      <c r="M9" s="3"/>
    </row>
    <row r="10" spans="2:20" ht="15" customHeight="1" x14ac:dyDescent="0.25">
      <c r="B10" s="19"/>
      <c r="C10" s="3"/>
      <c r="D10" s="3"/>
      <c r="E10" s="3"/>
      <c r="F10" s="3"/>
      <c r="G10" s="313"/>
      <c r="H10" s="313"/>
      <c r="I10" s="312"/>
      <c r="J10" s="312"/>
      <c r="K10" s="312"/>
      <c r="L10" s="312"/>
      <c r="M10" s="3"/>
    </row>
    <row r="11" spans="2:20" ht="26.25" customHeight="1" x14ac:dyDescent="0.25">
      <c r="B11" s="18"/>
      <c r="C11" s="316" t="s">
        <v>589</v>
      </c>
      <c r="D11" s="310"/>
      <c r="E11" s="310"/>
      <c r="F11" s="310"/>
      <c r="G11" s="310"/>
      <c r="H11" s="310"/>
      <c r="I11" s="312"/>
      <c r="J11" s="312"/>
      <c r="K11" s="312"/>
      <c r="L11" s="312"/>
      <c r="M11" s="3"/>
    </row>
    <row r="12" spans="2:20" ht="15" customHeight="1" x14ac:dyDescent="0.25">
      <c r="B12" s="19"/>
      <c r="C12" s="310"/>
      <c r="D12" s="311"/>
      <c r="E12" s="311"/>
      <c r="F12" s="311"/>
      <c r="G12" s="311"/>
      <c r="H12" s="311"/>
      <c r="I12" s="312"/>
      <c r="J12" s="312"/>
      <c r="K12" s="312"/>
      <c r="L12" s="312"/>
      <c r="M12" s="3"/>
    </row>
    <row r="13" spans="2:20" ht="21" customHeight="1" x14ac:dyDescent="0.35">
      <c r="B13" s="18"/>
      <c r="C13" s="311"/>
      <c r="D13" s="336" t="s">
        <v>401</v>
      </c>
      <c r="E13" s="310"/>
      <c r="F13" s="310"/>
      <c r="G13" s="310"/>
      <c r="H13" s="310"/>
      <c r="I13" s="312"/>
      <c r="J13" s="312"/>
      <c r="K13" s="312"/>
      <c r="L13" s="312"/>
      <c r="M13" s="3"/>
    </row>
    <row r="14" spans="2:20" ht="12.75" customHeight="1" x14ac:dyDescent="0.3">
      <c r="B14" s="277"/>
      <c r="C14" s="313"/>
      <c r="D14" s="317"/>
      <c r="E14" s="311"/>
      <c r="F14" s="311"/>
      <c r="G14" s="311"/>
      <c r="H14" s="311"/>
      <c r="I14" s="312"/>
      <c r="J14" s="312"/>
      <c r="K14" s="312"/>
      <c r="L14" s="312"/>
      <c r="M14" s="3"/>
    </row>
    <row r="15" spans="2:20" ht="15" customHeight="1" x14ac:dyDescent="0.25">
      <c r="B15" s="20"/>
      <c r="C15" s="310"/>
      <c r="E15" s="310"/>
      <c r="F15" s="310"/>
      <c r="G15" s="313"/>
      <c r="H15" s="313"/>
      <c r="I15" s="312"/>
      <c r="J15" s="312"/>
      <c r="K15" s="312"/>
      <c r="L15" s="312"/>
      <c r="M15" s="3"/>
    </row>
    <row r="16" spans="2:20" ht="15" customHeight="1" x14ac:dyDescent="0.25">
      <c r="B16" s="173"/>
      <c r="C16" s="312"/>
      <c r="D16" s="312"/>
      <c r="E16" s="310"/>
      <c r="F16" s="310"/>
      <c r="G16" s="310"/>
      <c r="H16" s="310"/>
      <c r="I16" s="312"/>
      <c r="J16" s="312"/>
      <c r="K16" s="312"/>
      <c r="L16" s="312"/>
      <c r="M16" s="3"/>
    </row>
    <row r="17" spans="2:13" ht="15" customHeight="1" x14ac:dyDescent="0.25">
      <c r="B17" s="18"/>
      <c r="C17" s="3"/>
      <c r="D17" s="314"/>
      <c r="E17" s="310"/>
      <c r="F17" s="310"/>
      <c r="G17" s="310"/>
      <c r="H17" s="310"/>
      <c r="I17" s="312"/>
      <c r="J17" s="312"/>
      <c r="K17" s="312"/>
      <c r="L17" s="312"/>
      <c r="M17" s="3"/>
    </row>
    <row r="18" spans="2:13" ht="15" customHeight="1" x14ac:dyDescent="0.25">
      <c r="B18" s="285"/>
      <c r="C18" s="312"/>
      <c r="D18" s="312"/>
      <c r="E18" s="314"/>
      <c r="F18" s="314"/>
      <c r="G18" s="314"/>
      <c r="H18" s="314"/>
      <c r="I18" s="312"/>
      <c r="J18" s="312"/>
      <c r="K18" s="312"/>
      <c r="L18" s="312"/>
      <c r="M18" s="3"/>
    </row>
    <row r="19" spans="2:13" ht="15" customHeight="1" x14ac:dyDescent="0.25">
      <c r="C19" s="315"/>
      <c r="D19" s="314"/>
      <c r="E19" s="312"/>
      <c r="F19" s="312"/>
      <c r="G19" s="312"/>
      <c r="H19" s="312"/>
      <c r="I19" s="312"/>
      <c r="J19" s="312"/>
      <c r="K19" s="312"/>
      <c r="L19" s="312"/>
      <c r="M19" s="3"/>
    </row>
    <row r="20" spans="2:13" ht="15" customHeight="1" x14ac:dyDescent="0.25">
      <c r="B20" s="285"/>
      <c r="C20" s="312"/>
      <c r="D20" s="312"/>
      <c r="E20" s="314"/>
      <c r="F20" s="314"/>
      <c r="G20" s="314"/>
      <c r="H20" s="314"/>
      <c r="I20" s="312"/>
      <c r="J20" s="312"/>
      <c r="K20" s="312"/>
      <c r="L20" s="312"/>
      <c r="M20" s="3"/>
    </row>
    <row r="21" spans="2:13" ht="15" customHeight="1" x14ac:dyDescent="0.25">
      <c r="C21" s="3"/>
      <c r="D21" s="314"/>
      <c r="E21" s="312"/>
      <c r="F21" s="312"/>
      <c r="G21" s="312"/>
      <c r="H21" s="312"/>
      <c r="I21" s="312"/>
      <c r="J21" s="312"/>
      <c r="K21" s="312"/>
      <c r="L21" s="312"/>
      <c r="M21" s="3"/>
    </row>
    <row r="22" spans="2:13" ht="15" customHeight="1" x14ac:dyDescent="0.25">
      <c r="B22" s="285"/>
      <c r="C22" s="312"/>
      <c r="D22" s="312"/>
      <c r="E22" s="314"/>
      <c r="F22" s="314"/>
      <c r="G22" s="314"/>
      <c r="H22" s="314"/>
      <c r="I22" s="312"/>
      <c r="J22" s="312"/>
      <c r="K22" s="312"/>
      <c r="L22" s="312"/>
      <c r="M22" s="3"/>
    </row>
    <row r="23" spans="2:13" ht="15" customHeight="1" x14ac:dyDescent="0.25">
      <c r="C23" s="312"/>
      <c r="D23" s="312"/>
      <c r="E23" s="312"/>
      <c r="F23" s="312"/>
      <c r="G23" s="312"/>
      <c r="H23" s="312"/>
      <c r="I23" s="312"/>
      <c r="J23" s="312"/>
      <c r="K23" s="312"/>
      <c r="L23" s="312"/>
      <c r="M23" s="3"/>
    </row>
    <row r="24" spans="2:13" ht="15" customHeight="1" x14ac:dyDescent="0.25">
      <c r="B24" s="285"/>
      <c r="C24" s="41"/>
      <c r="D24" s="41"/>
      <c r="E24" s="286"/>
      <c r="F24" s="286"/>
      <c r="G24" s="286"/>
      <c r="H24" s="286"/>
      <c r="I24" s="41"/>
      <c r="J24" s="41"/>
      <c r="K24" s="41"/>
      <c r="L24" s="41"/>
    </row>
    <row r="25" spans="2:13" ht="15" customHeight="1" x14ac:dyDescent="0.25">
      <c r="C25" s="41"/>
      <c r="D25" s="41"/>
      <c r="E25" s="41"/>
      <c r="F25" s="41"/>
      <c r="G25" s="41"/>
      <c r="H25" s="41"/>
      <c r="I25" s="41"/>
      <c r="J25" s="41"/>
      <c r="K25" s="41"/>
      <c r="L25" s="41"/>
    </row>
    <row r="26" spans="2:13" ht="15" customHeight="1" x14ac:dyDescent="0.25">
      <c r="C26" s="286"/>
      <c r="D26" s="286"/>
      <c r="E26" s="41"/>
      <c r="F26" s="41"/>
      <c r="G26" s="41"/>
      <c r="H26" s="41"/>
      <c r="I26" s="41"/>
      <c r="J26" s="41"/>
      <c r="K26" s="41"/>
      <c r="L26" s="41"/>
    </row>
    <row r="27" spans="2:13" ht="15" customHeight="1" x14ac:dyDescent="0.25">
      <c r="B27" s="173"/>
      <c r="C27" s="41"/>
      <c r="D27" s="41"/>
      <c r="E27" s="41"/>
      <c r="F27" s="41"/>
      <c r="G27" s="41"/>
      <c r="H27" s="41"/>
      <c r="I27" s="41"/>
      <c r="J27" s="41"/>
      <c r="K27" s="41"/>
      <c r="L27" s="41"/>
    </row>
    <row r="28" spans="2:13" ht="15" customHeight="1" x14ac:dyDescent="0.25">
      <c r="C28" s="41"/>
      <c r="D28" s="41"/>
      <c r="E28" s="41"/>
      <c r="F28" s="41"/>
      <c r="G28" s="41"/>
      <c r="H28" s="41"/>
      <c r="I28" s="41"/>
      <c r="J28" s="41"/>
      <c r="K28" s="41"/>
      <c r="L28" s="41"/>
    </row>
    <row r="29" spans="2:13" ht="15" customHeight="1" x14ac:dyDescent="0.25">
      <c r="B29" s="285"/>
      <c r="C29" s="41"/>
      <c r="D29" s="41"/>
      <c r="E29" s="286"/>
      <c r="F29" s="286"/>
      <c r="G29" s="41"/>
      <c r="H29" s="41"/>
      <c r="I29" s="41"/>
      <c r="J29" s="41"/>
      <c r="K29" s="41"/>
      <c r="L29" s="41"/>
    </row>
    <row r="30" spans="2:13" ht="15" customHeight="1" x14ac:dyDescent="0.25">
      <c r="C30" s="288"/>
      <c r="D30" s="41"/>
      <c r="E30" s="41"/>
      <c r="F30" s="41"/>
      <c r="G30" s="41"/>
      <c r="H30" s="41"/>
      <c r="I30" s="41"/>
      <c r="J30" s="41"/>
      <c r="K30" s="41"/>
      <c r="L30" s="41"/>
    </row>
    <row r="31" spans="2:13" ht="15" customHeight="1" x14ac:dyDescent="0.3">
      <c r="B31" s="287"/>
      <c r="C31" s="288"/>
      <c r="D31" s="41"/>
      <c r="E31" s="41"/>
      <c r="F31" s="41"/>
      <c r="G31" s="41"/>
      <c r="H31" s="41"/>
      <c r="I31" s="41"/>
      <c r="J31" s="41"/>
      <c r="K31" s="41"/>
      <c r="L31" s="41"/>
    </row>
    <row r="32" spans="2:13" x14ac:dyDescent="0.25">
      <c r="C32" s="289"/>
      <c r="D32" s="41"/>
      <c r="E32" s="41"/>
      <c r="F32" s="41"/>
      <c r="G32" s="41"/>
      <c r="H32" s="41"/>
      <c r="I32" s="41"/>
      <c r="J32" s="41"/>
      <c r="K32" s="41"/>
      <c r="L32" s="41"/>
    </row>
    <row r="33" spans="2:12" ht="15" customHeight="1" x14ac:dyDescent="0.25">
      <c r="C33" s="288"/>
      <c r="D33" s="41"/>
      <c r="E33" s="41"/>
      <c r="F33" s="289"/>
      <c r="G33" s="41"/>
      <c r="H33" s="41"/>
      <c r="I33" s="41"/>
      <c r="J33" s="41"/>
      <c r="K33" s="41"/>
      <c r="L33" s="41"/>
    </row>
    <row r="34" spans="2:12" ht="15" customHeight="1" x14ac:dyDescent="0.25">
      <c r="C34" s="41"/>
      <c r="D34" s="41"/>
      <c r="E34" s="41"/>
      <c r="F34" s="41"/>
      <c r="G34" s="41"/>
      <c r="H34" s="41"/>
      <c r="I34" s="41"/>
      <c r="J34" s="41"/>
      <c r="K34" s="41"/>
      <c r="L34" s="41"/>
    </row>
    <row r="35" spans="2:12" ht="15" customHeight="1" x14ac:dyDescent="0.25">
      <c r="C35" s="41"/>
      <c r="D35" s="41"/>
      <c r="E35" s="41"/>
      <c r="F35" s="41"/>
      <c r="G35" s="41"/>
      <c r="H35" s="41"/>
      <c r="I35" s="41"/>
      <c r="J35" s="41"/>
      <c r="K35" s="41"/>
      <c r="L35" s="41"/>
    </row>
    <row r="36" spans="2:12" ht="15" customHeight="1" x14ac:dyDescent="0.25">
      <c r="C36" s="41"/>
      <c r="D36" s="41"/>
      <c r="E36" s="41"/>
      <c r="F36" s="41"/>
      <c r="G36" s="41"/>
      <c r="H36" s="41"/>
      <c r="I36" s="41"/>
      <c r="J36" s="41"/>
      <c r="K36" s="41"/>
      <c r="L36" s="41"/>
    </row>
    <row r="37" spans="2:12" x14ac:dyDescent="0.25">
      <c r="C37" s="41"/>
      <c r="D37" s="41"/>
      <c r="E37" s="41"/>
      <c r="F37" s="41"/>
      <c r="G37" s="41"/>
      <c r="H37" s="41"/>
      <c r="I37" s="41"/>
      <c r="J37" s="41"/>
      <c r="K37" s="41"/>
      <c r="L37" s="41"/>
    </row>
    <row r="38" spans="2:12" x14ac:dyDescent="0.25">
      <c r="C38" s="41"/>
      <c r="D38" s="41"/>
      <c r="E38" s="41"/>
      <c r="F38" s="41"/>
      <c r="G38" s="41"/>
      <c r="H38" s="41"/>
      <c r="I38" s="41"/>
      <c r="J38" s="41"/>
      <c r="K38" s="41"/>
      <c r="L38" s="41"/>
    </row>
    <row r="39" spans="2:12" ht="18.75" x14ac:dyDescent="0.3">
      <c r="B39" s="287"/>
      <c r="C39" s="290"/>
      <c r="D39" s="41"/>
      <c r="E39" s="41"/>
      <c r="F39" s="41"/>
      <c r="G39" s="41"/>
      <c r="H39" s="41"/>
      <c r="I39" s="41"/>
      <c r="J39" s="41"/>
      <c r="K39" s="41"/>
      <c r="L39" s="41"/>
    </row>
    <row r="40" spans="2:12" x14ac:dyDescent="0.25">
      <c r="B40" s="11"/>
      <c r="C40" s="292"/>
      <c r="D40" s="41"/>
      <c r="E40" s="41"/>
      <c r="F40" s="41"/>
      <c r="G40" s="41"/>
      <c r="H40" s="41"/>
      <c r="I40" s="41"/>
      <c r="J40" s="41"/>
      <c r="K40" s="41"/>
      <c r="L40" s="41"/>
    </row>
    <row r="41" spans="2:12" x14ac:dyDescent="0.25">
      <c r="C41" s="292"/>
      <c r="D41" s="41"/>
      <c r="E41" s="41"/>
      <c r="F41" s="41"/>
      <c r="G41" s="41"/>
      <c r="H41" s="41"/>
      <c r="I41" s="41"/>
      <c r="J41" s="41"/>
      <c r="K41" s="41"/>
      <c r="L41" s="41"/>
    </row>
    <row r="42" spans="2:12" x14ac:dyDescent="0.25">
      <c r="C42" s="284"/>
      <c r="D42" s="41"/>
      <c r="E42" s="41"/>
      <c r="F42" s="291"/>
      <c r="G42" s="41"/>
      <c r="H42" s="41"/>
      <c r="I42" s="41"/>
      <c r="J42" s="41"/>
      <c r="K42" s="41"/>
      <c r="L42" s="41"/>
    </row>
    <row r="43" spans="2:12" x14ac:dyDescent="0.25">
      <c r="C43" s="284"/>
      <c r="D43" s="41"/>
      <c r="E43" s="41"/>
      <c r="F43" s="288"/>
      <c r="G43" s="41"/>
      <c r="H43" s="41"/>
      <c r="I43" s="41"/>
      <c r="J43" s="41"/>
      <c r="K43" s="41"/>
      <c r="L43" s="41"/>
    </row>
    <row r="44" spans="2:12" x14ac:dyDescent="0.25">
      <c r="C44" s="276"/>
      <c r="E44" s="41"/>
      <c r="F44" s="288"/>
      <c r="G44" s="41"/>
      <c r="H44" s="41"/>
      <c r="I44" s="41"/>
      <c r="J44" s="41"/>
      <c r="K44" s="41"/>
      <c r="L44" s="41"/>
    </row>
    <row r="45" spans="2:12" x14ac:dyDescent="0.25">
      <c r="C45" s="276"/>
      <c r="E45" s="41"/>
      <c r="F45" s="283"/>
      <c r="G45" s="41"/>
      <c r="H45" s="41"/>
      <c r="I45" s="41"/>
      <c r="J45" s="41"/>
      <c r="K45" s="41"/>
      <c r="L45" s="41"/>
    </row>
    <row r="46" spans="2:12" x14ac:dyDescent="0.25">
      <c r="C46" s="276"/>
      <c r="E46" s="41"/>
      <c r="F46" s="283"/>
      <c r="G46" s="41"/>
      <c r="H46" s="41"/>
      <c r="I46" s="41"/>
      <c r="J46" s="41"/>
      <c r="K46" s="41"/>
      <c r="L46" s="41"/>
    </row>
    <row r="47" spans="2:12" x14ac:dyDescent="0.25">
      <c r="C47" s="276"/>
      <c r="F47" s="42"/>
    </row>
    <row r="48" spans="2:12" x14ac:dyDescent="0.25">
      <c r="C48" s="276"/>
      <c r="F48" s="42"/>
    </row>
    <row r="49" spans="3:6" x14ac:dyDescent="0.25">
      <c r="C49" s="276"/>
      <c r="F49" s="42"/>
    </row>
    <row r="50" spans="3:6" x14ac:dyDescent="0.25">
      <c r="C50" s="276"/>
      <c r="F50" s="42"/>
    </row>
    <row r="51" spans="3:6" x14ac:dyDescent="0.25">
      <c r="C51" s="276"/>
      <c r="F51" s="42"/>
    </row>
    <row r="52" spans="3:6" x14ac:dyDescent="0.25">
      <c r="C52" s="276"/>
      <c r="F52" s="42"/>
    </row>
    <row r="53" spans="3:6" x14ac:dyDescent="0.25">
      <c r="C53" s="276"/>
      <c r="F53" s="42"/>
    </row>
    <row r="54" spans="3:6" x14ac:dyDescent="0.25">
      <c r="C54" s="276"/>
      <c r="F54" s="42"/>
    </row>
    <row r="55" spans="3:6" x14ac:dyDescent="0.25">
      <c r="C55" s="276"/>
      <c r="F55" s="42"/>
    </row>
    <row r="56" spans="3:6" x14ac:dyDescent="0.25">
      <c r="C56" s="276"/>
      <c r="F56" s="42"/>
    </row>
    <row r="57" spans="3:6" x14ac:dyDescent="0.25">
      <c r="C57" s="276"/>
      <c r="F57" s="42"/>
    </row>
    <row r="58" spans="3:6" x14ac:dyDescent="0.25">
      <c r="C58" s="276"/>
      <c r="F58" s="42"/>
    </row>
    <row r="59" spans="3:6" x14ac:dyDescent="0.25">
      <c r="C59" s="11"/>
      <c r="F59" s="42"/>
    </row>
    <row r="60" spans="3:6" x14ac:dyDescent="0.25">
      <c r="C60" s="11"/>
      <c r="F60" s="42"/>
    </row>
    <row r="61" spans="3:6" x14ac:dyDescent="0.25">
      <c r="C61" s="11"/>
    </row>
    <row r="63" spans="3:6" x14ac:dyDescent="0.25">
      <c r="F63" t="s">
        <v>99</v>
      </c>
    </row>
  </sheetData>
  <dataValidations count="1">
    <dataValidation type="list" allowBlank="1" showInputMessage="1" showErrorMessage="1" sqref="B42:B64 E42:E60" xr:uid="{7EF20F7C-ABBF-4953-AA9A-C7CE73DD1D21}">
      <formula1>INDIRECT("AcctRef[AccountName]")</formula1>
    </dataValidation>
  </dataValidations>
  <hyperlinks>
    <hyperlink ref="D13" location="'Table of Contents'!A1" display="Table of Contents" xr:uid="{9A4F4FCA-7E79-4BBB-B871-8296532D1817}"/>
  </hyperlinks>
  <pageMargins left="0.25" right="0.25"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D89C-B964-40DE-B8A6-FD18B0AD94DF}">
  <sheetPr codeName="Sheet5"/>
  <dimension ref="A4:M30"/>
  <sheetViews>
    <sheetView showGridLines="0" zoomScale="115" zoomScaleNormal="115" workbookViewId="0"/>
  </sheetViews>
  <sheetFormatPr defaultRowHeight="15" x14ac:dyDescent="0.25"/>
  <cols>
    <col min="1" max="1" width="9.140625" style="271" customWidth="1"/>
    <col min="2" max="3" width="2.5703125" customWidth="1"/>
    <col min="4" max="4" width="6.5703125" customWidth="1"/>
    <col min="5" max="5" width="2" customWidth="1"/>
    <col min="6" max="6" width="2.7109375" customWidth="1"/>
    <col min="7" max="7" width="34.140625" style="319" customWidth="1"/>
    <col min="8" max="8" width="15.85546875" style="319" customWidth="1"/>
    <col min="9" max="9" width="4.140625" customWidth="1"/>
    <col min="10" max="10" width="6.5703125" customWidth="1"/>
    <col min="11" max="11" width="3" customWidth="1"/>
    <col min="12" max="12" width="5.28515625" customWidth="1"/>
    <col min="13" max="13" width="61.42578125" customWidth="1"/>
  </cols>
  <sheetData>
    <row r="4" spans="2:13" ht="35.25" thickBot="1" x14ac:dyDescent="0.6">
      <c r="B4" s="273"/>
      <c r="C4" s="274" t="s">
        <v>491</v>
      </c>
      <c r="D4" s="273"/>
      <c r="E4" s="273"/>
      <c r="F4" s="273"/>
      <c r="G4" s="328"/>
    </row>
    <row r="5" spans="2:13" ht="15.75" thickTop="1" x14ac:dyDescent="0.25"/>
    <row r="6" spans="2:13" ht="30" customHeight="1" x14ac:dyDescent="0.4">
      <c r="F6" s="329" t="s">
        <v>40</v>
      </c>
      <c r="J6" s="39" t="s">
        <v>492</v>
      </c>
    </row>
    <row r="7" spans="2:13" ht="15.75" x14ac:dyDescent="0.25">
      <c r="F7" s="272"/>
    </row>
    <row r="8" spans="2:13" ht="30" customHeight="1" x14ac:dyDescent="0.25">
      <c r="F8" s="329" t="s">
        <v>60</v>
      </c>
      <c r="L8" s="329" t="s">
        <v>5</v>
      </c>
    </row>
    <row r="9" spans="2:13" ht="33.75" customHeight="1" x14ac:dyDescent="0.25">
      <c r="F9" s="272"/>
      <c r="G9" s="343" t="s">
        <v>528</v>
      </c>
      <c r="H9" s="343"/>
      <c r="L9" s="64"/>
      <c r="M9" s="277" t="s">
        <v>579</v>
      </c>
    </row>
    <row r="10" spans="2:13" ht="9.9499999999999993" customHeight="1" x14ac:dyDescent="0.25">
      <c r="L10" s="64"/>
    </row>
    <row r="11" spans="2:13" ht="30" customHeight="1" x14ac:dyDescent="0.25">
      <c r="F11" s="329" t="s">
        <v>42</v>
      </c>
      <c r="L11" s="329" t="s">
        <v>4</v>
      </c>
    </row>
    <row r="12" spans="2:13" ht="23.25" customHeight="1" x14ac:dyDescent="0.25">
      <c r="G12" s="342" t="s">
        <v>575</v>
      </c>
      <c r="H12" s="342"/>
      <c r="M12" s="277" t="s">
        <v>580</v>
      </c>
    </row>
    <row r="13" spans="2:13" ht="9.9499999999999993" customHeight="1" x14ac:dyDescent="0.25">
      <c r="F13" s="272"/>
      <c r="L13" s="64"/>
      <c r="M13" s="67"/>
    </row>
    <row r="14" spans="2:13" ht="30" customHeight="1" x14ac:dyDescent="0.25">
      <c r="F14" s="329" t="s">
        <v>20</v>
      </c>
      <c r="L14" s="329" t="s">
        <v>493</v>
      </c>
    </row>
    <row r="15" spans="2:13" ht="24" customHeight="1" x14ac:dyDescent="0.25">
      <c r="F15" s="272"/>
      <c r="G15" s="342" t="s">
        <v>577</v>
      </c>
      <c r="H15" s="342"/>
      <c r="L15" s="64"/>
      <c r="M15" s="277" t="s">
        <v>581</v>
      </c>
    </row>
    <row r="16" spans="2:13" ht="9.9499999999999993" customHeight="1" x14ac:dyDescent="0.25"/>
    <row r="17" spans="6:13" ht="30" customHeight="1" x14ac:dyDescent="0.25">
      <c r="F17" s="329" t="s">
        <v>73</v>
      </c>
      <c r="L17" s="329" t="s">
        <v>495</v>
      </c>
    </row>
    <row r="18" spans="6:13" ht="33" customHeight="1" x14ac:dyDescent="0.25">
      <c r="G18" s="342" t="s">
        <v>576</v>
      </c>
      <c r="H18" s="342"/>
      <c r="M18" s="277" t="s">
        <v>582</v>
      </c>
    </row>
    <row r="19" spans="6:13" ht="9.9499999999999993" customHeight="1" x14ac:dyDescent="0.25"/>
    <row r="20" spans="6:13" ht="27" customHeight="1" x14ac:dyDescent="0.25">
      <c r="F20" s="329" t="s">
        <v>89</v>
      </c>
      <c r="L20" s="329" t="s">
        <v>494</v>
      </c>
    </row>
    <row r="21" spans="6:13" ht="39.75" customHeight="1" x14ac:dyDescent="0.25">
      <c r="F21" s="272"/>
      <c r="G21" s="342" t="s">
        <v>578</v>
      </c>
      <c r="H21" s="342"/>
      <c r="M21" s="277" t="s">
        <v>583</v>
      </c>
    </row>
    <row r="22" spans="6:13" ht="9.9499999999999993" customHeight="1" x14ac:dyDescent="0.25"/>
    <row r="23" spans="6:13" ht="30" customHeight="1" x14ac:dyDescent="0.25">
      <c r="F23" s="272"/>
    </row>
    <row r="25" spans="6:13" ht="9.9499999999999993" customHeight="1" x14ac:dyDescent="0.25"/>
    <row r="26" spans="6:13" ht="30" customHeight="1" x14ac:dyDescent="0.25"/>
    <row r="28" spans="6:13" ht="30" customHeight="1" x14ac:dyDescent="0.25"/>
    <row r="30" spans="6:13" ht="30" customHeight="1" x14ac:dyDescent="0.25"/>
  </sheetData>
  <mergeCells count="5">
    <mergeCell ref="G15:H15"/>
    <mergeCell ref="G12:H12"/>
    <mergeCell ref="G9:H9"/>
    <mergeCell ref="G18:H18"/>
    <mergeCell ref="G21:H2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C99C1-1AAD-46B3-ABB7-9654EA61900D}">
  <sheetPr codeName="Sheet16">
    <tabColor theme="8" tint="0.79998168889431442"/>
  </sheetPr>
  <dimension ref="B1:W1524"/>
  <sheetViews>
    <sheetView showGridLines="0" tabSelected="1" zoomScaleNormal="100" workbookViewId="0">
      <pane ySplit="12" topLeftCell="A37" activePane="bottomLeft" state="frozen"/>
      <selection pane="bottomLeft" activeCell="F8" sqref="F8"/>
    </sheetView>
  </sheetViews>
  <sheetFormatPr defaultRowHeight="15" outlineLevelCol="1" x14ac:dyDescent="0.25"/>
  <cols>
    <col min="1" max="1" width="1.7109375" customWidth="1"/>
    <col min="2" max="2" width="7.42578125" style="11" customWidth="1"/>
    <col min="3" max="3" width="17.85546875" style="11" customWidth="1"/>
    <col min="4" max="4" width="10.85546875" customWidth="1"/>
    <col min="5" max="5" width="28.85546875" customWidth="1"/>
    <col min="6" max="6" width="32" customWidth="1"/>
    <col min="7" max="7" width="10.5703125" customWidth="1"/>
    <col min="8" max="8" width="22.28515625" customWidth="1"/>
    <col min="9" max="9" width="24.42578125" customWidth="1" outlineLevel="1"/>
    <col min="10" max="10" width="32.5703125" customWidth="1" outlineLevel="1"/>
    <col min="11" max="11" width="17.7109375" customWidth="1"/>
    <col min="12" max="12" width="27.140625" customWidth="1" outlineLevel="1"/>
    <col min="13" max="13" width="9.140625" customWidth="1" outlineLevel="1"/>
    <col min="14" max="14" width="29.5703125" customWidth="1" outlineLevel="1"/>
    <col min="15" max="16" width="9.140625" customWidth="1" outlineLevel="1"/>
    <col min="17" max="17" width="19.5703125" customWidth="1" outlineLevel="1"/>
    <col min="18" max="18" width="9.140625" customWidth="1" outlineLevel="1"/>
    <col min="19" max="20" width="9.140625" customWidth="1"/>
    <col min="30" max="30" width="27.42578125" bestFit="1" customWidth="1"/>
    <col min="31" max="31" width="12.7109375" bestFit="1" customWidth="1"/>
  </cols>
  <sheetData>
    <row r="1" spans="2:18" s="144" customFormat="1" ht="7.5" customHeight="1" x14ac:dyDescent="0.25">
      <c r="B1" s="142"/>
      <c r="C1" s="142"/>
    </row>
    <row r="2" spans="2:18" s="144" customFormat="1" ht="67.5" customHeight="1" x14ac:dyDescent="0.25">
      <c r="B2" s="298"/>
      <c r="C2" s="142"/>
      <c r="H2" s="279"/>
    </row>
    <row r="3" spans="2:18" ht="6.75" customHeight="1" x14ac:dyDescent="0.25"/>
    <row r="4" spans="2:18" ht="19.5" customHeight="1" x14ac:dyDescent="0.3">
      <c r="N4" s="344" t="s">
        <v>569</v>
      </c>
      <c r="O4" s="344"/>
      <c r="P4" s="344"/>
      <c r="Q4" s="344"/>
      <c r="R4" s="344"/>
    </row>
    <row r="5" spans="2:18" ht="15" customHeight="1" x14ac:dyDescent="0.25">
      <c r="B5" s="42"/>
      <c r="L5" s="158" t="s">
        <v>151</v>
      </c>
      <c r="R5">
        <f>R6-O6</f>
        <v>90.990000000000009</v>
      </c>
    </row>
    <row r="6" spans="2:18" ht="30" x14ac:dyDescent="0.4">
      <c r="B6" s="299" t="s">
        <v>42</v>
      </c>
      <c r="D6" s="9"/>
      <c r="E6" s="275"/>
      <c r="F6" s="9"/>
      <c r="G6" s="9"/>
      <c r="H6" s="9"/>
      <c r="L6" s="158" t="str">
        <f>_xlfn.XLOOKUP(L5,item_ref[Item],item_ref[Account],"data missing",0)</f>
        <v>Office &amp; Computer Expense</v>
      </c>
      <c r="O6">
        <f>SUM(O8:O13)</f>
        <v>0</v>
      </c>
      <c r="R6">
        <f>SUM(R8:R12)</f>
        <v>90.990000000000009</v>
      </c>
    </row>
    <row r="7" spans="2:18" ht="11.25" customHeight="1" x14ac:dyDescent="0.35">
      <c r="B7" s="300"/>
      <c r="D7" s="9"/>
      <c r="E7" s="9"/>
      <c r="F7" s="9"/>
      <c r="G7" s="9"/>
      <c r="H7" s="9"/>
    </row>
    <row r="8" spans="2:18" ht="15" customHeight="1" x14ac:dyDescent="0.25">
      <c r="B8" s="301" t="s">
        <v>62</v>
      </c>
      <c r="C8" s="173"/>
      <c r="D8" s="48">
        <f ca="1">MAX(Journal[PostRef])</f>
        <v>43</v>
      </c>
      <c r="E8" s="9"/>
      <c r="F8" s="9"/>
      <c r="G8" s="9"/>
      <c r="H8" s="9"/>
      <c r="N8" t="str" cm="1">
        <f t="array" ref="N8:N12">ListDebtShort</f>
        <v>Account Payable - CC 8524</v>
      </c>
      <c r="O8">
        <f>_xlfn.XLOOKUP($N8,BalanceRef[Account Name],BalanceRef[Balance],"",0)</f>
        <v>0</v>
      </c>
      <c r="Q8" t="str" cm="1">
        <f t="array" ref="Q8:Q11">ListCashEquivalent</f>
        <v>Cash</v>
      </c>
      <c r="R8">
        <f>_xlfn.XLOOKUP($Q8,BalanceRef[Account Name],BalanceRef[Balance],"",0)</f>
        <v>45</v>
      </c>
    </row>
    <row r="9" spans="2:18" ht="15" customHeight="1" x14ac:dyDescent="0.25">
      <c r="B9" s="301" t="s">
        <v>86</v>
      </c>
      <c r="C9" s="173"/>
      <c r="D9" s="48"/>
      <c r="E9" s="9"/>
      <c r="F9" s="9"/>
      <c r="G9" s="9"/>
      <c r="H9" s="21"/>
      <c r="N9" t="str">
        <v>Account Payable - CC 1739</v>
      </c>
      <c r="O9">
        <f>_xlfn.XLOOKUP($N9,BalanceRef[Account Name],BalanceRef[Balance],"",0)</f>
        <v>0</v>
      </c>
      <c r="Q9" t="str">
        <v>Chequing Account</v>
      </c>
      <c r="R9">
        <f>_xlfn.XLOOKUP($Q9,BalanceRef[Account Name],BalanceRef[Balance],"",0)</f>
        <v>45.99</v>
      </c>
    </row>
    <row r="10" spans="2:18" ht="15" customHeight="1" x14ac:dyDescent="0.25">
      <c r="B10" s="301" t="s">
        <v>98</v>
      </c>
      <c r="C10" s="297"/>
      <c r="D10" s="278" t="str" cm="1">
        <f t="array" ref="D10">IF(TrialDebitBalance=TrialCreditBalance,"Balanced",IF(TrialDebitBalance&gt;0,_xlfn.CONCAT("Debit Balance of ",(ROUND(TrialDebitBalance,2))),IF(TrialCreditBalance&gt;0,_xlfn.CONCAT("Credit Balance of ",ROUND(TrialCreditBalance,2)),"Error")))</f>
        <v>Credit Balance of 106.49</v>
      </c>
      <c r="E10" s="9"/>
      <c r="F10" s="9"/>
      <c r="G10" s="9"/>
      <c r="H10" s="9"/>
      <c r="N10" t="str">
        <v>Account Payable - Personal</v>
      </c>
      <c r="Q10" t="str">
        <v>Savings Account</v>
      </c>
    </row>
    <row r="11" spans="2:18" x14ac:dyDescent="0.25">
      <c r="N11" t="str">
        <v>Account Payable - School</v>
      </c>
      <c r="O11">
        <f>_xlfn.XLOOKUP($N11,BalanceRef[Account Name],BalanceRef[Balance],"",0)</f>
        <v>0</v>
      </c>
      <c r="Q11" t="str">
        <v>Accounts Receiveable- Personal</v>
      </c>
      <c r="R11">
        <f>_xlfn.XLOOKUP($Q11,BalanceRef[Account Name],BalanceRef[Balance],"",0)</f>
        <v>0</v>
      </c>
    </row>
    <row r="12" spans="2:18" x14ac:dyDescent="0.25">
      <c r="B12" s="11" t="s">
        <v>524</v>
      </c>
      <c r="C12" s="11" t="s">
        <v>12</v>
      </c>
      <c r="D12" s="46" t="s">
        <v>525</v>
      </c>
      <c r="E12" s="74" t="s">
        <v>174</v>
      </c>
      <c r="F12" t="s">
        <v>10</v>
      </c>
      <c r="G12" t="s">
        <v>13</v>
      </c>
      <c r="H12" t="s">
        <v>0</v>
      </c>
      <c r="I12" t="s">
        <v>1</v>
      </c>
      <c r="J12" t="s">
        <v>184</v>
      </c>
      <c r="K12" t="s">
        <v>356</v>
      </c>
      <c r="N12" t="str">
        <v>Account Payable - Home Depot</v>
      </c>
      <c r="O12">
        <f>_xlfn.XLOOKUP($N12,BalanceRef[Account Name],BalanceRef[Balance],"",0)</f>
        <v>0</v>
      </c>
      <c r="R12" t="str">
        <f>_xlfn.XLOOKUP($Q12,BalanceRef[Account Name],BalanceRef[Balance],"",0)</f>
        <v/>
      </c>
    </row>
    <row r="13" spans="2:18" x14ac:dyDescent="0.25">
      <c r="B13" s="11">
        <f>ROW(Journal[[#This Row],[Item]])-ROW(Journal[[#Headers],[Append_Journal]])</f>
        <v>1</v>
      </c>
      <c r="C13" t="s">
        <v>534</v>
      </c>
      <c r="D13" s="296" t="str">
        <f>IF(Journal[[#This Row],[Debit]]&gt;0,"Debit","Credit")</f>
        <v>Debit</v>
      </c>
      <c r="E13" t="s">
        <v>132</v>
      </c>
      <c r="F13" t="s">
        <v>34</v>
      </c>
      <c r="G13" cm="1">
        <f t="array" aca="1" ref="G13" ca="1">IF(AND(ROW(Journal[[#This Row],[PostRef]])=Journal_Row_Min,ROW(OFFSET(Journal[[#This Row],[PostRef]],-1,0))=Journal_Header_Row),1,
IF(AND(Journal[[#This Row],[TransType]]="debit",OFFSET(Journal[[#This Row],[TransType]],-1,0)="credit"),OFFSET(Journal[[#This Row],[PostRef]],-1,0)+1,OFFSET(Journal[[#This Row],[PostRef]],-1,0)))</f>
        <v>1</v>
      </c>
      <c r="H13" s="306">
        <v>1350</v>
      </c>
      <c r="I13" s="306">
        <v>0</v>
      </c>
      <c r="J13" s="45"/>
      <c r="K13">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1350</v>
      </c>
    </row>
    <row r="14" spans="2:18" x14ac:dyDescent="0.25">
      <c r="B14" s="11">
        <f>ROW(Journal[[#This Row],[Item]])-ROW(Journal[[#Headers],[Append_Journal]])</f>
        <v>2</v>
      </c>
      <c r="C14" t="s">
        <v>534</v>
      </c>
      <c r="D14" s="295" t="str">
        <f>IF(Journal[[#This Row],[Debit]]&gt;0,"Debit","Credit")</f>
        <v>Credit</v>
      </c>
      <c r="E14" t="s">
        <v>132</v>
      </c>
      <c r="F14" t="s">
        <v>27</v>
      </c>
      <c r="G14" cm="1">
        <f t="array" aca="1" ref="G14" ca="1">IF(AND(ROW(Journal[[#This Row],[PostRef]])=Journal_Row_Min,ROW(OFFSET(Journal[[#This Row],[PostRef]],-1,0))=Journal_Header_Row),1,
IF(AND(Journal[[#This Row],[TransType]]="debit",OFFSET(Journal[[#This Row],[TransType]],-1,0)="credit"),OFFSET(Journal[[#This Row],[PostRef]],-1,0)+1,OFFSET(Journal[[#This Row],[PostRef]],-1,0)))</f>
        <v>1</v>
      </c>
      <c r="H14" s="306">
        <v>0</v>
      </c>
      <c r="I14" s="306">
        <v>1350</v>
      </c>
      <c r="K1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-1350</v>
      </c>
    </row>
    <row r="15" spans="2:18" x14ac:dyDescent="0.25">
      <c r="B15" s="11">
        <f>ROW(Journal[[#This Row],[Item]])-ROW(Journal[[#Headers],[Append_Journal]])</f>
        <v>3</v>
      </c>
      <c r="C15" t="s">
        <v>532</v>
      </c>
      <c r="D15" s="295" t="str">
        <f>IF(Journal[[#This Row],[Debit]]&gt;0,"Debit","Credit")</f>
        <v>Debit</v>
      </c>
      <c r="E15" t="s">
        <v>185</v>
      </c>
      <c r="F15" t="s">
        <v>211</v>
      </c>
      <c r="G15" cm="1">
        <f t="array" aca="1" ref="G15" ca="1">IF(AND(ROW(Journal[[#This Row],[PostRef]])=Journal_Row_Min,ROW(OFFSET(Journal[[#This Row],[PostRef]],-1,0))=Journal_Header_Row),1,
IF(AND(Journal[[#This Row],[TransType]]="debit",OFFSET(Journal[[#This Row],[TransType]],-1,0)="credit"),OFFSET(Journal[[#This Row],[PostRef]],-1,0)+1,OFFSET(Journal[[#This Row],[PostRef]],-1,0)))</f>
        <v>2</v>
      </c>
      <c r="H15" s="306">
        <v>62.15</v>
      </c>
      <c r="I15" s="306">
        <v>0</v>
      </c>
      <c r="K15">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62.15</v>
      </c>
    </row>
    <row r="16" spans="2:18" x14ac:dyDescent="0.25">
      <c r="B16" s="11">
        <f>ROW(Journal[[#This Row],[Item]])-ROW(Journal[[#Headers],[Append_Journal]])</f>
        <v>4</v>
      </c>
      <c r="C16" t="s">
        <v>532</v>
      </c>
      <c r="D16" s="295" t="str">
        <f>IF(Journal[[#This Row],[Debit]]&gt;0,"Debit","Credit")</f>
        <v>Credit</v>
      </c>
      <c r="E16" t="s">
        <v>185</v>
      </c>
      <c r="F16" t="s">
        <v>11</v>
      </c>
      <c r="G16" cm="1">
        <f t="array" aca="1" ref="G16" ca="1">IF(AND(ROW(Journal[[#This Row],[PostRef]])=Journal_Row_Min,ROW(OFFSET(Journal[[#This Row],[PostRef]],-1,0))=Journal_Header_Row),1,
IF(AND(Journal[[#This Row],[TransType]]="debit",OFFSET(Journal[[#This Row],[TransType]],-1,0)="credit"),OFFSET(Journal[[#This Row],[PostRef]],-1,0)+1,OFFSET(Journal[[#This Row],[PostRef]],-1,0)))</f>
        <v>2</v>
      </c>
      <c r="H16" s="306">
        <v>0</v>
      </c>
      <c r="I16" s="306">
        <v>62.15</v>
      </c>
      <c r="K1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62.15</v>
      </c>
      <c r="M16" t="s">
        <v>472</v>
      </c>
      <c r="P16" t="s">
        <v>471</v>
      </c>
    </row>
    <row r="17" spans="2:16" x14ac:dyDescent="0.25">
      <c r="B17" s="11">
        <f>ROW(Journal[[#This Row],[Item]])-ROW(Journal[[#Headers],[Append_Journal]])</f>
        <v>5</v>
      </c>
      <c r="C17" t="s">
        <v>532</v>
      </c>
      <c r="D17" s="295" t="str">
        <f>IF(Journal[[#This Row],[Debit]]&gt;0,"Debit","Credit")</f>
        <v>Debit</v>
      </c>
      <c r="E17" t="s">
        <v>193</v>
      </c>
      <c r="F17" t="s">
        <v>27</v>
      </c>
      <c r="G17" cm="1">
        <f t="array" aca="1" ref="G17" ca="1">IF(AND(ROW(Journal[[#This Row],[PostRef]])=Journal_Row_Min,ROW(OFFSET(Journal[[#This Row],[PostRef]],-1,0))=Journal_Header_Row),1,
IF(AND(Journal[[#This Row],[TransType]]="debit",OFFSET(Journal[[#This Row],[TransType]],-1,0)="credit"),OFFSET(Journal[[#This Row],[PostRef]],-1,0)+1,OFFSET(Journal[[#This Row],[PostRef]],-1,0)))</f>
        <v>3</v>
      </c>
      <c r="H17" s="306">
        <v>1875</v>
      </c>
      <c r="I17" s="306">
        <v>0</v>
      </c>
      <c r="K1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1875</v>
      </c>
      <c r="M17">
        <v>794.97</v>
      </c>
      <c r="P17">
        <v>6950.92</v>
      </c>
    </row>
    <row r="18" spans="2:16" x14ac:dyDescent="0.25">
      <c r="B18" s="11">
        <f>ROW(Journal[[#This Row],[Item]])-ROW(Journal[[#Headers],[Append_Journal]])</f>
        <v>6</v>
      </c>
      <c r="C18" t="s">
        <v>532</v>
      </c>
      <c r="D18" s="295" t="str">
        <f>IF(Journal[[#This Row],[Debit]]&gt;0,"Debit","Credit")</f>
        <v>Credit</v>
      </c>
      <c r="E18" t="s">
        <v>193</v>
      </c>
      <c r="F18" t="s">
        <v>214</v>
      </c>
      <c r="G18" cm="1">
        <f t="array" aca="1" ref="G18" ca="1">IF(AND(ROW(Journal[[#This Row],[PostRef]])=Journal_Row_Min,ROW(OFFSET(Journal[[#This Row],[PostRef]],-1,0))=Journal_Header_Row),1,
IF(AND(Journal[[#This Row],[TransType]]="debit",OFFSET(Journal[[#This Row],[TransType]],-1,0)="credit"),OFFSET(Journal[[#This Row],[PostRef]],-1,0)+1,OFFSET(Journal[[#This Row],[PostRef]],-1,0)))</f>
        <v>3</v>
      </c>
      <c r="H18" s="306">
        <v>0</v>
      </c>
      <c r="I18" s="306">
        <v>1875</v>
      </c>
      <c r="K1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1875</v>
      </c>
      <c r="M18">
        <v>-51.84</v>
      </c>
      <c r="P18">
        <v>-4041.35</v>
      </c>
    </row>
    <row r="19" spans="2:16" x14ac:dyDescent="0.25">
      <c r="B19" s="11">
        <f>ROW(Journal[[#This Row],[Item]])-ROW(Journal[[#Headers],[Append_Journal]])</f>
        <v>7</v>
      </c>
      <c r="C19" t="s">
        <v>533</v>
      </c>
      <c r="D19" s="295" t="str">
        <f>IF(Journal[[#This Row],[Debit]]&gt;0,"Debit","Credit")</f>
        <v>Debit</v>
      </c>
      <c r="E19" t="s">
        <v>191</v>
      </c>
      <c r="F19" t="s">
        <v>28</v>
      </c>
      <c r="G19" cm="1">
        <f t="array" aca="1" ref="G19" ca="1">IF(AND(ROW(Journal[[#This Row],[PostRef]])=Journal_Row_Min,ROW(OFFSET(Journal[[#This Row],[PostRef]],-1,0))=Journal_Header_Row),1,
IF(AND(Journal[[#This Row],[TransType]]="debit",OFFSET(Journal[[#This Row],[TransType]],-1,0)="credit"),OFFSET(Journal[[#This Row],[PostRef]],-1,0)+1,OFFSET(Journal[[#This Row],[PostRef]],-1,0)))</f>
        <v>4</v>
      </c>
      <c r="H19" s="306">
        <v>500</v>
      </c>
      <c r="I19" s="306">
        <v>0</v>
      </c>
      <c r="K19">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500</v>
      </c>
      <c r="M19">
        <f>SUM(M17:M18)</f>
        <v>743.13</v>
      </c>
      <c r="P19">
        <f>SUM(P17:P18)</f>
        <v>2909.57</v>
      </c>
    </row>
    <row r="20" spans="2:16" x14ac:dyDescent="0.25">
      <c r="B20" s="11">
        <f>ROW(Journal[[#This Row],[Item]])-ROW(Journal[[#Headers],[Append_Journal]])</f>
        <v>8</v>
      </c>
      <c r="C20" t="s">
        <v>533</v>
      </c>
      <c r="D20" s="295" t="str">
        <f>IF(Journal[[#This Row],[Debit]]&gt;0,"Debit","Credit")</f>
        <v>Credit</v>
      </c>
      <c r="E20" t="s">
        <v>191</v>
      </c>
      <c r="F20" t="s">
        <v>27</v>
      </c>
      <c r="G20" cm="1">
        <f t="array" aca="1" ref="G20" ca="1">IF(AND(ROW(Journal[[#This Row],[PostRef]])=Journal_Row_Min,ROW(OFFSET(Journal[[#This Row],[PostRef]],-1,0))=Journal_Header_Row),1,
IF(AND(Journal[[#This Row],[TransType]]="debit",OFFSET(Journal[[#This Row],[TransType]],-1,0)="credit"),OFFSET(Journal[[#This Row],[PostRef]],-1,0)+1,OFFSET(Journal[[#This Row],[PostRef]],-1,0)))</f>
        <v>4</v>
      </c>
      <c r="H20" s="306">
        <v>0</v>
      </c>
      <c r="I20" s="306">
        <v>500</v>
      </c>
      <c r="K20">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-500</v>
      </c>
    </row>
    <row r="21" spans="2:16" x14ac:dyDescent="0.25">
      <c r="B21" s="11">
        <f>ROW(Journal[[#This Row],[Item]])-ROW(Journal[[#Headers],[Append_Journal]])</f>
        <v>9</v>
      </c>
      <c r="C21" t="s">
        <v>533</v>
      </c>
      <c r="D21" s="295" t="str">
        <f>IF(Journal[[#This Row],[Debit]]&gt;0,"Debit","Credit")</f>
        <v>Debit</v>
      </c>
      <c r="E21" t="s">
        <v>235</v>
      </c>
      <c r="F21" t="s">
        <v>211</v>
      </c>
      <c r="G21" cm="1">
        <f t="array" aca="1" ref="G21" ca="1">IF(AND(ROW(Journal[[#This Row],[PostRef]])=Journal_Row_Min,ROW(OFFSET(Journal[[#This Row],[PostRef]],-1,0))=Journal_Header_Row),1,
IF(AND(Journal[[#This Row],[TransType]]="debit",OFFSET(Journal[[#This Row],[TransType]],-1,0)="credit"),OFFSET(Journal[[#This Row],[PostRef]],-1,0)+1,OFFSET(Journal[[#This Row],[PostRef]],-1,0)))</f>
        <v>5</v>
      </c>
      <c r="H21" s="306">
        <v>62.6</v>
      </c>
      <c r="I21" s="306">
        <v>0</v>
      </c>
      <c r="K21">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62.6</v>
      </c>
      <c r="P21" t="s">
        <v>475</v>
      </c>
    </row>
    <row r="22" spans="2:16" x14ac:dyDescent="0.25">
      <c r="B22" s="11">
        <f>ROW(Journal[[#This Row],[Item]])-ROW(Journal[[#Headers],[Append_Journal]])</f>
        <v>10</v>
      </c>
      <c r="C22" t="s">
        <v>533</v>
      </c>
      <c r="D22" s="295" t="str">
        <f>IF(Journal[[#This Row],[Debit]]&gt;0,"Debit","Credit")</f>
        <v>Credit</v>
      </c>
      <c r="E22" t="s">
        <v>235</v>
      </c>
      <c r="F22" t="s">
        <v>11</v>
      </c>
      <c r="G22" cm="1">
        <f t="array" aca="1" ref="G22" ca="1">IF(AND(ROW(Journal[[#This Row],[PostRef]])=Journal_Row_Min,ROW(OFFSET(Journal[[#This Row],[PostRef]],-1,0))=Journal_Header_Row),1,
IF(AND(Journal[[#This Row],[TransType]]="debit",OFFSET(Journal[[#This Row],[TransType]],-1,0)="credit"),OFFSET(Journal[[#This Row],[PostRef]],-1,0)+1,OFFSET(Journal[[#This Row],[PostRef]],-1,0)))</f>
        <v>5</v>
      </c>
      <c r="H22" s="306">
        <v>0</v>
      </c>
      <c r="I22" s="306">
        <v>62.6</v>
      </c>
      <c r="K22">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62.6</v>
      </c>
      <c r="P22">
        <v>186.58</v>
      </c>
    </row>
    <row r="23" spans="2:16" x14ac:dyDescent="0.25">
      <c r="B23" s="11">
        <f>ROW(Journal[[#This Row],[Item]])-ROW(Journal[[#Headers],[Append_Journal]])</f>
        <v>11</v>
      </c>
      <c r="C23" t="s">
        <v>543</v>
      </c>
      <c r="D23" s="295" t="str">
        <f>IF(Journal[[#This Row],[Debit]]&gt;0,"Debit","Credit")</f>
        <v>Debit</v>
      </c>
      <c r="E23" t="s">
        <v>119</v>
      </c>
      <c r="F23" t="s">
        <v>50</v>
      </c>
      <c r="G23" cm="1">
        <f t="array" aca="1" ref="G23" ca="1">IF(AND(ROW(Journal[[#This Row],[PostRef]])=Journal_Row_Min,ROW(OFFSET(Journal[[#This Row],[PostRef]],-1,0))=Journal_Header_Row),1,
IF(AND(Journal[[#This Row],[TransType]]="debit",OFFSET(Journal[[#This Row],[TransType]],-1,0)="credit"),OFFSET(Journal[[#This Row],[PostRef]],-1,0)+1,OFFSET(Journal[[#This Row],[PostRef]],-1,0)))</f>
        <v>6</v>
      </c>
      <c r="H23" s="306">
        <v>52.4</v>
      </c>
      <c r="I23" s="306">
        <v>0</v>
      </c>
      <c r="J23" s="294"/>
      <c r="K23">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52.4</v>
      </c>
      <c r="P23">
        <v>-70</v>
      </c>
    </row>
    <row r="24" spans="2:16" x14ac:dyDescent="0.25">
      <c r="B24" s="11">
        <f>ROW(Journal[[#This Row],[Item]])-ROW(Journal[[#Headers],[Append_Journal]])</f>
        <v>12</v>
      </c>
      <c r="C24" t="s">
        <v>543</v>
      </c>
      <c r="D24" s="295" t="str">
        <f>IF(Journal[[#This Row],[Debit]]&gt;0,"Debit","Credit")</f>
        <v>Credit</v>
      </c>
      <c r="E24" t="s">
        <v>119</v>
      </c>
      <c r="F24" t="s">
        <v>27</v>
      </c>
      <c r="G24" cm="1">
        <f t="array" aca="1" ref="G24" ca="1">IF(AND(ROW(Journal[[#This Row],[PostRef]])=Journal_Row_Min,ROW(OFFSET(Journal[[#This Row],[PostRef]],-1,0))=Journal_Header_Row),1,
IF(AND(Journal[[#This Row],[TransType]]="debit",OFFSET(Journal[[#This Row],[TransType]],-1,0)="credit"),OFFSET(Journal[[#This Row],[PostRef]],-1,0)+1,OFFSET(Journal[[#This Row],[PostRef]],-1,0)))</f>
        <v>6</v>
      </c>
      <c r="H24" s="306">
        <v>0</v>
      </c>
      <c r="I24" s="306">
        <v>52.4</v>
      </c>
      <c r="J24" s="294"/>
      <c r="K2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-52.4</v>
      </c>
      <c r="P24">
        <f>SUM(P22:P23)</f>
        <v>116.58000000000001</v>
      </c>
    </row>
    <row r="25" spans="2:16" x14ac:dyDescent="0.25">
      <c r="B25" s="11">
        <f>ROW(Journal[[#This Row],[Item]])-ROW(Journal[[#Headers],[Append_Journal]])</f>
        <v>13</v>
      </c>
      <c r="C25" t="s">
        <v>535</v>
      </c>
      <c r="D25" s="295" t="str">
        <f>IF(Journal[[#This Row],[Debit]]&gt;0,"Debit","Credit")</f>
        <v>Debit</v>
      </c>
      <c r="E25" t="s">
        <v>180</v>
      </c>
      <c r="F25" t="s">
        <v>50</v>
      </c>
      <c r="G25" cm="1">
        <f t="array" aca="1" ref="G25" ca="1">IF(AND(ROW(Journal[[#This Row],[PostRef]])=Journal_Row_Min,ROW(OFFSET(Journal[[#This Row],[PostRef]],-1,0))=Journal_Header_Row),1,
IF(AND(Journal[[#This Row],[TransType]]="debit",OFFSET(Journal[[#This Row],[TransType]],-1,0)="credit"),OFFSET(Journal[[#This Row],[PostRef]],-1,0)+1,OFFSET(Journal[[#This Row],[PostRef]],-1,0)))</f>
        <v>7</v>
      </c>
      <c r="H25" s="306">
        <v>140</v>
      </c>
      <c r="I25" s="306">
        <v>0</v>
      </c>
      <c r="K25">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140</v>
      </c>
    </row>
    <row r="26" spans="2:16" x14ac:dyDescent="0.25">
      <c r="B26" s="11">
        <f>ROW(Journal[[#This Row],[Item]])-ROW(Journal[[#Headers],[Append_Journal]])</f>
        <v>14</v>
      </c>
      <c r="C26" t="s">
        <v>535</v>
      </c>
      <c r="D26" s="295" t="str">
        <f>IF(Journal[[#This Row],[Debit]]&gt;0,"Debit","Credit")</f>
        <v>Credit</v>
      </c>
      <c r="E26" t="s">
        <v>180</v>
      </c>
      <c r="F26" t="s">
        <v>27</v>
      </c>
      <c r="G26" cm="1">
        <f t="array" aca="1" ref="G26" ca="1">IF(AND(ROW(Journal[[#This Row],[PostRef]])=Journal_Row_Min,ROW(OFFSET(Journal[[#This Row],[PostRef]],-1,0))=Journal_Header_Row),1,
IF(AND(Journal[[#This Row],[TransType]]="debit",OFFSET(Journal[[#This Row],[TransType]],-1,0)="credit"),OFFSET(Journal[[#This Row],[PostRef]],-1,0)+1,OFFSET(Journal[[#This Row],[PostRef]],-1,0)))</f>
        <v>7</v>
      </c>
      <c r="H26" s="306">
        <v>0</v>
      </c>
      <c r="I26" s="306">
        <v>140</v>
      </c>
      <c r="J26" s="294"/>
      <c r="K2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-140</v>
      </c>
    </row>
    <row r="27" spans="2:16" x14ac:dyDescent="0.25">
      <c r="B27" s="11">
        <f>ROW(Journal[[#This Row],[Item]])-ROW(Journal[[#Headers],[Append_Journal]])</f>
        <v>15</v>
      </c>
      <c r="C27" t="s">
        <v>535</v>
      </c>
      <c r="D27" s="295" t="str">
        <f>IF(Journal[[#This Row],[Debit]]&gt;0,"Debit","Credit")</f>
        <v>Debit</v>
      </c>
      <c r="E27" t="s">
        <v>235</v>
      </c>
      <c r="F27" t="s">
        <v>211</v>
      </c>
      <c r="G27" cm="1">
        <f t="array" aca="1" ref="G27" ca="1">IF(AND(ROW(Journal[[#This Row],[PostRef]])=Journal_Row_Min,ROW(OFFSET(Journal[[#This Row],[PostRef]],-1,0))=Journal_Header_Row),1,
IF(AND(Journal[[#This Row],[TransType]]="debit",OFFSET(Journal[[#This Row],[TransType]],-1,0)="credit"),OFFSET(Journal[[#This Row],[PostRef]],-1,0)+1,OFFSET(Journal[[#This Row],[PostRef]],-1,0)))</f>
        <v>8</v>
      </c>
      <c r="H27" s="306">
        <v>56.25</v>
      </c>
      <c r="I27" s="306">
        <v>0</v>
      </c>
      <c r="J27" s="294"/>
      <c r="K2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56.25</v>
      </c>
    </row>
    <row r="28" spans="2:16" x14ac:dyDescent="0.25">
      <c r="B28" s="11">
        <f>ROW(Journal[[#This Row],[Item]])-ROW(Journal[[#Headers],[Append_Journal]])</f>
        <v>16</v>
      </c>
      <c r="C28" t="s">
        <v>535</v>
      </c>
      <c r="D28" s="295" t="str">
        <f>IF(Journal[[#This Row],[Debit]]&gt;0,"Debit","Credit")</f>
        <v>Credit</v>
      </c>
      <c r="E28" t="s">
        <v>235</v>
      </c>
      <c r="F28" t="s">
        <v>11</v>
      </c>
      <c r="G28" cm="1">
        <f t="array" aca="1" ref="G28" ca="1">IF(AND(ROW(Journal[[#This Row],[PostRef]])=Journal_Row_Min,ROW(OFFSET(Journal[[#This Row],[PostRef]],-1,0))=Journal_Header_Row),1,
IF(AND(Journal[[#This Row],[TransType]]="debit",OFFSET(Journal[[#This Row],[TransType]],-1,0)="credit"),OFFSET(Journal[[#This Row],[PostRef]],-1,0)+1,OFFSET(Journal[[#This Row],[PostRef]],-1,0)))</f>
        <v>8</v>
      </c>
      <c r="H28" s="306">
        <v>0</v>
      </c>
      <c r="I28" s="306">
        <v>56.25</v>
      </c>
      <c r="J28" s="294"/>
      <c r="K2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56.25</v>
      </c>
      <c r="P28" cm="1">
        <f t="array" ref="P28">Journal_Row_Min</f>
        <v>13</v>
      </c>
    </row>
    <row r="29" spans="2:16" x14ac:dyDescent="0.25">
      <c r="B29" s="11">
        <f>ROW(Journal[[#This Row],[Item]])-ROW(Journal[[#Headers],[Append_Journal]])</f>
        <v>17</v>
      </c>
      <c r="C29" t="s">
        <v>538</v>
      </c>
      <c r="D29" s="295" t="str">
        <f>IF(Journal[[#This Row],[Debit]]&gt;0,"Debit","Credit")</f>
        <v>Debit</v>
      </c>
      <c r="E29" t="s">
        <v>185</v>
      </c>
      <c r="F29" t="s">
        <v>211</v>
      </c>
      <c r="G29" cm="1">
        <f t="array" aca="1" ref="G29" ca="1">IF(AND(ROW(Journal[[#This Row],[PostRef]])=Journal_Row_Min,ROW(OFFSET(Journal[[#This Row],[PostRef]],-1,0))=Journal_Header_Row),1,
IF(AND(Journal[[#This Row],[TransType]]="debit",OFFSET(Journal[[#This Row],[TransType]],-1,0)="credit"),OFFSET(Journal[[#This Row],[PostRef]],-1,0)+1,OFFSET(Journal[[#This Row],[PostRef]],-1,0)))</f>
        <v>9</v>
      </c>
      <c r="H29" s="306">
        <v>74.83</v>
      </c>
      <c r="I29" s="306">
        <v>0</v>
      </c>
      <c r="J29" s="294"/>
      <c r="K29">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74.83</v>
      </c>
    </row>
    <row r="30" spans="2:16" x14ac:dyDescent="0.25">
      <c r="B30" s="11">
        <f>ROW(Journal[[#This Row],[Item]])-ROW(Journal[[#Headers],[Append_Journal]])</f>
        <v>18</v>
      </c>
      <c r="C30" t="s">
        <v>538</v>
      </c>
      <c r="D30" s="295" t="str">
        <f>IF(Journal[[#This Row],[Debit]]&gt;0,"Debit","Credit")</f>
        <v>Credit</v>
      </c>
      <c r="E30" t="s">
        <v>185</v>
      </c>
      <c r="F30" t="s">
        <v>11</v>
      </c>
      <c r="G30" cm="1">
        <f t="array" aca="1" ref="G30" ca="1">IF(AND(ROW(Journal[[#This Row],[PostRef]])=Journal_Row_Min,ROW(OFFSET(Journal[[#This Row],[PostRef]],-1,0))=Journal_Header_Row),1,
IF(AND(Journal[[#This Row],[TransType]]="debit",OFFSET(Journal[[#This Row],[TransType]],-1,0)="credit"),OFFSET(Journal[[#This Row],[PostRef]],-1,0)+1,OFFSET(Journal[[#This Row],[PostRef]],-1,0)))</f>
        <v>9</v>
      </c>
      <c r="H30" s="306">
        <v>0</v>
      </c>
      <c r="I30" s="306">
        <v>74.83</v>
      </c>
      <c r="J30" s="294"/>
      <c r="K30">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74.83</v>
      </c>
      <c r="M30">
        <v>897.64</v>
      </c>
    </row>
    <row r="31" spans="2:16" x14ac:dyDescent="0.25">
      <c r="B31" s="11">
        <f>ROW(Journal[[#This Row],[Item]])-ROW(Journal[[#Headers],[Append_Journal]])</f>
        <v>19</v>
      </c>
      <c r="C31" t="s">
        <v>538</v>
      </c>
      <c r="D31" s="295" t="str">
        <f>IF(Journal[[#This Row],[Debit]]&gt;0,"Debit","Credit")</f>
        <v>Debit</v>
      </c>
      <c r="E31" t="s">
        <v>150</v>
      </c>
      <c r="F31" t="s">
        <v>37</v>
      </c>
      <c r="G31" cm="1">
        <f t="array" aca="1" ref="G31" ca="1">IF(AND(ROW(Journal[[#This Row],[PostRef]])=Journal_Row_Min,ROW(OFFSET(Journal[[#This Row],[PostRef]],-1,0))=Journal_Header_Row),1,
IF(AND(Journal[[#This Row],[TransType]]="debit",OFFSET(Journal[[#This Row],[TransType]],-1,0)="credit"),OFFSET(Journal[[#This Row],[PostRef]],-1,0)+1,OFFSET(Journal[[#This Row],[PostRef]],-1,0)))</f>
        <v>10</v>
      </c>
      <c r="H31" s="306">
        <v>16.989999999999998</v>
      </c>
      <c r="I31" s="306">
        <v>0</v>
      </c>
      <c r="J31" s="294"/>
      <c r="K31">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16.989999999999998</v>
      </c>
      <c r="M31">
        <v>5</v>
      </c>
    </row>
    <row r="32" spans="2:16" x14ac:dyDescent="0.25">
      <c r="B32" s="11">
        <f>ROW(Journal[[#This Row],[Item]])-ROW(Journal[[#Headers],[Append_Journal]])</f>
        <v>20</v>
      </c>
      <c r="C32" t="s">
        <v>538</v>
      </c>
      <c r="D32" s="295" t="str">
        <f>IF(Journal[[#This Row],[Debit]]&gt;0,"Debit","Credit")</f>
        <v>Credit</v>
      </c>
      <c r="E32" t="s">
        <v>150</v>
      </c>
      <c r="F32" t="s">
        <v>11</v>
      </c>
      <c r="G32" cm="1">
        <f t="array" aca="1" ref="G32" ca="1">IF(AND(ROW(Journal[[#This Row],[PostRef]])=Journal_Row_Min,ROW(OFFSET(Journal[[#This Row],[PostRef]],-1,0))=Journal_Header_Row),1,
IF(AND(Journal[[#This Row],[TransType]]="debit",OFFSET(Journal[[#This Row],[TransType]],-1,0)="credit"),OFFSET(Journal[[#This Row],[PostRef]],-1,0)+1,OFFSET(Journal[[#This Row],[PostRef]],-1,0)))</f>
        <v>10</v>
      </c>
      <c r="H32" s="306">
        <v>0</v>
      </c>
      <c r="I32" s="306">
        <v>16.989999999999998</v>
      </c>
      <c r="J32" s="294"/>
      <c r="K32">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16.989999999999998</v>
      </c>
    </row>
    <row r="33" spans="2:11" x14ac:dyDescent="0.25">
      <c r="B33" s="11">
        <f>ROW(Journal[[#This Row],[Item]])-ROW(Journal[[#Headers],[Append_Journal]])</f>
        <v>21</v>
      </c>
      <c r="C33" t="s">
        <v>539</v>
      </c>
      <c r="D33" s="295" t="str">
        <f>IF(Journal[[#This Row],[Debit]]&gt;0,"Debit","Credit")</f>
        <v>Debit</v>
      </c>
      <c r="E33" t="s">
        <v>564</v>
      </c>
      <c r="F33" t="s">
        <v>565</v>
      </c>
      <c r="G33" cm="1">
        <f t="array" aca="1" ref="G33" ca="1">IF(AND(ROW(Journal[[#This Row],[PostRef]])=Journal_Row_Min,ROW(OFFSET(Journal[[#This Row],[PostRef]],-1,0))=Journal_Header_Row),1,
IF(AND(Journal[[#This Row],[TransType]]="debit",OFFSET(Journal[[#This Row],[TransType]],-1,0)="credit"),OFFSET(Journal[[#This Row],[PostRef]],-1,0)+1,OFFSET(Journal[[#This Row],[PostRef]],-1,0)))</f>
        <v>11</v>
      </c>
      <c r="H33" s="306">
        <v>85</v>
      </c>
      <c r="I33" s="306">
        <v>0</v>
      </c>
      <c r="J33" s="294"/>
      <c r="K33" t="str">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
      </c>
    </row>
    <row r="34" spans="2:11" x14ac:dyDescent="0.25">
      <c r="B34" s="11">
        <f>ROW(Journal[[#This Row],[Item]])-ROW(Journal[[#Headers],[Append_Journal]])</f>
        <v>22</v>
      </c>
      <c r="C34" t="s">
        <v>539</v>
      </c>
      <c r="D34" s="295" t="str">
        <f>IF(Journal[[#This Row],[Debit]]&gt;0,"Debit","Credit")</f>
        <v>Credit</v>
      </c>
      <c r="E34" t="s">
        <v>564</v>
      </c>
      <c r="F34" t="s">
        <v>11</v>
      </c>
      <c r="G34" cm="1">
        <f t="array" aca="1" ref="G34" ca="1">IF(AND(ROW(Journal[[#This Row],[PostRef]])=Journal_Row_Min,ROW(OFFSET(Journal[[#This Row],[PostRef]],-1,0))=Journal_Header_Row),1,
IF(AND(Journal[[#This Row],[TransType]]="debit",OFFSET(Journal[[#This Row],[TransType]],-1,0)="credit"),OFFSET(Journal[[#This Row],[PostRef]],-1,0)+1,OFFSET(Journal[[#This Row],[PostRef]],-1,0)))</f>
        <v>11</v>
      </c>
      <c r="H34" s="306">
        <v>0</v>
      </c>
      <c r="I34" s="306">
        <v>85</v>
      </c>
      <c r="J34" s="294"/>
      <c r="K3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85</v>
      </c>
    </row>
    <row r="35" spans="2:11" x14ac:dyDescent="0.25">
      <c r="B35" s="11">
        <f>ROW(Journal[[#This Row],[Item]])-ROW(Journal[[#Headers],[Append_Journal]])</f>
        <v>23</v>
      </c>
      <c r="C35" t="s">
        <v>539</v>
      </c>
      <c r="D35" s="295" t="str">
        <f>IF(Journal[[#This Row],[Debit]]&gt;0,"Debit","Credit")</f>
        <v>Debit</v>
      </c>
      <c r="E35" t="s">
        <v>155</v>
      </c>
      <c r="F35" t="s">
        <v>37</v>
      </c>
      <c r="G35" cm="1">
        <f t="array" aca="1" ref="G35" ca="1">IF(AND(ROW(Journal[[#This Row],[PostRef]])=Journal_Row_Min,ROW(OFFSET(Journal[[#This Row],[PostRef]],-1,0))=Journal_Header_Row),1,
IF(AND(Journal[[#This Row],[TransType]]="debit",OFFSET(Journal[[#This Row],[TransType]],-1,0)="credit"),OFFSET(Journal[[#This Row],[PostRef]],-1,0)+1,OFFSET(Journal[[#This Row],[PostRef]],-1,0)))</f>
        <v>12</v>
      </c>
      <c r="H35" s="306">
        <v>10.99</v>
      </c>
      <c r="I35" s="306">
        <v>0</v>
      </c>
      <c r="J35" s="294"/>
      <c r="K35">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10.99</v>
      </c>
    </row>
    <row r="36" spans="2:11" x14ac:dyDescent="0.25">
      <c r="B36" s="11">
        <f>ROW(Journal[[#This Row],[Item]])-ROW(Journal[[#Headers],[Append_Journal]])</f>
        <v>24</v>
      </c>
      <c r="C36" t="s">
        <v>539</v>
      </c>
      <c r="D36" s="295" t="str">
        <f>IF(Journal[[#This Row],[Debit]]&gt;0,"Debit","Credit")</f>
        <v>Credit</v>
      </c>
      <c r="E36" t="s">
        <v>155</v>
      </c>
      <c r="F36" t="s">
        <v>11</v>
      </c>
      <c r="G36" cm="1">
        <f t="array" aca="1" ref="G36" ca="1">IF(AND(ROW(Journal[[#This Row],[PostRef]])=Journal_Row_Min,ROW(OFFSET(Journal[[#This Row],[PostRef]],-1,0))=Journal_Header_Row),1,
IF(AND(Journal[[#This Row],[TransType]]="debit",OFFSET(Journal[[#This Row],[TransType]],-1,0)="credit"),OFFSET(Journal[[#This Row],[PostRef]],-1,0)+1,OFFSET(Journal[[#This Row],[PostRef]],-1,0)))</f>
        <v>12</v>
      </c>
      <c r="H36" s="306">
        <v>0</v>
      </c>
      <c r="I36" s="306">
        <v>10.99</v>
      </c>
      <c r="J36" s="294"/>
      <c r="K3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10.99</v>
      </c>
    </row>
    <row r="37" spans="2:11" x14ac:dyDescent="0.25">
      <c r="B37" s="11">
        <f>ROW(Journal[[#This Row],[Item]])-ROW(Journal[[#Headers],[Append_Journal]])</f>
        <v>25</v>
      </c>
      <c r="C37" t="s">
        <v>536</v>
      </c>
      <c r="D37" s="295" t="str">
        <f>IF(Journal[[#This Row],[Debit]]&gt;0,"Debit","Credit")</f>
        <v>Debit</v>
      </c>
      <c r="E37" t="s">
        <v>131</v>
      </c>
      <c r="F37" t="s">
        <v>36</v>
      </c>
      <c r="G37" cm="1">
        <f t="array" aca="1" ref="G37" ca="1">IF(AND(ROW(Journal[[#This Row],[PostRef]])=Journal_Row_Min,ROW(OFFSET(Journal[[#This Row],[PostRef]],-1,0))=Journal_Header_Row),1,
IF(AND(Journal[[#This Row],[TransType]]="debit",OFFSET(Journal[[#This Row],[TransType]],-1,0)="credit"),OFFSET(Journal[[#This Row],[PostRef]],-1,0)+1,OFFSET(Journal[[#This Row],[PostRef]],-1,0)))</f>
        <v>13</v>
      </c>
      <c r="H37" s="306">
        <v>55</v>
      </c>
      <c r="I37" s="306">
        <v>0</v>
      </c>
      <c r="J37" s="294"/>
      <c r="K3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55</v>
      </c>
    </row>
    <row r="38" spans="2:11" x14ac:dyDescent="0.25">
      <c r="B38" s="11">
        <f>ROW(Journal[[#This Row],[Item]])-ROW(Journal[[#Headers],[Append_Journal]])</f>
        <v>26</v>
      </c>
      <c r="C38" t="s">
        <v>536</v>
      </c>
      <c r="D38" s="295" t="str">
        <f>IF(Journal[[#This Row],[Debit]]&gt;0,"Debit","Credit")</f>
        <v>Credit</v>
      </c>
      <c r="E38" t="s">
        <v>131</v>
      </c>
      <c r="F38" t="s">
        <v>27</v>
      </c>
      <c r="G38" cm="1">
        <f t="array" aca="1" ref="G38" ca="1">IF(AND(ROW(Journal[[#This Row],[PostRef]])=Journal_Row_Min,ROW(OFFSET(Journal[[#This Row],[PostRef]],-1,0))=Journal_Header_Row),1,
IF(AND(Journal[[#This Row],[TransType]]="debit",OFFSET(Journal[[#This Row],[TransType]],-1,0)="credit"),OFFSET(Journal[[#This Row],[PostRef]],-1,0)+1,OFFSET(Journal[[#This Row],[PostRef]],-1,0)))</f>
        <v>13</v>
      </c>
      <c r="H38" s="306">
        <v>0</v>
      </c>
      <c r="I38" s="306">
        <v>55</v>
      </c>
      <c r="J38" s="294"/>
      <c r="K3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-55</v>
      </c>
    </row>
    <row r="39" spans="2:11" x14ac:dyDescent="0.25">
      <c r="B39" s="11">
        <f>ROW(Journal[[#This Row],[Item]])-ROW(Journal[[#Headers],[Append_Journal]])</f>
        <v>27</v>
      </c>
      <c r="C39" t="s">
        <v>536</v>
      </c>
      <c r="D39" s="295" t="str">
        <f>IF(Journal[[#This Row],[Debit]]&gt;0,"Debit","Credit")</f>
        <v>Debit</v>
      </c>
      <c r="E39" t="s">
        <v>235</v>
      </c>
      <c r="F39" t="s">
        <v>211</v>
      </c>
      <c r="G39" cm="1">
        <f t="array" aca="1" ref="G39" ca="1">IF(AND(ROW(Journal[[#This Row],[PostRef]])=Journal_Row_Min,ROW(OFFSET(Journal[[#This Row],[PostRef]],-1,0))=Journal_Header_Row),1,
IF(AND(Journal[[#This Row],[TransType]]="debit",OFFSET(Journal[[#This Row],[TransType]],-1,0)="credit"),OFFSET(Journal[[#This Row],[PostRef]],-1,0)+1,OFFSET(Journal[[#This Row],[PostRef]],-1,0)))</f>
        <v>14</v>
      </c>
      <c r="H39" s="306">
        <v>78.900000000000006</v>
      </c>
      <c r="I39" s="306">
        <v>0</v>
      </c>
      <c r="J39" s="294"/>
      <c r="K39">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78.900000000000006</v>
      </c>
    </row>
    <row r="40" spans="2:11" x14ac:dyDescent="0.25">
      <c r="B40" s="11">
        <f>ROW(Journal[[#This Row],[Item]])-ROW(Journal[[#Headers],[Append_Journal]])</f>
        <v>28</v>
      </c>
      <c r="C40" t="s">
        <v>536</v>
      </c>
      <c r="D40" s="295" t="str">
        <f>IF(Journal[[#This Row],[Debit]]&gt;0,"Debit","Credit")</f>
        <v>Credit</v>
      </c>
      <c r="E40" t="s">
        <v>235</v>
      </c>
      <c r="F40" t="s">
        <v>11</v>
      </c>
      <c r="G40" cm="1">
        <f t="array" aca="1" ref="G40" ca="1">IF(AND(ROW(Journal[[#This Row],[PostRef]])=Journal_Row_Min,ROW(OFFSET(Journal[[#This Row],[PostRef]],-1,0))=Journal_Header_Row),1,
IF(AND(Journal[[#This Row],[TransType]]="debit",OFFSET(Journal[[#This Row],[TransType]],-1,0)="credit"),OFFSET(Journal[[#This Row],[PostRef]],-1,0)+1,OFFSET(Journal[[#This Row],[PostRef]],-1,0)))</f>
        <v>14</v>
      </c>
      <c r="H40" s="306">
        <v>0</v>
      </c>
      <c r="I40" s="306">
        <v>78.900000000000006</v>
      </c>
      <c r="J40" s="294"/>
      <c r="K40">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78.900000000000006</v>
      </c>
    </row>
    <row r="41" spans="2:11" x14ac:dyDescent="0.25">
      <c r="B41" s="11">
        <f>ROW(Journal[[#This Row],[Item]])-ROW(Journal[[#Headers],[Append_Journal]])</f>
        <v>29</v>
      </c>
      <c r="C41" t="s">
        <v>549</v>
      </c>
      <c r="D41" s="295" t="str">
        <f>IF(Journal[[#This Row],[Debit]]&gt;0,"Debit","Credit")</f>
        <v>Debit</v>
      </c>
      <c r="E41" t="s">
        <v>526</v>
      </c>
      <c r="F41" t="s">
        <v>50</v>
      </c>
      <c r="G41" cm="1">
        <f t="array" aca="1" ref="G41" ca="1">IF(AND(ROW(Journal[[#This Row],[PostRef]])=Journal_Row_Min,ROW(OFFSET(Journal[[#This Row],[PostRef]],-1,0))=Journal_Header_Row),1,
IF(AND(Journal[[#This Row],[TransType]]="debit",OFFSET(Journal[[#This Row],[TransType]],-1,0)="credit"),OFFSET(Journal[[#This Row],[PostRef]],-1,0)+1,OFFSET(Journal[[#This Row],[PostRef]],-1,0)))</f>
        <v>15</v>
      </c>
      <c r="H41" s="306">
        <v>13</v>
      </c>
      <c r="I41" s="306">
        <v>0</v>
      </c>
      <c r="J41" s="294"/>
      <c r="K41">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13</v>
      </c>
    </row>
    <row r="42" spans="2:11" x14ac:dyDescent="0.25">
      <c r="B42" s="11">
        <f>ROW(Journal[[#This Row],[Item]])-ROW(Journal[[#Headers],[Append_Journal]])</f>
        <v>30</v>
      </c>
      <c r="C42" t="s">
        <v>549</v>
      </c>
      <c r="D42" s="295" t="str">
        <f>IF(Journal[[#This Row],[Debit]]&gt;0,"Debit","Credit")</f>
        <v>Credit</v>
      </c>
      <c r="E42" t="s">
        <v>526</v>
      </c>
      <c r="F42" t="s">
        <v>11</v>
      </c>
      <c r="G42" cm="1">
        <f t="array" aca="1" ref="G42" ca="1">IF(AND(ROW(Journal[[#This Row],[PostRef]])=Journal_Row_Min,ROW(OFFSET(Journal[[#This Row],[PostRef]],-1,0))=Journal_Header_Row),1,
IF(AND(Journal[[#This Row],[TransType]]="debit",OFFSET(Journal[[#This Row],[TransType]],-1,0)="credit"),OFFSET(Journal[[#This Row],[PostRef]],-1,0)+1,OFFSET(Journal[[#This Row],[PostRef]],-1,0)))</f>
        <v>15</v>
      </c>
      <c r="H42" s="306">
        <v>0</v>
      </c>
      <c r="I42" s="306">
        <v>13</v>
      </c>
      <c r="J42" s="294"/>
      <c r="K42">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13</v>
      </c>
    </row>
    <row r="43" spans="2:11" x14ac:dyDescent="0.25">
      <c r="B43" s="11">
        <f>ROW(Journal[[#This Row],[Item]])-ROW(Journal[[#Headers],[Append_Journal]])</f>
        <v>31</v>
      </c>
      <c r="C43" t="s">
        <v>549</v>
      </c>
      <c r="D43" s="295" t="str">
        <f>IF(Journal[[#This Row],[Debit]]&gt;0,"Debit","Credit")</f>
        <v>Debit</v>
      </c>
      <c r="E43" t="s">
        <v>185</v>
      </c>
      <c r="F43" t="s">
        <v>211</v>
      </c>
      <c r="G43" cm="1">
        <f t="array" aca="1" ref="G43" ca="1">IF(AND(ROW(Journal[[#This Row],[PostRef]])=Journal_Row_Min,ROW(OFFSET(Journal[[#This Row],[PostRef]],-1,0))=Journal_Header_Row),1,
IF(AND(Journal[[#This Row],[TransType]]="debit",OFFSET(Journal[[#This Row],[TransType]],-1,0)="credit"),OFFSET(Journal[[#This Row],[PostRef]],-1,0)+1,OFFSET(Journal[[#This Row],[PostRef]],-1,0)))</f>
        <v>16</v>
      </c>
      <c r="H43" s="306">
        <v>51.2</v>
      </c>
      <c r="I43" s="306">
        <v>0</v>
      </c>
      <c r="J43" s="294"/>
      <c r="K43">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51.2</v>
      </c>
    </row>
    <row r="44" spans="2:11" x14ac:dyDescent="0.25">
      <c r="B44" s="11">
        <f>ROW(Journal[[#This Row],[Item]])-ROW(Journal[[#Headers],[Append_Journal]])</f>
        <v>32</v>
      </c>
      <c r="C44" t="s">
        <v>549</v>
      </c>
      <c r="D44" s="295" t="str">
        <f>IF(Journal[[#This Row],[Debit]]&gt;0,"Debit","Credit")</f>
        <v>Credit</v>
      </c>
      <c r="E44" t="s">
        <v>185</v>
      </c>
      <c r="F44" t="s">
        <v>11</v>
      </c>
      <c r="G44" cm="1">
        <f t="array" aca="1" ref="G44" ca="1">IF(AND(ROW(Journal[[#This Row],[PostRef]])=Journal_Row_Min,ROW(OFFSET(Journal[[#This Row],[PostRef]],-1,0))=Journal_Header_Row),1,
IF(AND(Journal[[#This Row],[TransType]]="debit",OFFSET(Journal[[#This Row],[TransType]],-1,0)="credit"),OFFSET(Journal[[#This Row],[PostRef]],-1,0)+1,OFFSET(Journal[[#This Row],[PostRef]],-1,0)))</f>
        <v>16</v>
      </c>
      <c r="H44" s="306">
        <v>0</v>
      </c>
      <c r="I44" s="306">
        <v>51.2</v>
      </c>
      <c r="J44" s="294"/>
      <c r="K4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51.2</v>
      </c>
    </row>
    <row r="45" spans="2:11" x14ac:dyDescent="0.25">
      <c r="B45" s="11">
        <f>ROW(Journal[[#This Row],[Item]])-ROW(Journal[[#Headers],[Append_Journal]])</f>
        <v>33</v>
      </c>
      <c r="C45" t="s">
        <v>537</v>
      </c>
      <c r="D45" s="295" t="str">
        <f>IF(Journal[[#This Row],[Debit]]&gt;0,"Debit","Credit")</f>
        <v>Debit</v>
      </c>
      <c r="E45" t="s">
        <v>146</v>
      </c>
      <c r="F45" t="s">
        <v>37</v>
      </c>
      <c r="G45" cm="1">
        <f t="array" aca="1" ref="G45" ca="1">IF(AND(ROW(Journal[[#This Row],[PostRef]])=Journal_Row_Min,ROW(OFFSET(Journal[[#This Row],[PostRef]],-1,0))=Journal_Header_Row),1,
IF(AND(Journal[[#This Row],[TransType]]="debit",OFFSET(Journal[[#This Row],[TransType]],-1,0)="credit"),OFFSET(Journal[[#This Row],[PostRef]],-1,0)+1,OFFSET(Journal[[#This Row],[PostRef]],-1,0)))</f>
        <v>17</v>
      </c>
      <c r="H45" s="306">
        <v>75</v>
      </c>
      <c r="I45" s="306">
        <v>0</v>
      </c>
      <c r="J45" s="294"/>
      <c r="K45">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75</v>
      </c>
    </row>
    <row r="46" spans="2:11" x14ac:dyDescent="0.25">
      <c r="B46" s="11">
        <f>ROW(Journal[[#This Row],[Item]])-ROW(Journal[[#Headers],[Append_Journal]])</f>
        <v>34</v>
      </c>
      <c r="C46" t="s">
        <v>537</v>
      </c>
      <c r="D46" s="295" t="str">
        <f>IF(Journal[[#This Row],[Debit]]&gt;0,"Debit","Credit")</f>
        <v>Credit</v>
      </c>
      <c r="E46" t="s">
        <v>146</v>
      </c>
      <c r="F46" t="s">
        <v>27</v>
      </c>
      <c r="G46" cm="1">
        <f t="array" aca="1" ref="G46" ca="1">IF(AND(ROW(Journal[[#This Row],[PostRef]])=Journal_Row_Min,ROW(OFFSET(Journal[[#This Row],[PostRef]],-1,0))=Journal_Header_Row),1,
IF(AND(Journal[[#This Row],[TransType]]="debit",OFFSET(Journal[[#This Row],[TransType]],-1,0)="credit"),OFFSET(Journal[[#This Row],[PostRef]],-1,0)+1,OFFSET(Journal[[#This Row],[PostRef]],-1,0)))</f>
        <v>17</v>
      </c>
      <c r="H46" s="306">
        <v>0</v>
      </c>
      <c r="I46" s="306">
        <v>75</v>
      </c>
      <c r="J46" s="294"/>
      <c r="K4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-75</v>
      </c>
    </row>
    <row r="47" spans="2:11" x14ac:dyDescent="0.25">
      <c r="B47" s="11">
        <f>ROW(Journal[[#This Row],[Item]])-ROW(Journal[[#Headers],[Append_Journal]])</f>
        <v>35</v>
      </c>
      <c r="C47" t="s">
        <v>546</v>
      </c>
      <c r="D47" s="295" t="str">
        <f>IF(Journal[[#This Row],[Debit]]&gt;0,"Debit","Credit")</f>
        <v>Debit</v>
      </c>
      <c r="E47" t="s">
        <v>115</v>
      </c>
      <c r="F47" t="s">
        <v>50</v>
      </c>
      <c r="G47" cm="1">
        <f t="array" aca="1" ref="G47" ca="1">IF(AND(ROW(Journal[[#This Row],[PostRef]])=Journal_Row_Min,ROW(OFFSET(Journal[[#This Row],[PostRef]],-1,0))=Journal_Header_Row),1,
IF(AND(Journal[[#This Row],[TransType]]="debit",OFFSET(Journal[[#This Row],[TransType]],-1,0)="credit"),OFFSET(Journal[[#This Row],[PostRef]],-1,0)+1,OFFSET(Journal[[#This Row],[PostRef]],-1,0)))</f>
        <v>18</v>
      </c>
      <c r="H47" s="306">
        <v>28</v>
      </c>
      <c r="I47" s="306">
        <v>0</v>
      </c>
      <c r="J47" s="294"/>
      <c r="K4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28</v>
      </c>
    </row>
    <row r="48" spans="2:11" x14ac:dyDescent="0.25">
      <c r="B48" s="11">
        <f>ROW(Journal[[#This Row],[Item]])-ROW(Journal[[#Headers],[Append_Journal]])</f>
        <v>36</v>
      </c>
      <c r="C48" t="s">
        <v>546</v>
      </c>
      <c r="D48" s="295" t="str">
        <f>IF(Journal[[#This Row],[Debit]]&gt;0,"Debit","Credit")</f>
        <v>Credit</v>
      </c>
      <c r="E48" t="s">
        <v>115</v>
      </c>
      <c r="F48" t="s">
        <v>11</v>
      </c>
      <c r="G48" cm="1">
        <f t="array" aca="1" ref="G48" ca="1">IF(AND(ROW(Journal[[#This Row],[PostRef]])=Journal_Row_Min,ROW(OFFSET(Journal[[#This Row],[PostRef]],-1,0))=Journal_Header_Row),1,
IF(AND(Journal[[#This Row],[TransType]]="debit",OFFSET(Journal[[#This Row],[TransType]],-1,0)="credit"),OFFSET(Journal[[#This Row],[PostRef]],-1,0)+1,OFFSET(Journal[[#This Row],[PostRef]],-1,0)))</f>
        <v>18</v>
      </c>
      <c r="H48" s="306">
        <v>0</v>
      </c>
      <c r="I48" s="306">
        <v>28</v>
      </c>
      <c r="J48" s="294"/>
      <c r="K4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28</v>
      </c>
    </row>
    <row r="49" spans="2:11" x14ac:dyDescent="0.25">
      <c r="B49" s="11">
        <f>ROW(Journal[[#This Row],[Item]])-ROW(Journal[[#Headers],[Append_Journal]])</f>
        <v>37</v>
      </c>
      <c r="C49" t="s">
        <v>540</v>
      </c>
      <c r="D49" s="295" t="str">
        <f>IF(Journal[[#This Row],[Debit]]&gt;0,"Debit","Credit")</f>
        <v>Debit</v>
      </c>
      <c r="E49" t="s">
        <v>334</v>
      </c>
      <c r="F49" t="s">
        <v>129</v>
      </c>
      <c r="G49" cm="1">
        <f t="array" aca="1" ref="G49" ca="1">IF(AND(ROW(Journal[[#This Row],[PostRef]])=Journal_Row_Min,ROW(OFFSET(Journal[[#This Row],[PostRef]],-1,0))=Journal_Header_Row),1,
IF(AND(Journal[[#This Row],[TransType]]="debit",OFFSET(Journal[[#This Row],[TransType]],-1,0)="credit"),OFFSET(Journal[[#This Row],[PostRef]],-1,0)+1,OFFSET(Journal[[#This Row],[PostRef]],-1,0)))</f>
        <v>19</v>
      </c>
      <c r="H49" s="306">
        <v>27</v>
      </c>
      <c r="I49" s="306">
        <v>0</v>
      </c>
      <c r="J49" s="294"/>
      <c r="K49">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27</v>
      </c>
    </row>
    <row r="50" spans="2:11" x14ac:dyDescent="0.25">
      <c r="B50" s="11">
        <f>ROW(Journal[[#This Row],[Item]])-ROW(Journal[[#Headers],[Append_Journal]])</f>
        <v>38</v>
      </c>
      <c r="C50" t="s">
        <v>540</v>
      </c>
      <c r="D50" s="295" t="str">
        <f>IF(Journal[[#This Row],[Debit]]&gt;0,"Debit","Credit")</f>
        <v>Credit</v>
      </c>
      <c r="E50" t="s">
        <v>334</v>
      </c>
      <c r="F50" t="s">
        <v>11</v>
      </c>
      <c r="G50" cm="1">
        <f t="array" aca="1" ref="G50" ca="1">IF(AND(ROW(Journal[[#This Row],[PostRef]])=Journal_Row_Min,ROW(OFFSET(Journal[[#This Row],[PostRef]],-1,0))=Journal_Header_Row),1,
IF(AND(Journal[[#This Row],[TransType]]="debit",OFFSET(Journal[[#This Row],[TransType]],-1,0)="credit"),OFFSET(Journal[[#This Row],[PostRef]],-1,0)+1,OFFSET(Journal[[#This Row],[PostRef]],-1,0)))</f>
        <v>19</v>
      </c>
      <c r="H50" s="306">
        <v>0</v>
      </c>
      <c r="I50" s="306">
        <v>27</v>
      </c>
      <c r="J50" s="294"/>
      <c r="K50">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27</v>
      </c>
    </row>
    <row r="51" spans="2:11" x14ac:dyDescent="0.25">
      <c r="B51" s="11">
        <f>ROW(Journal[[#This Row],[Item]])-ROW(Journal[[#Headers],[Append_Journal]])</f>
        <v>39</v>
      </c>
      <c r="C51" t="s">
        <v>540</v>
      </c>
      <c r="D51" s="295" t="str">
        <f>IF(Journal[[#This Row],[Debit]]&gt;0,"Debit","Credit")</f>
        <v>Debit</v>
      </c>
      <c r="E51" t="s">
        <v>235</v>
      </c>
      <c r="F51" t="s">
        <v>211</v>
      </c>
      <c r="G51" cm="1">
        <f t="array" aca="1" ref="G51" ca="1">IF(AND(ROW(Journal[[#This Row],[PostRef]])=Journal_Row_Min,ROW(OFFSET(Journal[[#This Row],[PostRef]],-1,0))=Journal_Header_Row),1,
IF(AND(Journal[[#This Row],[TransType]]="debit",OFFSET(Journal[[#This Row],[TransType]],-1,0)="credit"),OFFSET(Journal[[#This Row],[PostRef]],-1,0)+1,OFFSET(Journal[[#This Row],[PostRef]],-1,0)))</f>
        <v>20</v>
      </c>
      <c r="H51" s="306">
        <v>71.349999999999994</v>
      </c>
      <c r="I51" s="306">
        <v>0</v>
      </c>
      <c r="J51" s="294"/>
      <c r="K51">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71.349999999999994</v>
      </c>
    </row>
    <row r="52" spans="2:11" x14ac:dyDescent="0.25">
      <c r="B52" s="11">
        <f>ROW(Journal[[#This Row],[Item]])-ROW(Journal[[#Headers],[Append_Journal]])</f>
        <v>40</v>
      </c>
      <c r="C52" t="s">
        <v>540</v>
      </c>
      <c r="D52" s="295" t="str">
        <f>IF(Journal[[#This Row],[Debit]]&gt;0,"Debit","Credit")</f>
        <v>Credit</v>
      </c>
      <c r="E52" t="s">
        <v>235</v>
      </c>
      <c r="F52" t="s">
        <v>11</v>
      </c>
      <c r="G52" cm="1">
        <f t="array" aca="1" ref="G52" ca="1">IF(AND(ROW(Journal[[#This Row],[PostRef]])=Journal_Row_Min,ROW(OFFSET(Journal[[#This Row],[PostRef]],-1,0))=Journal_Header_Row),1,
IF(AND(Journal[[#This Row],[TransType]]="debit",OFFSET(Journal[[#This Row],[TransType]],-1,0)="credit"),OFFSET(Journal[[#This Row],[PostRef]],-1,0)+1,OFFSET(Journal[[#This Row],[PostRef]],-1,0)))</f>
        <v>20</v>
      </c>
      <c r="H52" s="306">
        <v>0</v>
      </c>
      <c r="I52" s="306">
        <v>71.349999999999994</v>
      </c>
      <c r="J52" s="294"/>
      <c r="K52">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71.349999999999994</v>
      </c>
    </row>
    <row r="53" spans="2:11" x14ac:dyDescent="0.25">
      <c r="B53" s="11">
        <f>ROW(Journal[[#This Row],[Item]])-ROW(Journal[[#Headers],[Append_Journal]])</f>
        <v>41</v>
      </c>
      <c r="C53" t="s">
        <v>544</v>
      </c>
      <c r="D53" s="295" t="str">
        <f>IF(Journal[[#This Row],[Debit]]&gt;0,"Debit","Credit")</f>
        <v>Debit</v>
      </c>
      <c r="E53" t="s">
        <v>119</v>
      </c>
      <c r="F53" t="s">
        <v>50</v>
      </c>
      <c r="G53" cm="1">
        <f t="array" aca="1" ref="G53" ca="1">IF(AND(ROW(Journal[[#This Row],[PostRef]])=Journal_Row_Min,ROW(OFFSET(Journal[[#This Row],[PostRef]],-1,0))=Journal_Header_Row),1,
IF(AND(Journal[[#This Row],[TransType]]="debit",OFFSET(Journal[[#This Row],[TransType]],-1,0)="credit"),OFFSET(Journal[[#This Row],[PostRef]],-1,0)+1,OFFSET(Journal[[#This Row],[PostRef]],-1,0)))</f>
        <v>21</v>
      </c>
      <c r="H53" s="306">
        <v>46.3</v>
      </c>
      <c r="I53" s="306">
        <v>0</v>
      </c>
      <c r="K53">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46.3</v>
      </c>
    </row>
    <row r="54" spans="2:11" x14ac:dyDescent="0.25">
      <c r="B54" s="11">
        <f>ROW(Journal[[#This Row],[Item]])-ROW(Journal[[#Headers],[Append_Journal]])</f>
        <v>42</v>
      </c>
      <c r="C54" t="s">
        <v>544</v>
      </c>
      <c r="D54" s="295" t="str">
        <f>IF(Journal[[#This Row],[Debit]]&gt;0,"Debit","Credit")</f>
        <v>Credit</v>
      </c>
      <c r="E54" t="s">
        <v>119</v>
      </c>
      <c r="F54" t="s">
        <v>11</v>
      </c>
      <c r="G54" cm="1">
        <f t="array" aca="1" ref="G54" ca="1">IF(AND(ROW(Journal[[#This Row],[PostRef]])=Journal_Row_Min,ROW(OFFSET(Journal[[#This Row],[PostRef]],-1,0))=Journal_Header_Row),1,
IF(AND(Journal[[#This Row],[TransType]]="debit",OFFSET(Journal[[#This Row],[TransType]],-1,0)="credit"),OFFSET(Journal[[#This Row],[PostRef]],-1,0)+1,OFFSET(Journal[[#This Row],[PostRef]],-1,0)))</f>
        <v>21</v>
      </c>
      <c r="H54" s="306">
        <v>0</v>
      </c>
      <c r="I54" s="306">
        <v>46.3</v>
      </c>
      <c r="J54" s="294"/>
      <c r="K5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46.3</v>
      </c>
    </row>
    <row r="55" spans="2:11" x14ac:dyDescent="0.25">
      <c r="B55" s="11">
        <f>ROW(Journal[[#This Row],[Item]])-ROW(Journal[[#Headers],[Append_Journal]])</f>
        <v>43</v>
      </c>
      <c r="C55" t="s">
        <v>541</v>
      </c>
      <c r="D55" s="295" t="str">
        <f>IF(Journal[[#This Row],[Debit]]&gt;0,"Debit","Credit")</f>
        <v>Debit</v>
      </c>
      <c r="E55" t="s">
        <v>563</v>
      </c>
      <c r="F55" t="s">
        <v>565</v>
      </c>
      <c r="G55" cm="1">
        <f t="array" aca="1" ref="G55" ca="1">IF(AND(ROW(Journal[[#This Row],[PostRef]])=Journal_Row_Min,ROW(OFFSET(Journal[[#This Row],[PostRef]],-1,0))=Journal_Header_Row),1,
IF(AND(Journal[[#This Row],[TransType]]="debit",OFFSET(Journal[[#This Row],[TransType]],-1,0)="credit"),OFFSET(Journal[[#This Row],[PostRef]],-1,0)+1,OFFSET(Journal[[#This Row],[PostRef]],-1,0)))</f>
        <v>22</v>
      </c>
      <c r="H55" s="306">
        <v>6.99</v>
      </c>
      <c r="I55" s="306">
        <v>0</v>
      </c>
      <c r="J55" s="294"/>
      <c r="K55" t="str">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
      </c>
    </row>
    <row r="56" spans="2:11" x14ac:dyDescent="0.25">
      <c r="B56" s="11">
        <f>ROW(Journal[[#This Row],[Item]])-ROW(Journal[[#Headers],[Append_Journal]])</f>
        <v>44</v>
      </c>
      <c r="C56" t="s">
        <v>541</v>
      </c>
      <c r="D56" s="295" t="str">
        <f>IF(Journal[[#This Row],[Debit]]&gt;0,"Debit","Credit")</f>
        <v>Credit</v>
      </c>
      <c r="E56" t="s">
        <v>563</v>
      </c>
      <c r="F56" t="s">
        <v>11</v>
      </c>
      <c r="G56" cm="1">
        <f t="array" aca="1" ref="G56" ca="1">IF(AND(ROW(Journal[[#This Row],[PostRef]])=Journal_Row_Min,ROW(OFFSET(Journal[[#This Row],[PostRef]],-1,0))=Journal_Header_Row),1,
IF(AND(Journal[[#This Row],[TransType]]="debit",OFFSET(Journal[[#This Row],[TransType]],-1,0)="credit"),OFFSET(Journal[[#This Row],[PostRef]],-1,0)+1,OFFSET(Journal[[#This Row],[PostRef]],-1,0)))</f>
        <v>22</v>
      </c>
      <c r="H56" s="306">
        <v>0</v>
      </c>
      <c r="I56" s="306">
        <v>6.99</v>
      </c>
      <c r="J56" s="294"/>
      <c r="K5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6.99</v>
      </c>
    </row>
    <row r="57" spans="2:11" x14ac:dyDescent="0.25">
      <c r="B57" s="11">
        <f>ROW(Journal[[#This Row],[Item]])-ROW(Journal[[#Headers],[Append_Journal]])</f>
        <v>45</v>
      </c>
      <c r="C57" t="s">
        <v>541</v>
      </c>
      <c r="D57" s="295" t="str">
        <f>IF(Journal[[#This Row],[Debit]]&gt;0,"Debit","Credit")</f>
        <v>Debit</v>
      </c>
      <c r="E57" t="s">
        <v>140</v>
      </c>
      <c r="F57" t="s">
        <v>37</v>
      </c>
      <c r="G57" cm="1">
        <f t="array" aca="1" ref="G57" ca="1">IF(AND(ROW(Journal[[#This Row],[PostRef]])=Journal_Row_Min,ROW(OFFSET(Journal[[#This Row],[PostRef]],-1,0))=Journal_Header_Row),1,
IF(AND(Journal[[#This Row],[TransType]]="debit",OFFSET(Journal[[#This Row],[TransType]],-1,0)="credit"),OFFSET(Journal[[#This Row],[PostRef]],-1,0)+1,OFFSET(Journal[[#This Row],[PostRef]],-1,0)))</f>
        <v>23</v>
      </c>
      <c r="H57" s="306">
        <v>9.99</v>
      </c>
      <c r="I57" s="306">
        <v>0</v>
      </c>
      <c r="J57" s="294"/>
      <c r="K5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9.99</v>
      </c>
    </row>
    <row r="58" spans="2:11" x14ac:dyDescent="0.25">
      <c r="B58" s="11">
        <f>ROW(Journal[[#This Row],[Item]])-ROW(Journal[[#Headers],[Append_Journal]])</f>
        <v>46</v>
      </c>
      <c r="C58" t="s">
        <v>541</v>
      </c>
      <c r="D58" s="295" t="str">
        <f>IF(Journal[[#This Row],[Debit]]&gt;0,"Debit","Credit")</f>
        <v>Credit</v>
      </c>
      <c r="E58" t="s">
        <v>140</v>
      </c>
      <c r="F58" t="s">
        <v>11</v>
      </c>
      <c r="G58" cm="1">
        <f t="array" aca="1" ref="G58" ca="1">IF(AND(ROW(Journal[[#This Row],[PostRef]])=Journal_Row_Min,ROW(OFFSET(Journal[[#This Row],[PostRef]],-1,0))=Journal_Header_Row),1,
IF(AND(Journal[[#This Row],[TransType]]="debit",OFFSET(Journal[[#This Row],[TransType]],-1,0)="credit"),OFFSET(Journal[[#This Row],[PostRef]],-1,0)+1,OFFSET(Journal[[#This Row],[PostRef]],-1,0)))</f>
        <v>23</v>
      </c>
      <c r="H58" s="306">
        <v>0</v>
      </c>
      <c r="I58" s="306">
        <v>9.99</v>
      </c>
      <c r="J58" s="294"/>
      <c r="K5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9.99</v>
      </c>
    </row>
    <row r="59" spans="2:11" x14ac:dyDescent="0.25">
      <c r="B59" s="11">
        <f>ROW(Journal[[#This Row],[Item]])-ROW(Journal[[#Headers],[Append_Journal]])</f>
        <v>47</v>
      </c>
      <c r="C59" t="s">
        <v>550</v>
      </c>
      <c r="D59" s="295" t="str">
        <f>IF(Journal[[#This Row],[Debit]]&gt;0,"Debit","Credit")</f>
        <v>Debit</v>
      </c>
      <c r="E59" t="s">
        <v>185</v>
      </c>
      <c r="F59" t="s">
        <v>211</v>
      </c>
      <c r="G59" cm="1">
        <f t="array" aca="1" ref="G59" ca="1">IF(AND(ROW(Journal[[#This Row],[PostRef]])=Journal_Row_Min,ROW(OFFSET(Journal[[#This Row],[PostRef]],-1,0))=Journal_Header_Row),1,
IF(AND(Journal[[#This Row],[TransType]]="debit",OFFSET(Journal[[#This Row],[TransType]],-1,0)="credit"),OFFSET(Journal[[#This Row],[PostRef]],-1,0)+1,OFFSET(Journal[[#This Row],[PostRef]],-1,0)))</f>
        <v>24</v>
      </c>
      <c r="H59" s="306">
        <v>69.45</v>
      </c>
      <c r="I59" s="306">
        <v>0</v>
      </c>
      <c r="J59" s="294"/>
      <c r="K59">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69.45</v>
      </c>
    </row>
    <row r="60" spans="2:11" x14ac:dyDescent="0.25">
      <c r="B60" s="11">
        <f>ROW(Journal[[#This Row],[Item]])-ROW(Journal[[#Headers],[Append_Journal]])</f>
        <v>48</v>
      </c>
      <c r="C60" t="s">
        <v>550</v>
      </c>
      <c r="D60" s="295" t="str">
        <f>IF(Journal[[#This Row],[Debit]]&gt;0,"Debit","Credit")</f>
        <v>Credit</v>
      </c>
      <c r="E60" t="s">
        <v>185</v>
      </c>
      <c r="F60" t="s">
        <v>11</v>
      </c>
      <c r="G60" cm="1">
        <f t="array" aca="1" ref="G60" ca="1">IF(AND(ROW(Journal[[#This Row],[PostRef]])=Journal_Row_Min,ROW(OFFSET(Journal[[#This Row],[PostRef]],-1,0))=Journal_Header_Row),1,
IF(AND(Journal[[#This Row],[TransType]]="debit",OFFSET(Journal[[#This Row],[TransType]],-1,0)="credit"),OFFSET(Journal[[#This Row],[PostRef]],-1,0)+1,OFFSET(Journal[[#This Row],[PostRef]],-1,0)))</f>
        <v>24</v>
      </c>
      <c r="H60" s="306">
        <v>0</v>
      </c>
      <c r="I60" s="306">
        <v>69.45</v>
      </c>
      <c r="J60" s="294"/>
      <c r="K60">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69.45</v>
      </c>
    </row>
    <row r="61" spans="2:11" x14ac:dyDescent="0.25">
      <c r="B61" s="11">
        <f>ROW(Journal[[#This Row],[Item]])-ROW(Journal[[#Headers],[Append_Journal]])</f>
        <v>49</v>
      </c>
      <c r="C61" t="s">
        <v>557</v>
      </c>
      <c r="D61" s="295" t="str">
        <f>IF(Journal[[#This Row],[Debit]]&gt;0,"Debit","Credit")</f>
        <v>Debit</v>
      </c>
      <c r="E61" t="s">
        <v>197</v>
      </c>
      <c r="F61" t="s">
        <v>48</v>
      </c>
      <c r="G61" cm="1">
        <f t="array" aca="1" ref="G61" ca="1">IF(AND(ROW(Journal[[#This Row],[PostRef]])=Journal_Row_Min,ROW(OFFSET(Journal[[#This Row],[PostRef]],-1,0))=Journal_Header_Row),1,
IF(AND(Journal[[#This Row],[TransType]]="debit",OFFSET(Journal[[#This Row],[TransType]],-1,0)="credit"),OFFSET(Journal[[#This Row],[PostRef]],-1,0)+1,OFFSET(Journal[[#This Row],[PostRef]],-1,0)))</f>
        <v>25</v>
      </c>
      <c r="H61" s="306">
        <v>19.5</v>
      </c>
      <c r="I61" s="306">
        <v>0</v>
      </c>
      <c r="J61" s="294"/>
      <c r="K61">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19.5</v>
      </c>
    </row>
    <row r="62" spans="2:11" x14ac:dyDescent="0.25">
      <c r="B62" s="11">
        <f>ROW(Journal[[#This Row],[Item]])-ROW(Journal[[#Headers],[Append_Journal]])</f>
        <v>50</v>
      </c>
      <c r="C62" t="s">
        <v>557</v>
      </c>
      <c r="D62" s="295" t="str">
        <f>IF(Journal[[#This Row],[Debit]]&gt;0,"Debit","Credit")</f>
        <v>Credit</v>
      </c>
      <c r="E62" t="s">
        <v>197</v>
      </c>
      <c r="F62" t="s">
        <v>11</v>
      </c>
      <c r="G62" cm="1">
        <f t="array" aca="1" ref="G62" ca="1">IF(AND(ROW(Journal[[#This Row],[PostRef]])=Journal_Row_Min,ROW(OFFSET(Journal[[#This Row],[PostRef]],-1,0))=Journal_Header_Row),1,
IF(AND(Journal[[#This Row],[TransType]]="debit",OFFSET(Journal[[#This Row],[TransType]],-1,0)="credit"),OFFSET(Journal[[#This Row],[PostRef]],-1,0)+1,OFFSET(Journal[[#This Row],[PostRef]],-1,0)))</f>
        <v>25</v>
      </c>
      <c r="H62" s="306">
        <v>0</v>
      </c>
      <c r="I62" s="306">
        <v>19.5</v>
      </c>
      <c r="J62" s="294"/>
      <c r="K62">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19.5</v>
      </c>
    </row>
    <row r="63" spans="2:11" x14ac:dyDescent="0.25">
      <c r="B63" s="11">
        <f>ROW(Journal[[#This Row],[Item]])-ROW(Journal[[#Headers],[Append_Journal]])</f>
        <v>51</v>
      </c>
      <c r="C63" t="s">
        <v>557</v>
      </c>
      <c r="D63" s="295" t="str">
        <f>IF(Journal[[#This Row],[Debit]]&gt;0,"Debit","Credit")</f>
        <v>Debit</v>
      </c>
      <c r="E63" t="s">
        <v>193</v>
      </c>
      <c r="F63" t="s">
        <v>27</v>
      </c>
      <c r="G63" cm="1">
        <f t="array" aca="1" ref="G63" ca="1">IF(AND(ROW(Journal[[#This Row],[PostRef]])=Journal_Row_Min,ROW(OFFSET(Journal[[#This Row],[PostRef]],-1,0))=Journal_Header_Row),1,
IF(AND(Journal[[#This Row],[TransType]]="debit",OFFSET(Journal[[#This Row],[TransType]],-1,0)="credit"),OFFSET(Journal[[#This Row],[PostRef]],-1,0)+1,OFFSET(Journal[[#This Row],[PostRef]],-1,0)))</f>
        <v>26</v>
      </c>
      <c r="H63" s="306">
        <v>1875</v>
      </c>
      <c r="I63" s="306">
        <v>0</v>
      </c>
      <c r="J63" s="294"/>
      <c r="K63">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1875</v>
      </c>
    </row>
    <row r="64" spans="2:11" x14ac:dyDescent="0.25">
      <c r="B64" s="11">
        <f>ROW(Journal[[#This Row],[Item]])-ROW(Journal[[#Headers],[Append_Journal]])</f>
        <v>52</v>
      </c>
      <c r="C64" t="s">
        <v>557</v>
      </c>
      <c r="D64" s="295" t="str">
        <f>IF(Journal[[#This Row],[Debit]]&gt;0,"Debit","Credit")</f>
        <v>Credit</v>
      </c>
      <c r="E64" t="s">
        <v>193</v>
      </c>
      <c r="F64" t="s">
        <v>214</v>
      </c>
      <c r="G64" cm="1">
        <f t="array" aca="1" ref="G64" ca="1">IF(AND(ROW(Journal[[#This Row],[PostRef]])=Journal_Row_Min,ROW(OFFSET(Journal[[#This Row],[PostRef]],-1,0))=Journal_Header_Row),1,
IF(AND(Journal[[#This Row],[TransType]]="debit",OFFSET(Journal[[#This Row],[TransType]],-1,0)="credit"),OFFSET(Journal[[#This Row],[PostRef]],-1,0)+1,OFFSET(Journal[[#This Row],[PostRef]],-1,0)))</f>
        <v>26</v>
      </c>
      <c r="H64" s="306">
        <v>0</v>
      </c>
      <c r="I64" s="306">
        <v>1875</v>
      </c>
      <c r="J64" s="294"/>
      <c r="K6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1875</v>
      </c>
    </row>
    <row r="65" spans="2:11" x14ac:dyDescent="0.25">
      <c r="B65" s="11">
        <f>ROW(Journal[[#This Row],[Item]])-ROW(Journal[[#Headers],[Append_Journal]])</f>
        <v>53</v>
      </c>
      <c r="C65" t="s">
        <v>554</v>
      </c>
      <c r="D65" s="295" t="str">
        <f>IF(Journal[[#This Row],[Debit]]&gt;0,"Debit","Credit")</f>
        <v>Debit</v>
      </c>
      <c r="E65" t="s">
        <v>235</v>
      </c>
      <c r="F65" t="s">
        <v>211</v>
      </c>
      <c r="G65" cm="1">
        <f t="array" aca="1" ref="G65" ca="1">IF(AND(ROW(Journal[[#This Row],[PostRef]])=Journal_Row_Min,ROW(OFFSET(Journal[[#This Row],[PostRef]],-1,0))=Journal_Header_Row),1,
IF(AND(Journal[[#This Row],[TransType]]="debit",OFFSET(Journal[[#This Row],[TransType]],-1,0)="credit"),OFFSET(Journal[[#This Row],[PostRef]],-1,0)+1,OFFSET(Journal[[#This Row],[PostRef]],-1,0)))</f>
        <v>27</v>
      </c>
      <c r="H65" s="306">
        <v>69.8</v>
      </c>
      <c r="I65" s="306">
        <v>0</v>
      </c>
      <c r="J65" s="294"/>
      <c r="K65">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69.8</v>
      </c>
    </row>
    <row r="66" spans="2:11" x14ac:dyDescent="0.25">
      <c r="B66" s="11">
        <f>ROW(Journal[[#This Row],[Item]])-ROW(Journal[[#Headers],[Append_Journal]])</f>
        <v>54</v>
      </c>
      <c r="C66" t="s">
        <v>554</v>
      </c>
      <c r="D66" s="295" t="str">
        <f>IF(Journal[[#This Row],[Debit]]&gt;0,"Debit","Credit")</f>
        <v>Credit</v>
      </c>
      <c r="E66" t="s">
        <v>235</v>
      </c>
      <c r="F66" t="s">
        <v>11</v>
      </c>
      <c r="G66" cm="1">
        <f t="array" aca="1" ref="G66" ca="1">IF(AND(ROW(Journal[[#This Row],[PostRef]])=Journal_Row_Min,ROW(OFFSET(Journal[[#This Row],[PostRef]],-1,0))=Journal_Header_Row),1,
IF(AND(Journal[[#This Row],[TransType]]="debit",OFFSET(Journal[[#This Row],[TransType]],-1,0)="credit"),OFFSET(Journal[[#This Row],[PostRef]],-1,0)+1,OFFSET(Journal[[#This Row],[PostRef]],-1,0)))</f>
        <v>27</v>
      </c>
      <c r="H66" s="306">
        <v>0</v>
      </c>
      <c r="I66" s="306">
        <v>69.8</v>
      </c>
      <c r="J66" s="294"/>
      <c r="K6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69.8</v>
      </c>
    </row>
    <row r="67" spans="2:11" x14ac:dyDescent="0.25">
      <c r="B67" s="11">
        <f>ROW(Journal[[#This Row],[Item]])-ROW(Journal[[#Headers],[Append_Journal]])</f>
        <v>55</v>
      </c>
      <c r="C67" t="s">
        <v>547</v>
      </c>
      <c r="D67" s="295" t="str">
        <f>IF(Journal[[#This Row],[Debit]]&gt;0,"Debit","Credit")</f>
        <v>Debit</v>
      </c>
      <c r="E67" t="s">
        <v>56</v>
      </c>
      <c r="F67" t="s">
        <v>50</v>
      </c>
      <c r="G67" cm="1">
        <f t="array" aca="1" ref="G67" ca="1">IF(AND(ROW(Journal[[#This Row],[PostRef]])=Journal_Row_Min,ROW(OFFSET(Journal[[#This Row],[PostRef]],-1,0))=Journal_Header_Row),1,
IF(AND(Journal[[#This Row],[TransType]]="debit",OFFSET(Journal[[#This Row],[TransType]],-1,0)="credit"),OFFSET(Journal[[#This Row],[PostRef]],-1,0)+1,OFFSET(Journal[[#This Row],[PostRef]],-1,0)))</f>
        <v>28</v>
      </c>
      <c r="H67" s="306">
        <v>25.1</v>
      </c>
      <c r="I67" s="306">
        <v>0</v>
      </c>
      <c r="J67" s="294"/>
      <c r="K6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25.1</v>
      </c>
    </row>
    <row r="68" spans="2:11" x14ac:dyDescent="0.25">
      <c r="B68" s="11">
        <f>ROW(Journal[[#This Row],[Item]])-ROW(Journal[[#Headers],[Append_Journal]])</f>
        <v>56</v>
      </c>
      <c r="C68" t="s">
        <v>547</v>
      </c>
      <c r="D68" s="295" t="str">
        <f>IF(Journal[[#This Row],[Debit]]&gt;0,"Debit","Credit")</f>
        <v>Credit</v>
      </c>
      <c r="E68" t="s">
        <v>56</v>
      </c>
      <c r="F68" t="s">
        <v>11</v>
      </c>
      <c r="G68" cm="1">
        <f t="array" aca="1" ref="G68" ca="1">IF(AND(ROW(Journal[[#This Row],[PostRef]])=Journal_Row_Min,ROW(OFFSET(Journal[[#This Row],[PostRef]],-1,0))=Journal_Header_Row),1,
IF(AND(Journal[[#This Row],[TransType]]="debit",OFFSET(Journal[[#This Row],[TransType]],-1,0)="credit"),OFFSET(Journal[[#This Row],[PostRef]],-1,0)+1,OFFSET(Journal[[#This Row],[PostRef]],-1,0)))</f>
        <v>28</v>
      </c>
      <c r="H68" s="306">
        <v>0</v>
      </c>
      <c r="I68" s="306">
        <v>25.1</v>
      </c>
      <c r="J68" s="294"/>
      <c r="K6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25.1</v>
      </c>
    </row>
    <row r="69" spans="2:11" x14ac:dyDescent="0.25">
      <c r="B69" s="11">
        <f>ROW(Journal[[#This Row],[Item]])-ROW(Journal[[#Headers],[Append_Journal]])</f>
        <v>57</v>
      </c>
      <c r="C69" t="s">
        <v>551</v>
      </c>
      <c r="D69" s="295" t="str">
        <f>IF(Journal[[#This Row],[Debit]]&gt;0,"Debit","Credit")</f>
        <v>Debit</v>
      </c>
      <c r="E69" t="s">
        <v>185</v>
      </c>
      <c r="F69" t="s">
        <v>211</v>
      </c>
      <c r="G69" cm="1">
        <f t="array" aca="1" ref="G69" ca="1">IF(AND(ROW(Journal[[#This Row],[PostRef]])=Journal_Row_Min,ROW(OFFSET(Journal[[#This Row],[PostRef]],-1,0))=Journal_Header_Row),1,
IF(AND(Journal[[#This Row],[TransType]]="debit",OFFSET(Journal[[#This Row],[TransType]],-1,0)="credit"),OFFSET(Journal[[#This Row],[PostRef]],-1,0)+1,OFFSET(Journal[[#This Row],[PostRef]],-1,0)))</f>
        <v>29</v>
      </c>
      <c r="H69" s="306">
        <v>88.1</v>
      </c>
      <c r="I69" s="306">
        <v>0</v>
      </c>
      <c r="J69" s="294"/>
      <c r="K69">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88.1</v>
      </c>
    </row>
    <row r="70" spans="2:11" x14ac:dyDescent="0.25">
      <c r="B70" s="11">
        <f>ROW(Journal[[#This Row],[Item]])-ROW(Journal[[#Headers],[Append_Journal]])</f>
        <v>58</v>
      </c>
      <c r="C70" t="s">
        <v>551</v>
      </c>
      <c r="D70" s="295" t="str">
        <f>IF(Journal[[#This Row],[Debit]]&gt;0,"Debit","Credit")</f>
        <v>Credit</v>
      </c>
      <c r="E70" t="s">
        <v>185</v>
      </c>
      <c r="F70" t="s">
        <v>11</v>
      </c>
      <c r="G70" cm="1">
        <f t="array" aca="1" ref="G70" ca="1">IF(AND(ROW(Journal[[#This Row],[PostRef]])=Journal_Row_Min,ROW(OFFSET(Journal[[#This Row],[PostRef]],-1,0))=Journal_Header_Row),1,
IF(AND(Journal[[#This Row],[TransType]]="debit",OFFSET(Journal[[#This Row],[TransType]],-1,0)="credit"),OFFSET(Journal[[#This Row],[PostRef]],-1,0)+1,OFFSET(Journal[[#This Row],[PostRef]],-1,0)))</f>
        <v>29</v>
      </c>
      <c r="H70" s="306">
        <v>0</v>
      </c>
      <c r="I70" s="306">
        <v>88.1</v>
      </c>
      <c r="J70" s="294"/>
      <c r="K70">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88.1</v>
      </c>
    </row>
    <row r="71" spans="2:11" x14ac:dyDescent="0.25">
      <c r="B71" s="11">
        <f>ROW(Journal[[#This Row],[Item]])-ROW(Journal[[#Headers],[Append_Journal]])</f>
        <v>59</v>
      </c>
      <c r="C71" t="s">
        <v>542</v>
      </c>
      <c r="D71" s="295" t="str">
        <f>IF(Journal[[#This Row],[Debit]]&gt;0,"Debit","Credit")</f>
        <v>Debit</v>
      </c>
      <c r="E71" t="s">
        <v>144</v>
      </c>
      <c r="F71" t="s">
        <v>129</v>
      </c>
      <c r="G71" cm="1">
        <f t="array" aca="1" ref="G71" ca="1">IF(AND(ROW(Journal[[#This Row],[PostRef]])=Journal_Row_Min,ROW(OFFSET(Journal[[#This Row],[PostRef]],-1,0))=Journal_Header_Row),1,
IF(AND(Journal[[#This Row],[TransType]]="debit",OFFSET(Journal[[#This Row],[TransType]],-1,0)="credit"),OFFSET(Journal[[#This Row],[PostRef]],-1,0)+1,OFFSET(Journal[[#This Row],[PostRef]],-1,0)))</f>
        <v>30</v>
      </c>
      <c r="H71" s="306">
        <v>11</v>
      </c>
      <c r="I71" s="306">
        <v>0</v>
      </c>
      <c r="J71" s="294"/>
      <c r="K71">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11</v>
      </c>
    </row>
    <row r="72" spans="2:11" x14ac:dyDescent="0.25">
      <c r="B72" s="11">
        <f>ROW(Journal[[#This Row],[Item]])-ROW(Journal[[#Headers],[Append_Journal]])</f>
        <v>60</v>
      </c>
      <c r="C72" t="s">
        <v>542</v>
      </c>
      <c r="D72" s="295" t="str">
        <f>IF(Journal[[#This Row],[Debit]]&gt;0,"Debit","Credit")</f>
        <v>Credit</v>
      </c>
      <c r="E72" t="s">
        <v>144</v>
      </c>
      <c r="F72" t="s">
        <v>11</v>
      </c>
      <c r="G72" cm="1">
        <f t="array" aca="1" ref="G72" ca="1">IF(AND(ROW(Journal[[#This Row],[PostRef]])=Journal_Row_Min,ROW(OFFSET(Journal[[#This Row],[PostRef]],-1,0))=Journal_Header_Row),1,
IF(AND(Journal[[#This Row],[TransType]]="debit",OFFSET(Journal[[#This Row],[TransType]],-1,0)="credit"),OFFSET(Journal[[#This Row],[PostRef]],-1,0)+1,OFFSET(Journal[[#This Row],[PostRef]],-1,0)))</f>
        <v>30</v>
      </c>
      <c r="H72" s="306">
        <v>0</v>
      </c>
      <c r="I72" s="306">
        <v>11</v>
      </c>
      <c r="J72" s="294"/>
      <c r="K72">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11</v>
      </c>
    </row>
    <row r="73" spans="2:11" x14ac:dyDescent="0.25">
      <c r="B73" s="11">
        <f>ROW(Journal[[#This Row],[Item]])-ROW(Journal[[#Headers],[Append_Journal]])</f>
        <v>61</v>
      </c>
      <c r="C73" t="s">
        <v>555</v>
      </c>
      <c r="D73" s="295" t="str">
        <f>IF(Journal[[#This Row],[Debit]]&gt;0,"Debit","Credit")</f>
        <v>Debit</v>
      </c>
      <c r="E73" t="s">
        <v>235</v>
      </c>
      <c r="F73" t="s">
        <v>211</v>
      </c>
      <c r="G73" cm="1">
        <f t="array" aca="1" ref="G73" ca="1">IF(AND(ROW(Journal[[#This Row],[PostRef]])=Journal_Row_Min,ROW(OFFSET(Journal[[#This Row],[PostRef]],-1,0))=Journal_Header_Row),1,
IF(AND(Journal[[#This Row],[TransType]]="debit",OFFSET(Journal[[#This Row],[TransType]],-1,0)="credit"),OFFSET(Journal[[#This Row],[PostRef]],-1,0)+1,OFFSET(Journal[[#This Row],[PostRef]],-1,0)))</f>
        <v>31</v>
      </c>
      <c r="H73" s="306">
        <v>84.1</v>
      </c>
      <c r="I73" s="306">
        <v>0</v>
      </c>
      <c r="J73" s="294"/>
      <c r="K73">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84.1</v>
      </c>
    </row>
    <row r="74" spans="2:11" x14ac:dyDescent="0.25">
      <c r="B74" s="11">
        <f>ROW(Journal[[#This Row],[Item]])-ROW(Journal[[#Headers],[Append_Journal]])</f>
        <v>62</v>
      </c>
      <c r="C74" t="s">
        <v>555</v>
      </c>
      <c r="D74" s="295" t="str">
        <f>IF(Journal[[#This Row],[Debit]]&gt;0,"Debit","Credit")</f>
        <v>Credit</v>
      </c>
      <c r="E74" t="s">
        <v>235</v>
      </c>
      <c r="F74" t="s">
        <v>11</v>
      </c>
      <c r="G74" cm="1">
        <f t="array" aca="1" ref="G74" ca="1">IF(AND(ROW(Journal[[#This Row],[PostRef]])=Journal_Row_Min,ROW(OFFSET(Journal[[#This Row],[PostRef]],-1,0))=Journal_Header_Row),1,
IF(AND(Journal[[#This Row],[TransType]]="debit",OFFSET(Journal[[#This Row],[TransType]],-1,0)="credit"),OFFSET(Journal[[#This Row],[PostRef]],-1,0)+1,OFFSET(Journal[[#This Row],[PostRef]],-1,0)))</f>
        <v>31</v>
      </c>
      <c r="H74" s="306">
        <v>0</v>
      </c>
      <c r="I74" s="306">
        <v>84.1</v>
      </c>
      <c r="J74" s="294"/>
      <c r="K7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84.1</v>
      </c>
    </row>
    <row r="75" spans="2:11" x14ac:dyDescent="0.25">
      <c r="B75" s="11">
        <f>ROW(Journal[[#This Row],[Item]])-ROW(Journal[[#Headers],[Append_Journal]])</f>
        <v>63</v>
      </c>
      <c r="C75" t="s">
        <v>552</v>
      </c>
      <c r="D75" s="295" t="str">
        <f>IF(Journal[[#This Row],[Debit]]&gt;0,"Debit","Credit")</f>
        <v>Debit</v>
      </c>
      <c r="E75" t="s">
        <v>185</v>
      </c>
      <c r="F75" t="s">
        <v>211</v>
      </c>
      <c r="G75" cm="1">
        <f t="array" aca="1" ref="G75" ca="1">IF(AND(ROW(Journal[[#This Row],[PostRef]])=Journal_Row_Min,ROW(OFFSET(Journal[[#This Row],[PostRef]],-1,0))=Journal_Header_Row),1,
IF(AND(Journal[[#This Row],[TransType]]="debit",OFFSET(Journal[[#This Row],[TransType]],-1,0)="credit"),OFFSET(Journal[[#This Row],[PostRef]],-1,0)+1,OFFSET(Journal[[#This Row],[PostRef]],-1,0)))</f>
        <v>32</v>
      </c>
      <c r="H75" s="306">
        <v>72.3</v>
      </c>
      <c r="I75" s="306">
        <v>0</v>
      </c>
      <c r="J75" s="294"/>
      <c r="K75">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72.3</v>
      </c>
    </row>
    <row r="76" spans="2:11" x14ac:dyDescent="0.25">
      <c r="B76" s="11">
        <f>ROW(Journal[[#This Row],[Item]])-ROW(Journal[[#Headers],[Append_Journal]])</f>
        <v>64</v>
      </c>
      <c r="C76" t="s">
        <v>552</v>
      </c>
      <c r="D76" s="295" t="str">
        <f>IF(Journal[[#This Row],[Debit]]&gt;0,"Debit","Credit")</f>
        <v>Credit</v>
      </c>
      <c r="E76" t="s">
        <v>185</v>
      </c>
      <c r="F76" t="s">
        <v>27</v>
      </c>
      <c r="G76" cm="1">
        <f t="array" aca="1" ref="G76" ca="1">IF(AND(ROW(Journal[[#This Row],[PostRef]])=Journal_Row_Min,ROW(OFFSET(Journal[[#This Row],[PostRef]],-1,0))=Journal_Header_Row),1,
IF(AND(Journal[[#This Row],[TransType]]="debit",OFFSET(Journal[[#This Row],[TransType]],-1,0)="credit"),OFFSET(Journal[[#This Row],[PostRef]],-1,0)+1,OFFSET(Journal[[#This Row],[PostRef]],-1,0)))</f>
        <v>32</v>
      </c>
      <c r="H76" s="306">
        <v>0</v>
      </c>
      <c r="I76" s="306">
        <v>72.3</v>
      </c>
      <c r="J76" s="294"/>
      <c r="K7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-72.3</v>
      </c>
    </row>
    <row r="77" spans="2:11" x14ac:dyDescent="0.25">
      <c r="B77" s="11">
        <f>ROW(Journal[[#This Row],[Item]])-ROW(Journal[[#Headers],[Append_Journal]])</f>
        <v>65</v>
      </c>
      <c r="C77" t="s">
        <v>548</v>
      </c>
      <c r="D77" s="295" t="str">
        <f>IF(Journal[[#This Row],[Debit]]&gt;0,"Debit","Credit")</f>
        <v>Debit</v>
      </c>
      <c r="E77" t="s">
        <v>250</v>
      </c>
      <c r="F77" t="s">
        <v>50</v>
      </c>
      <c r="G77" cm="1">
        <f t="array" aca="1" ref="G77" ca="1">IF(AND(ROW(Journal[[#This Row],[PostRef]])=Journal_Row_Min,ROW(OFFSET(Journal[[#This Row],[PostRef]],-1,0))=Journal_Header_Row),1,
IF(AND(Journal[[#This Row],[TransType]]="debit",OFFSET(Journal[[#This Row],[TransType]],-1,0)="credit"),OFFSET(Journal[[#This Row],[PostRef]],-1,0)+1,OFFSET(Journal[[#This Row],[PostRef]],-1,0)))</f>
        <v>33</v>
      </c>
      <c r="H77" s="306">
        <v>12</v>
      </c>
      <c r="I77" s="306">
        <v>0</v>
      </c>
      <c r="J77" s="294"/>
      <c r="K7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12</v>
      </c>
    </row>
    <row r="78" spans="2:11" x14ac:dyDescent="0.25">
      <c r="B78" s="11">
        <f>ROW(Journal[[#This Row],[Item]])-ROW(Journal[[#Headers],[Append_Journal]])</f>
        <v>66</v>
      </c>
      <c r="C78" t="s">
        <v>548</v>
      </c>
      <c r="D78" s="295" t="str">
        <f>IF(Journal[[#This Row],[Debit]]&gt;0,"Debit","Credit")</f>
        <v>Credit</v>
      </c>
      <c r="E78" t="s">
        <v>250</v>
      </c>
      <c r="F78" t="s">
        <v>11</v>
      </c>
      <c r="G78" cm="1">
        <f t="array" aca="1" ref="G78" ca="1">IF(AND(ROW(Journal[[#This Row],[PostRef]])=Journal_Row_Min,ROW(OFFSET(Journal[[#This Row],[PostRef]],-1,0))=Journal_Header_Row),1,
IF(AND(Journal[[#This Row],[TransType]]="debit",OFFSET(Journal[[#This Row],[TransType]],-1,0)="credit"),OFFSET(Journal[[#This Row],[PostRef]],-1,0)+1,OFFSET(Journal[[#This Row],[PostRef]],-1,0)))</f>
        <v>33</v>
      </c>
      <c r="H78" s="306">
        <v>0</v>
      </c>
      <c r="I78" s="306">
        <v>12</v>
      </c>
      <c r="J78" s="294"/>
      <c r="K7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12</v>
      </c>
    </row>
    <row r="79" spans="2:11" x14ac:dyDescent="0.25">
      <c r="B79" s="11">
        <f>ROW(Journal[[#This Row],[Item]])-ROW(Journal[[#Headers],[Append_Journal]])</f>
        <v>67</v>
      </c>
      <c r="C79" t="s">
        <v>558</v>
      </c>
      <c r="D79" s="295" t="str">
        <f>IF(Journal[[#This Row],[Debit]]&gt;0,"Debit","Credit")</f>
        <v>Debit</v>
      </c>
      <c r="E79" t="s">
        <v>208</v>
      </c>
      <c r="F79" t="s">
        <v>54</v>
      </c>
      <c r="G79" cm="1">
        <f t="array" aca="1" ref="G79" ca="1">IF(AND(ROW(Journal[[#This Row],[PostRef]])=Journal_Row_Min,ROW(OFFSET(Journal[[#This Row],[PostRef]],-1,0))=Journal_Header_Row),1,
IF(AND(Journal[[#This Row],[TransType]]="debit",OFFSET(Journal[[#This Row],[TransType]],-1,0)="credit"),OFFSET(Journal[[#This Row],[PostRef]],-1,0)+1,OFFSET(Journal[[#This Row],[PostRef]],-1,0)))</f>
        <v>34</v>
      </c>
      <c r="H79" s="306">
        <v>24.8</v>
      </c>
      <c r="I79" s="306">
        <v>0</v>
      </c>
      <c r="J79" s="294"/>
      <c r="K79">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24.8</v>
      </c>
    </row>
    <row r="80" spans="2:11" x14ac:dyDescent="0.25">
      <c r="B80" s="11">
        <f>ROW(Journal[[#This Row],[Item]])-ROW(Journal[[#Headers],[Append_Journal]])</f>
        <v>68</v>
      </c>
      <c r="C80" t="s">
        <v>558</v>
      </c>
      <c r="D80" s="295" t="str">
        <f>IF(Journal[[#This Row],[Debit]]&gt;0,"Debit","Credit")</f>
        <v>Credit</v>
      </c>
      <c r="E80" t="s">
        <v>208</v>
      </c>
      <c r="F80" t="s">
        <v>27</v>
      </c>
      <c r="G80" cm="1">
        <f t="array" aca="1" ref="G80" ca="1">IF(AND(ROW(Journal[[#This Row],[PostRef]])=Journal_Row_Min,ROW(OFFSET(Journal[[#This Row],[PostRef]],-1,0))=Journal_Header_Row),1,
IF(AND(Journal[[#This Row],[TransType]]="debit",OFFSET(Journal[[#This Row],[TransType]],-1,0)="credit"),OFFSET(Journal[[#This Row],[PostRef]],-1,0)+1,OFFSET(Journal[[#This Row],[PostRef]],-1,0)))</f>
        <v>34</v>
      </c>
      <c r="H80" s="306">
        <v>0</v>
      </c>
      <c r="I80" s="306">
        <v>24.8</v>
      </c>
      <c r="J80" s="294"/>
      <c r="K80">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-24.8</v>
      </c>
    </row>
    <row r="81" spans="2:13" x14ac:dyDescent="0.25">
      <c r="B81" s="11">
        <f>ROW(Journal[[#This Row],[Item]])-ROW(Journal[[#Headers],[Append_Journal]])</f>
        <v>69</v>
      </c>
      <c r="C81" t="s">
        <v>560</v>
      </c>
      <c r="D81" s="295" t="str">
        <f>IF(Journal[[#This Row],[Debit]]&gt;0,"Debit","Credit")</f>
        <v>Debit</v>
      </c>
      <c r="E81" t="s">
        <v>222</v>
      </c>
      <c r="F81" t="s">
        <v>565</v>
      </c>
      <c r="G81" cm="1">
        <f t="array" aca="1" ref="G81" ca="1">IF(AND(ROW(Journal[[#This Row],[PostRef]])=Journal_Row_Min,ROW(OFFSET(Journal[[#This Row],[PostRef]],-1,0))=Journal_Header_Row),1,
IF(AND(Journal[[#This Row],[TransType]]="debit",OFFSET(Journal[[#This Row],[TransType]],-1,0)="credit"),OFFSET(Journal[[#This Row],[PostRef]],-1,0)+1,OFFSET(Journal[[#This Row],[PostRef]],-1,0)))</f>
        <v>35</v>
      </c>
      <c r="H81" s="306">
        <v>14.5</v>
      </c>
      <c r="I81" s="306">
        <v>0</v>
      </c>
      <c r="J81" s="294"/>
      <c r="K81" t="str">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
      </c>
      <c r="M81" s="43" cm="1">
        <f t="array" ref="M81">Row_Ref_Min_Journal</f>
        <v>1</v>
      </c>
    </row>
    <row r="82" spans="2:13" x14ac:dyDescent="0.25">
      <c r="B82" s="11">
        <f>ROW(Journal[[#This Row],[Item]])-ROW(Journal[[#Headers],[Append_Journal]])</f>
        <v>70</v>
      </c>
      <c r="C82" t="s">
        <v>560</v>
      </c>
      <c r="D82" s="295" t="str">
        <f>IF(Journal[[#This Row],[Debit]]&gt;0,"Debit","Credit")</f>
        <v>Credit</v>
      </c>
      <c r="E82" t="s">
        <v>222</v>
      </c>
      <c r="F82" t="s">
        <v>11</v>
      </c>
      <c r="G82" cm="1">
        <f t="array" aca="1" ref="G82" ca="1">IF(AND(ROW(Journal[[#This Row],[PostRef]])=Journal_Row_Min,ROW(OFFSET(Journal[[#This Row],[PostRef]],-1,0))=Journal_Header_Row),1,
IF(AND(Journal[[#This Row],[TransType]]="debit",OFFSET(Journal[[#This Row],[TransType]],-1,0)="credit"),OFFSET(Journal[[#This Row],[PostRef]],-1,0)+1,OFFSET(Journal[[#This Row],[PostRef]],-1,0)))</f>
        <v>35</v>
      </c>
      <c r="H82" s="306">
        <v>0</v>
      </c>
      <c r="I82" s="306">
        <v>14.5</v>
      </c>
      <c r="J82" s="294"/>
      <c r="K82">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14.5</v>
      </c>
    </row>
    <row r="83" spans="2:13" x14ac:dyDescent="0.25">
      <c r="B83" s="11">
        <f>ROW(Journal[[#This Row],[Item]])-ROW(Journal[[#Headers],[Append_Journal]])</f>
        <v>71</v>
      </c>
      <c r="C83" t="s">
        <v>545</v>
      </c>
      <c r="D83" s="295" t="str">
        <f>IF(Journal[[#This Row],[Debit]]&gt;0,"Debit","Credit")</f>
        <v>Debit</v>
      </c>
      <c r="E83" t="s">
        <v>119</v>
      </c>
      <c r="F83" t="s">
        <v>50</v>
      </c>
      <c r="G83" cm="1">
        <f t="array" aca="1" ref="G83" ca="1">IF(AND(ROW(Journal[[#This Row],[PostRef]])=Journal_Row_Min,ROW(OFFSET(Journal[[#This Row],[PostRef]],-1,0))=Journal_Header_Row),1,
IF(AND(Journal[[#This Row],[TransType]]="debit",OFFSET(Journal[[#This Row],[TransType]],-1,0)="credit"),OFFSET(Journal[[#This Row],[PostRef]],-1,0)+1,OFFSET(Journal[[#This Row],[PostRef]],-1,0)))</f>
        <v>36</v>
      </c>
      <c r="H83" s="306">
        <v>51.3</v>
      </c>
      <c r="I83" s="306">
        <v>0</v>
      </c>
      <c r="J83" s="294"/>
      <c r="K83">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51.3</v>
      </c>
    </row>
    <row r="84" spans="2:13" x14ac:dyDescent="0.25">
      <c r="B84" s="11">
        <f>ROW(Journal[[#This Row],[Item]])-ROW(Journal[[#Headers],[Append_Journal]])</f>
        <v>72</v>
      </c>
      <c r="C84" t="s">
        <v>545</v>
      </c>
      <c r="D84" s="295" t="str">
        <f>IF(Journal[[#This Row],[Debit]]&gt;0,"Debit","Credit")</f>
        <v>Credit</v>
      </c>
      <c r="E84" t="s">
        <v>119</v>
      </c>
      <c r="F84" t="s">
        <v>11</v>
      </c>
      <c r="G84" cm="1">
        <f t="array" aca="1" ref="G84" ca="1">IF(AND(ROW(Journal[[#This Row],[PostRef]])=Journal_Row_Min,ROW(OFFSET(Journal[[#This Row],[PostRef]],-1,0))=Journal_Header_Row),1,
IF(AND(Journal[[#This Row],[TransType]]="debit",OFFSET(Journal[[#This Row],[TransType]],-1,0)="credit"),OFFSET(Journal[[#This Row],[PostRef]],-1,0)+1,OFFSET(Journal[[#This Row],[PostRef]],-1,0)))</f>
        <v>36</v>
      </c>
      <c r="H84" s="306">
        <v>0</v>
      </c>
      <c r="I84" s="306">
        <v>51.3</v>
      </c>
      <c r="J84" s="294"/>
      <c r="K8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51.3</v>
      </c>
    </row>
    <row r="85" spans="2:13" x14ac:dyDescent="0.25">
      <c r="B85" s="11">
        <f>ROW(Journal[[#This Row],[Item]])-ROW(Journal[[#Headers],[Append_Journal]])</f>
        <v>73</v>
      </c>
      <c r="C85" t="s">
        <v>559</v>
      </c>
      <c r="D85" s="295" t="str">
        <f>IF(Journal[[#This Row],[Debit]]&gt;0,"Debit","Credit")</f>
        <v>Debit</v>
      </c>
      <c r="E85" t="s">
        <v>245</v>
      </c>
      <c r="F85" t="s">
        <v>48</v>
      </c>
      <c r="G85" cm="1">
        <f t="array" aca="1" ref="G85" ca="1">IF(AND(ROW(Journal[[#This Row],[PostRef]])=Journal_Row_Min,ROW(OFFSET(Journal[[#This Row],[PostRef]],-1,0))=Journal_Header_Row),1,
IF(AND(Journal[[#This Row],[TransType]]="debit",OFFSET(Journal[[#This Row],[TransType]],-1,0)="credit"),OFFSET(Journal[[#This Row],[PostRef]],-1,0)+1,OFFSET(Journal[[#This Row],[PostRef]],-1,0)))</f>
        <v>37</v>
      </c>
      <c r="H85" s="306">
        <v>55.2</v>
      </c>
      <c r="I85" s="306">
        <v>0</v>
      </c>
      <c r="J85" s="294"/>
      <c r="K85">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55.2</v>
      </c>
    </row>
    <row r="86" spans="2:13" x14ac:dyDescent="0.25">
      <c r="B86" s="11">
        <f>ROW(Journal[[#This Row],[Item]])-ROW(Journal[[#Headers],[Append_Journal]])</f>
        <v>74</v>
      </c>
      <c r="C86" t="s">
        <v>559</v>
      </c>
      <c r="D86" s="295" t="str">
        <f>IF(Journal[[#This Row],[Debit]]&gt;0,"Debit","Credit")</f>
        <v>Credit</v>
      </c>
      <c r="E86" t="s">
        <v>245</v>
      </c>
      <c r="F86" t="s">
        <v>27</v>
      </c>
      <c r="G86" cm="1">
        <f t="array" aca="1" ref="G86" ca="1">IF(AND(ROW(Journal[[#This Row],[PostRef]])=Journal_Row_Min,ROW(OFFSET(Journal[[#This Row],[PostRef]],-1,0))=Journal_Header_Row),1,
IF(AND(Journal[[#This Row],[TransType]]="debit",OFFSET(Journal[[#This Row],[TransType]],-1,0)="credit"),OFFSET(Journal[[#This Row],[PostRef]],-1,0)+1,OFFSET(Journal[[#This Row],[PostRef]],-1,0)))</f>
        <v>37</v>
      </c>
      <c r="H86" s="306">
        <v>0</v>
      </c>
      <c r="I86" s="306">
        <v>55.2</v>
      </c>
      <c r="J86" s="294"/>
      <c r="K8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-55.2</v>
      </c>
    </row>
    <row r="87" spans="2:13" x14ac:dyDescent="0.25">
      <c r="B87" s="11">
        <f>ROW(Journal[[#This Row],[Item]])-ROW(Journal[[#Headers],[Append_Journal]])</f>
        <v>75</v>
      </c>
      <c r="C87" t="s">
        <v>553</v>
      </c>
      <c r="D87" s="295" t="str">
        <f>IF(Journal[[#This Row],[Debit]]&gt;0,"Debit","Credit")</f>
        <v>Debit</v>
      </c>
      <c r="E87" t="s">
        <v>185</v>
      </c>
      <c r="F87" t="s">
        <v>211</v>
      </c>
      <c r="G87" cm="1">
        <f t="array" aca="1" ref="G87" ca="1">IF(AND(ROW(Journal[[#This Row],[PostRef]])=Journal_Row_Min,ROW(OFFSET(Journal[[#This Row],[PostRef]],-1,0))=Journal_Header_Row),1,
IF(AND(Journal[[#This Row],[TransType]]="debit",OFFSET(Journal[[#This Row],[TransType]],-1,0)="credit"),OFFSET(Journal[[#This Row],[PostRef]],-1,0)+1,OFFSET(Journal[[#This Row],[PostRef]],-1,0)))</f>
        <v>38</v>
      </c>
      <c r="H87" s="306">
        <v>81.97</v>
      </c>
      <c r="I87" s="306">
        <v>0</v>
      </c>
      <c r="J87" s="294"/>
      <c r="K8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81.97</v>
      </c>
    </row>
    <row r="88" spans="2:13" x14ac:dyDescent="0.25">
      <c r="B88" s="11">
        <f>ROW(Journal[[#This Row],[Item]])-ROW(Journal[[#Headers],[Append_Journal]])</f>
        <v>76</v>
      </c>
      <c r="C88" t="s">
        <v>553</v>
      </c>
      <c r="D88" s="295" t="str">
        <f>IF(Journal[[#This Row],[Debit]]&gt;0,"Debit","Credit")</f>
        <v>Credit</v>
      </c>
      <c r="E88" t="s">
        <v>185</v>
      </c>
      <c r="F88" t="s">
        <v>11</v>
      </c>
      <c r="G88" cm="1">
        <f t="array" aca="1" ref="G88" ca="1">IF(AND(ROW(Journal[[#This Row],[PostRef]])=Journal_Row_Min,ROW(OFFSET(Journal[[#This Row],[PostRef]],-1,0))=Journal_Header_Row),1,
IF(AND(Journal[[#This Row],[TransType]]="debit",OFFSET(Journal[[#This Row],[TransType]],-1,0)="credit"),OFFSET(Journal[[#This Row],[PostRef]],-1,0)+1,OFFSET(Journal[[#This Row],[PostRef]],-1,0)))</f>
        <v>38</v>
      </c>
      <c r="H88" s="306">
        <v>0</v>
      </c>
      <c r="I88" s="306">
        <v>81.97</v>
      </c>
      <c r="J88" s="294"/>
      <c r="K8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81.97</v>
      </c>
    </row>
    <row r="89" spans="2:13" x14ac:dyDescent="0.25">
      <c r="B89" s="11">
        <f>ROW(Journal[[#This Row],[Item]])-ROW(Journal[[#Headers],[Append_Journal]])</f>
        <v>77</v>
      </c>
      <c r="C89" t="s">
        <v>553</v>
      </c>
      <c r="D89" s="295" t="str">
        <f>IF(Journal[[#This Row],[Debit]]&gt;0,"Debit","Credit")</f>
        <v>Debit</v>
      </c>
      <c r="E89" t="s">
        <v>252</v>
      </c>
      <c r="F89" t="s">
        <v>2</v>
      </c>
      <c r="G89" cm="1">
        <f t="array" aca="1" ref="G89" ca="1">IF(AND(ROW(Journal[[#This Row],[PostRef]])=Journal_Row_Min,ROW(OFFSET(Journal[[#This Row],[PostRef]],-1,0))=Journal_Header_Row),1,
IF(AND(Journal[[#This Row],[TransType]]="debit",OFFSET(Journal[[#This Row],[TransType]],-1,0)="credit"),OFFSET(Journal[[#This Row],[PostRef]],-1,0)+1,OFFSET(Journal[[#This Row],[PostRef]],-1,0)))</f>
        <v>39</v>
      </c>
      <c r="H89" s="306">
        <v>45</v>
      </c>
      <c r="I89" s="306">
        <v>0</v>
      </c>
      <c r="J89" s="294"/>
      <c r="K89">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45</v>
      </c>
    </row>
    <row r="90" spans="2:13" x14ac:dyDescent="0.25">
      <c r="B90" s="11">
        <f>ROW(Journal[[#This Row],[Item]])-ROW(Journal[[#Headers],[Append_Journal]])</f>
        <v>78</v>
      </c>
      <c r="C90" t="s">
        <v>553</v>
      </c>
      <c r="D90" s="295" t="str">
        <f>IF(Journal[[#This Row],[Debit]]&gt;0,"Debit","Credit")</f>
        <v>Credit</v>
      </c>
      <c r="E90" t="s">
        <v>252</v>
      </c>
      <c r="F90" t="s">
        <v>27</v>
      </c>
      <c r="G90" cm="1">
        <f t="array" aca="1" ref="G90" ca="1">IF(AND(ROW(Journal[[#This Row],[PostRef]])=Journal_Row_Min,ROW(OFFSET(Journal[[#This Row],[PostRef]],-1,0))=Journal_Header_Row),1,
IF(AND(Journal[[#This Row],[TransType]]="debit",OFFSET(Journal[[#This Row],[TransType]],-1,0)="credit"),OFFSET(Journal[[#This Row],[PostRef]],-1,0)+1,OFFSET(Journal[[#This Row],[PostRef]],-1,0)))</f>
        <v>39</v>
      </c>
      <c r="H90" s="306">
        <v>0</v>
      </c>
      <c r="I90" s="306">
        <v>45</v>
      </c>
      <c r="J90" s="294"/>
      <c r="K90">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-45</v>
      </c>
    </row>
    <row r="91" spans="2:13" x14ac:dyDescent="0.25">
      <c r="B91" s="11">
        <f>ROW(Journal[[#This Row],[Item]])-ROW(Journal[[#Headers],[Append_Journal]])</f>
        <v>79</v>
      </c>
      <c r="C91" t="s">
        <v>556</v>
      </c>
      <c r="D91" s="295" t="str">
        <f>IF(Journal[[#This Row],[Debit]]&gt;0,"Debit","Credit")</f>
        <v>Debit</v>
      </c>
      <c r="E91" t="s">
        <v>235</v>
      </c>
      <c r="F91" t="s">
        <v>211</v>
      </c>
      <c r="G91" cm="1">
        <f t="array" aca="1" ref="G91" ca="1">IF(AND(ROW(Journal[[#This Row],[PostRef]])=Journal_Row_Min,ROW(OFFSET(Journal[[#This Row],[PostRef]],-1,0))=Journal_Header_Row),1,
IF(AND(Journal[[#This Row],[TransType]]="debit",OFFSET(Journal[[#This Row],[TransType]],-1,0)="credit"),OFFSET(Journal[[#This Row],[PostRef]],-1,0)+1,OFFSET(Journal[[#This Row],[PostRef]],-1,0)))</f>
        <v>40</v>
      </c>
      <c r="H91" s="306">
        <v>97</v>
      </c>
      <c r="I91" s="306">
        <v>0</v>
      </c>
      <c r="J91" s="294"/>
      <c r="K91">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97</v>
      </c>
    </row>
    <row r="92" spans="2:13" x14ac:dyDescent="0.25">
      <c r="B92" s="11">
        <f>ROW(Journal[[#This Row],[Item]])-ROW(Journal[[#Headers],[Append_Journal]])</f>
        <v>80</v>
      </c>
      <c r="C92" t="s">
        <v>556</v>
      </c>
      <c r="D92" s="295" t="str">
        <f>IF(Journal[[#This Row],[Debit]]&gt;0,"Debit","Credit")</f>
        <v>Credit</v>
      </c>
      <c r="E92" t="s">
        <v>235</v>
      </c>
      <c r="F92" t="s">
        <v>11</v>
      </c>
      <c r="G92" cm="1">
        <f t="array" aca="1" ref="G92" ca="1">IF(AND(ROW(Journal[[#This Row],[PostRef]])=Journal_Row_Min,ROW(OFFSET(Journal[[#This Row],[PostRef]],-1,0))=Journal_Header_Row),1,
IF(AND(Journal[[#This Row],[TransType]]="debit",OFFSET(Journal[[#This Row],[TransType]],-1,0)="credit"),OFFSET(Journal[[#This Row],[PostRef]],-1,0)+1,OFFSET(Journal[[#This Row],[PostRef]],-1,0)))</f>
        <v>40</v>
      </c>
      <c r="H92" s="306">
        <v>0</v>
      </c>
      <c r="I92" s="306">
        <v>97</v>
      </c>
      <c r="J92" s="294"/>
      <c r="K92">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97</v>
      </c>
    </row>
    <row r="93" spans="2:13" x14ac:dyDescent="0.25">
      <c r="B93" s="11">
        <f>ROW(Journal[[#This Row],[Item]])-ROW(Journal[[#Headers],[Append_Journal]])</f>
        <v>81</v>
      </c>
      <c r="C93" t="s">
        <v>561</v>
      </c>
      <c r="D93" s="295" t="str">
        <f>IF(Journal[[#This Row],[Debit]]&gt;0,"Debit","Credit")</f>
        <v>Debit</v>
      </c>
      <c r="E93" t="s">
        <v>319</v>
      </c>
      <c r="F93" t="s">
        <v>503</v>
      </c>
      <c r="G93" cm="1">
        <f t="array" aca="1" ref="G93" ca="1">IF(AND(ROW(Journal[[#This Row],[PostRef]])=Journal_Row_Min,ROW(OFFSET(Journal[[#This Row],[PostRef]],-1,0))=Journal_Header_Row),1,
IF(AND(Journal[[#This Row],[TransType]]="debit",OFFSET(Journal[[#This Row],[TransType]],-1,0)="credit"),OFFSET(Journal[[#This Row],[PostRef]],-1,0)+1,OFFSET(Journal[[#This Row],[PostRef]],-1,0)))</f>
        <v>41</v>
      </c>
      <c r="H93" s="306">
        <v>5</v>
      </c>
      <c r="I93" s="306">
        <v>0</v>
      </c>
      <c r="J93" s="294"/>
      <c r="K93">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v>
      </c>
    </row>
    <row r="94" spans="2:13" x14ac:dyDescent="0.25">
      <c r="B94" s="11">
        <f>ROW(Journal[[#This Row],[Item]])-ROW(Journal[[#Headers],[Append_Journal]])</f>
        <v>82</v>
      </c>
      <c r="C94" t="s">
        <v>561</v>
      </c>
      <c r="D94" s="295" t="str">
        <f>IF(Journal[[#This Row],[Debit]]&gt;0,"Debit","Credit")</f>
        <v>Credit</v>
      </c>
      <c r="E94" t="s">
        <v>319</v>
      </c>
      <c r="F94" t="s">
        <v>11</v>
      </c>
      <c r="G94" cm="1">
        <f t="array" aca="1" ref="G94" ca="1">IF(AND(ROW(Journal[[#This Row],[PostRef]])=Journal_Row_Min,ROW(OFFSET(Journal[[#This Row],[PostRef]],-1,0))=Journal_Header_Row),1,
IF(AND(Journal[[#This Row],[TransType]]="debit",OFFSET(Journal[[#This Row],[TransType]],-1,0)="credit"),OFFSET(Journal[[#This Row],[PostRef]],-1,0)+1,OFFSET(Journal[[#This Row],[PostRef]],-1,0)))</f>
        <v>41</v>
      </c>
      <c r="H94" s="306">
        <v>0</v>
      </c>
      <c r="I94" s="306">
        <v>5</v>
      </c>
      <c r="J94" s="294"/>
      <c r="K94">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5</v>
      </c>
    </row>
    <row r="95" spans="2:13" x14ac:dyDescent="0.25">
      <c r="B95" s="11">
        <f>ROW(Journal[[#This Row],[Item]])-ROW(Journal[[#Headers],[Append_Journal]])</f>
        <v>83</v>
      </c>
      <c r="C95" t="s">
        <v>562</v>
      </c>
      <c r="D95" s="295" t="str">
        <f>IF(Journal[[#This Row],[Debit]]&gt;0,"Debit","Credit")</f>
        <v>Debit</v>
      </c>
      <c r="E95" t="s">
        <v>240</v>
      </c>
      <c r="F95" t="s">
        <v>11</v>
      </c>
      <c r="G95" cm="1">
        <f t="array" aca="1" ref="G95" ca="1">IF(AND(ROW(Journal[[#This Row],[PostRef]])=Journal_Row_Min,ROW(OFFSET(Journal[[#This Row],[PostRef]],-1,0))=Journal_Header_Row),1,
IF(AND(Journal[[#This Row],[TransType]]="debit",OFFSET(Journal[[#This Row],[TransType]],-1,0)="credit"),OFFSET(Journal[[#This Row],[PostRef]],-1,0)+1,OFFSET(Journal[[#This Row],[PostRef]],-1,0)))</f>
        <v>42</v>
      </c>
      <c r="H95" s="306">
        <v>1330.36</v>
      </c>
      <c r="I95" s="306">
        <v>0</v>
      </c>
      <c r="J95" s="294"/>
      <c r="K95">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-1330.36</v>
      </c>
    </row>
    <row r="96" spans="2:13" x14ac:dyDescent="0.25">
      <c r="B96" s="11">
        <f>ROW(Journal[[#This Row],[Item]])-ROW(Journal[[#Headers],[Append_Journal]])</f>
        <v>84</v>
      </c>
      <c r="C96" t="s">
        <v>562</v>
      </c>
      <c r="D96" s="295" t="str">
        <f>IF(Journal[[#This Row],[Debit]]&gt;0,"Debit","Credit")</f>
        <v>Credit</v>
      </c>
      <c r="E96" t="s">
        <v>240</v>
      </c>
      <c r="F96" t="s">
        <v>27</v>
      </c>
      <c r="G96" cm="1">
        <f t="array" aca="1" ref="G96" ca="1">IF(AND(ROW(Journal[[#This Row],[PostRef]])=Journal_Row_Min,ROW(OFFSET(Journal[[#This Row],[PostRef]],-1,0))=Journal_Header_Row),1,
IF(AND(Journal[[#This Row],[TransType]]="debit",OFFSET(Journal[[#This Row],[TransType]],-1,0)="credit"),OFFSET(Journal[[#This Row],[PostRef]],-1,0)+1,OFFSET(Journal[[#This Row],[PostRef]],-1,0)))</f>
        <v>42</v>
      </c>
      <c r="H96" s="306">
        <v>0</v>
      </c>
      <c r="I96" s="306">
        <v>1330.36</v>
      </c>
      <c r="J96" s="294"/>
      <c r="K96">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-1330.36</v>
      </c>
    </row>
    <row r="97" spans="2:12" x14ac:dyDescent="0.25">
      <c r="B97" s="11">
        <f>ROW(Journal[[#This Row],[Item]])-ROW(Journal[[#Headers],[Append_Journal]])</f>
        <v>85</v>
      </c>
      <c r="C97" t="s">
        <v>562</v>
      </c>
      <c r="D97" s="295" t="str">
        <f>IF(Journal[[#This Row],[Debit]]&gt;0,"Debit","Credit")</f>
        <v>Debit</v>
      </c>
      <c r="E97" t="s">
        <v>253</v>
      </c>
      <c r="F97" t="s">
        <v>503</v>
      </c>
      <c r="G97" cm="1">
        <f t="array" aca="1" ref="G97" ca="1">IF(AND(ROW(Journal[[#This Row],[PostRef]])=Journal_Row_Min,ROW(OFFSET(Journal[[#This Row],[PostRef]],-1,0))=Journal_Header_Row),1,
IF(AND(Journal[[#This Row],[TransType]]="debit",OFFSET(Journal[[#This Row],[TransType]],-1,0)="credit"),OFFSET(Journal[[#This Row],[PostRef]],-1,0)+1,OFFSET(Journal[[#This Row],[PostRef]],-1,0)))</f>
        <v>43</v>
      </c>
      <c r="H97" s="306">
        <v>3.95</v>
      </c>
      <c r="I97" s="306">
        <v>0</v>
      </c>
      <c r="J97" s="294"/>
      <c r="K97">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3.95</v>
      </c>
    </row>
    <row r="98" spans="2:12" x14ac:dyDescent="0.25">
      <c r="B98" s="11">
        <f>ROW(Journal[[#This Row],[Item]])-ROW(Journal[[#Headers],[Append_Journal]])</f>
        <v>86</v>
      </c>
      <c r="C98" t="s">
        <v>562</v>
      </c>
      <c r="D98" s="295" t="str">
        <f>IF(Journal[[#This Row],[Debit]]&gt;0,"Debit","Credit")</f>
        <v>Credit</v>
      </c>
      <c r="E98" t="s">
        <v>253</v>
      </c>
      <c r="F98" t="s">
        <v>27</v>
      </c>
      <c r="G98" cm="1">
        <f t="array" aca="1" ref="G98" ca="1">IF(AND(ROW(Journal[[#This Row],[PostRef]])=Journal_Row_Min,ROW(OFFSET(Journal[[#This Row],[PostRef]],-1,0))=Journal_Header_Row),1,
IF(AND(Journal[[#This Row],[TransType]]="debit",OFFSET(Journal[[#This Row],[TransType]],-1,0)="credit"),OFFSET(Journal[[#This Row],[PostRef]],-1,0)+1,OFFSET(Journal[[#This Row],[PostRef]],-1,0)))</f>
        <v>43</v>
      </c>
      <c r="H98" s="306">
        <v>0</v>
      </c>
      <c r="I98" s="306">
        <v>3.95</v>
      </c>
      <c r="J98" s="294"/>
      <c r="K98">
        <f>IF(
   AND(_xlfn.XLOOKUP(Journal[[#This Row],[AccountName]],acct_ref[AccountName],acct_ref[BalanceID],"",0)=1, Journal[[#This Row],[Debit]]&gt;0),
      Journal[[#This Row],[Debit]],
      IF(AND(_xlfn.XLOOKUP(Journal[[#This Row],[AccountName]],acct_ref[AccountName],acct_ref[BalanceID],"",0)=1,Journal[[#This Row],[Credit]]&gt;0),
         -(Journal[[#This Row],[Credit]]),
         IF(AND(_xlfn.XLOOKUP(Journal[[#This Row],[AccountName]],acct_ref[AccountName],acct_ref[BalanceID],"",0)=2, Journal[[#This Row],[Credit]]&gt;0),
            Journal[[#This Row],[Credit]],
            IF(AND(_xlfn.XLOOKUP(Journal[[#This Row],[AccountName]],acct_ref[AccountName],acct_ref[BalanceID],"",0)=2,Journal[[#This Row],[Debit]]&gt;0),
               -(Journal[[#This Row],[Debit]]),
               ""
            )
         )
      )
)</f>
        <v>-3.95</v>
      </c>
    </row>
    <row r="99" spans="2:12" x14ac:dyDescent="0.25">
      <c r="L99" s="1" t="e">
        <f>SUM(#REF!)</f>
        <v>#REF!</v>
      </c>
    </row>
    <row r="100" spans="2:12" x14ac:dyDescent="0.25">
      <c r="L100" s="1"/>
    </row>
    <row r="132" spans="12:12" x14ac:dyDescent="0.25">
      <c r="L132" s="1" t="e">
        <f>SUM(#REF!)</f>
        <v>#REF!</v>
      </c>
    </row>
    <row r="133" spans="12:12" x14ac:dyDescent="0.25">
      <c r="L133" s="1"/>
    </row>
    <row r="134" spans="12:12" x14ac:dyDescent="0.25">
      <c r="L134" s="1"/>
    </row>
    <row r="145" spans="11:12" x14ac:dyDescent="0.25">
      <c r="K145">
        <v>19194.36</v>
      </c>
    </row>
    <row r="146" spans="11:12" x14ac:dyDescent="0.25">
      <c r="K146">
        <v>19194.36</v>
      </c>
    </row>
    <row r="152" spans="11:12" x14ac:dyDescent="0.25">
      <c r="L152" s="1"/>
    </row>
    <row r="160" spans="11:12" x14ac:dyDescent="0.25">
      <c r="L160" s="1"/>
    </row>
    <row r="176" spans="13:13" x14ac:dyDescent="0.25">
      <c r="M176">
        <v>23.13</v>
      </c>
    </row>
    <row r="177" spans="13:13" x14ac:dyDescent="0.25">
      <c r="M177">
        <v>7.77</v>
      </c>
    </row>
    <row r="178" spans="13:13" x14ac:dyDescent="0.25">
      <c r="M178">
        <v>21.45</v>
      </c>
    </row>
    <row r="197" spans="12:12" x14ac:dyDescent="0.25">
      <c r="L197" s="1"/>
    </row>
    <row r="209" spans="12:12" x14ac:dyDescent="0.25">
      <c r="L209" s="1"/>
    </row>
    <row r="215" spans="12:12" x14ac:dyDescent="0.25">
      <c r="L215" s="1"/>
    </row>
    <row r="216" spans="12:12" x14ac:dyDescent="0.25">
      <c r="L216" s="1"/>
    </row>
    <row r="217" spans="12:12" x14ac:dyDescent="0.25">
      <c r="L217" s="1"/>
    </row>
    <row r="323" spans="13:13" x14ac:dyDescent="0.25">
      <c r="M323">
        <v>1.98</v>
      </c>
    </row>
    <row r="324" spans="13:13" x14ac:dyDescent="0.25">
      <c r="M324">
        <f>SUM(M323:M323)</f>
        <v>1.98</v>
      </c>
    </row>
    <row r="340" spans="13:14" x14ac:dyDescent="0.25">
      <c r="M340">
        <v>202.45</v>
      </c>
    </row>
    <row r="341" spans="13:14" x14ac:dyDescent="0.25">
      <c r="M341">
        <v>11.29</v>
      </c>
    </row>
    <row r="342" spans="13:14" x14ac:dyDescent="0.25">
      <c r="M342">
        <f>SUM(M340:M341)</f>
        <v>213.73999999999998</v>
      </c>
    </row>
    <row r="352" spans="13:14" x14ac:dyDescent="0.25">
      <c r="N352">
        <v>119.57</v>
      </c>
    </row>
    <row r="353" spans="14:14" x14ac:dyDescent="0.25">
      <c r="N353">
        <v>24.3</v>
      </c>
    </row>
    <row r="354" spans="14:14" x14ac:dyDescent="0.25">
      <c r="N354">
        <v>27.99</v>
      </c>
    </row>
    <row r="355" spans="14:14" x14ac:dyDescent="0.25">
      <c r="N355">
        <v>31.72</v>
      </c>
    </row>
    <row r="356" spans="14:14" x14ac:dyDescent="0.25">
      <c r="N356">
        <v>1.37</v>
      </c>
    </row>
    <row r="357" spans="14:14" x14ac:dyDescent="0.25">
      <c r="N357">
        <v>24.3</v>
      </c>
    </row>
    <row r="359" spans="14:14" x14ac:dyDescent="0.25">
      <c r="N359">
        <v>2.5</v>
      </c>
    </row>
    <row r="360" spans="14:14" x14ac:dyDescent="0.25">
      <c r="N360">
        <f>SUM(N352:N359)</f>
        <v>231.75000000000003</v>
      </c>
    </row>
    <row r="433" spans="16:16" x14ac:dyDescent="0.25">
      <c r="P433" t="s">
        <v>118</v>
      </c>
    </row>
    <row r="544" spans="11:11" x14ac:dyDescent="0.25">
      <c r="K544">
        <v>7.93</v>
      </c>
    </row>
    <row r="545" spans="11:15" x14ac:dyDescent="0.25">
      <c r="K545">
        <v>3</v>
      </c>
    </row>
    <row r="546" spans="11:15" x14ac:dyDescent="0.25">
      <c r="K546">
        <v>7.84</v>
      </c>
    </row>
    <row r="547" spans="11:15" x14ac:dyDescent="0.25">
      <c r="K547">
        <v>5</v>
      </c>
    </row>
    <row r="548" spans="11:15" x14ac:dyDescent="0.25">
      <c r="K548">
        <v>7.01</v>
      </c>
    </row>
    <row r="549" spans="11:15" x14ac:dyDescent="0.25">
      <c r="K549">
        <f>SUM(K544:K548)</f>
        <v>30.78</v>
      </c>
    </row>
    <row r="554" spans="11:15" x14ac:dyDescent="0.25">
      <c r="K554">
        <v>146.36000000000001</v>
      </c>
      <c r="M554">
        <v>2849</v>
      </c>
    </row>
    <row r="555" spans="11:15" x14ac:dyDescent="0.25">
      <c r="M555">
        <v>8400</v>
      </c>
      <c r="N555">
        <v>1400</v>
      </c>
      <c r="O555">
        <v>6</v>
      </c>
    </row>
    <row r="556" spans="11:15" x14ac:dyDescent="0.25">
      <c r="M556">
        <v>-1500</v>
      </c>
    </row>
    <row r="557" spans="11:15" x14ac:dyDescent="0.25">
      <c r="M557">
        <f>SUM(M554:M556)</f>
        <v>9749</v>
      </c>
    </row>
    <row r="582" spans="12:12" x14ac:dyDescent="0.25">
      <c r="L582">
        <v>34.409999999999997</v>
      </c>
    </row>
    <row r="621" spans="11:11" x14ac:dyDescent="0.25">
      <c r="K621">
        <v>14.28</v>
      </c>
    </row>
    <row r="622" spans="11:11" x14ac:dyDescent="0.25">
      <c r="K622">
        <v>6</v>
      </c>
    </row>
    <row r="623" spans="11:11" x14ac:dyDescent="0.25">
      <c r="K623">
        <v>56.49</v>
      </c>
    </row>
    <row r="624" spans="11:11" x14ac:dyDescent="0.25">
      <c r="K624">
        <v>27.31</v>
      </c>
    </row>
    <row r="625" spans="11:16" x14ac:dyDescent="0.25">
      <c r="K625">
        <f>SUM(K621:K624)</f>
        <v>104.08000000000001</v>
      </c>
    </row>
    <row r="632" spans="11:16" x14ac:dyDescent="0.25">
      <c r="K632">
        <v>14.68</v>
      </c>
    </row>
    <row r="633" spans="11:16" x14ac:dyDescent="0.25">
      <c r="K633">
        <v>14.24</v>
      </c>
    </row>
    <row r="634" spans="11:16" x14ac:dyDescent="0.25">
      <c r="K634">
        <v>8.39</v>
      </c>
    </row>
    <row r="635" spans="11:16" x14ac:dyDescent="0.25">
      <c r="K635">
        <v>27.31</v>
      </c>
    </row>
    <row r="636" spans="11:16" x14ac:dyDescent="0.25">
      <c r="K636">
        <v>56.49</v>
      </c>
    </row>
    <row r="637" spans="11:16" x14ac:dyDescent="0.25">
      <c r="P637" cm="1">
        <f t="array" ref="P637">Row_Min_Journal</f>
        <v>13</v>
      </c>
    </row>
    <row r="657" spans="11:11" x14ac:dyDescent="0.25">
      <c r="K657">
        <v>9.92</v>
      </c>
    </row>
    <row r="658" spans="11:11" x14ac:dyDescent="0.25">
      <c r="K658">
        <v>17.829999999999998</v>
      </c>
    </row>
    <row r="659" spans="11:11" x14ac:dyDescent="0.25">
      <c r="K659">
        <f>SUM(K657:K658)</f>
        <v>27.75</v>
      </c>
    </row>
    <row r="668" spans="11:11" x14ac:dyDescent="0.25">
      <c r="K668">
        <v>31.19</v>
      </c>
    </row>
    <row r="669" spans="11:11" x14ac:dyDescent="0.25">
      <c r="K669">
        <v>17.16</v>
      </c>
    </row>
    <row r="670" spans="11:11" x14ac:dyDescent="0.25">
      <c r="K670">
        <f>SUM(K668:K669)</f>
        <v>48.35</v>
      </c>
    </row>
    <row r="673" spans="11:11" x14ac:dyDescent="0.25">
      <c r="K673">
        <v>48.35</v>
      </c>
    </row>
    <row r="674" spans="11:11" x14ac:dyDescent="0.25">
      <c r="K674">
        <v>3</v>
      </c>
    </row>
    <row r="675" spans="11:11" x14ac:dyDescent="0.25">
      <c r="K675">
        <v>6.77</v>
      </c>
    </row>
    <row r="676" spans="11:11" x14ac:dyDescent="0.25">
      <c r="K676">
        <f>SUM(K673:K675)</f>
        <v>58.120000000000005</v>
      </c>
    </row>
    <row r="697" spans="12:12" x14ac:dyDescent="0.25">
      <c r="L697">
        <v>43.21</v>
      </c>
    </row>
    <row r="698" spans="12:12" x14ac:dyDescent="0.25">
      <c r="L698">
        <f>SUM(L697:L697)</f>
        <v>43.21</v>
      </c>
    </row>
    <row r="766" spans="23:23" x14ac:dyDescent="0.25">
      <c r="W766">
        <f ca="1">INDEX(Journal[PostRef],MATCH(MAX(Journal[PostRef]),Journal[PostRef],0))</f>
        <v>43</v>
      </c>
    </row>
    <row r="770" spans="15:15" x14ac:dyDescent="0.25">
      <c r="O770">
        <v>14.68</v>
      </c>
    </row>
    <row r="777" spans="15:15" x14ac:dyDescent="0.25">
      <c r="O777">
        <v>11.29</v>
      </c>
    </row>
    <row r="779" spans="15:15" x14ac:dyDescent="0.25">
      <c r="O779">
        <v>31.62</v>
      </c>
    </row>
    <row r="786" spans="12:19" x14ac:dyDescent="0.25">
      <c r="O786">
        <v>4.0999999999999996</v>
      </c>
      <c r="S786">
        <v>-808</v>
      </c>
    </row>
    <row r="787" spans="12:19" x14ac:dyDescent="0.25">
      <c r="O787">
        <v>7.65</v>
      </c>
      <c r="S787">
        <v>694</v>
      </c>
    </row>
    <row r="791" spans="12:19" x14ac:dyDescent="0.25">
      <c r="L791">
        <v>5529.06</v>
      </c>
    </row>
    <row r="792" spans="12:19" x14ac:dyDescent="0.25">
      <c r="L792">
        <v>-450</v>
      </c>
    </row>
    <row r="793" spans="12:19" x14ac:dyDescent="0.25">
      <c r="L793">
        <v>-65</v>
      </c>
      <c r="O793">
        <v>43.21</v>
      </c>
      <c r="S793">
        <v>180</v>
      </c>
    </row>
    <row r="794" spans="12:19" x14ac:dyDescent="0.25">
      <c r="L794">
        <v>-218</v>
      </c>
    </row>
    <row r="795" spans="12:19" x14ac:dyDescent="0.25">
      <c r="L795">
        <v>-300</v>
      </c>
    </row>
    <row r="796" spans="12:19" x14ac:dyDescent="0.25">
      <c r="L796">
        <v>-50</v>
      </c>
    </row>
    <row r="797" spans="12:19" x14ac:dyDescent="0.25">
      <c r="L797">
        <v>-50</v>
      </c>
    </row>
    <row r="798" spans="12:19" x14ac:dyDescent="0.25">
      <c r="L798">
        <v>-600</v>
      </c>
    </row>
    <row r="799" spans="12:19" x14ac:dyDescent="0.25">
      <c r="L799">
        <v>3000</v>
      </c>
    </row>
    <row r="804" spans="15:15" x14ac:dyDescent="0.25">
      <c r="O804">
        <v>56.03</v>
      </c>
    </row>
    <row r="829" spans="15:15" x14ac:dyDescent="0.25">
      <c r="O829">
        <v>412.48</v>
      </c>
    </row>
    <row r="836" spans="12:17" x14ac:dyDescent="0.25">
      <c r="Q836" s="270"/>
    </row>
    <row r="837" spans="12:17" x14ac:dyDescent="0.25">
      <c r="Q837" s="270"/>
    </row>
    <row r="838" spans="12:17" x14ac:dyDescent="0.25">
      <c r="L838">
        <v>22.59</v>
      </c>
      <c r="Q838" s="270"/>
    </row>
    <row r="839" spans="12:17" x14ac:dyDescent="0.25">
      <c r="L839">
        <v>33.44</v>
      </c>
      <c r="Q839" s="270"/>
    </row>
    <row r="840" spans="12:17" x14ac:dyDescent="0.25">
      <c r="L840">
        <f>SUM(L837:L839)</f>
        <v>56.03</v>
      </c>
    </row>
    <row r="854" spans="15:15" x14ac:dyDescent="0.25">
      <c r="O854">
        <v>7.93</v>
      </c>
    </row>
    <row r="855" spans="15:15" x14ac:dyDescent="0.25">
      <c r="O855">
        <v>11.29</v>
      </c>
    </row>
    <row r="856" spans="15:15" x14ac:dyDescent="0.25">
      <c r="O856">
        <v>74</v>
      </c>
    </row>
    <row r="857" spans="15:15" x14ac:dyDescent="0.25">
      <c r="O857">
        <v>3.38</v>
      </c>
    </row>
    <row r="858" spans="15:15" x14ac:dyDescent="0.25">
      <c r="O858">
        <v>24.86</v>
      </c>
    </row>
    <row r="859" spans="15:15" x14ac:dyDescent="0.25">
      <c r="O859">
        <v>14.39</v>
      </c>
    </row>
    <row r="860" spans="15:15" x14ac:dyDescent="0.25">
      <c r="O860">
        <v>67</v>
      </c>
    </row>
    <row r="861" spans="15:15" x14ac:dyDescent="0.25">
      <c r="O861">
        <v>-124.49</v>
      </c>
    </row>
    <row r="862" spans="15:15" x14ac:dyDescent="0.25">
      <c r="O862">
        <v>-412.48</v>
      </c>
    </row>
    <row r="863" spans="15:15" x14ac:dyDescent="0.25">
      <c r="O863">
        <v>-74</v>
      </c>
    </row>
    <row r="880" spans="12:12" x14ac:dyDescent="0.25">
      <c r="L880">
        <v>14.68</v>
      </c>
    </row>
    <row r="881" spans="12:12" x14ac:dyDescent="0.25">
      <c r="L881">
        <v>8.39</v>
      </c>
    </row>
    <row r="1029" spans="12:12" x14ac:dyDescent="0.25">
      <c r="L1029">
        <v>11.29</v>
      </c>
    </row>
    <row r="1030" spans="12:12" x14ac:dyDescent="0.25">
      <c r="L1030">
        <v>16.940000000000001</v>
      </c>
    </row>
    <row r="1031" spans="12:12" x14ac:dyDescent="0.25">
      <c r="L1031">
        <v>31.08</v>
      </c>
    </row>
    <row r="1032" spans="12:12" x14ac:dyDescent="0.25">
      <c r="L1032">
        <v>11.63</v>
      </c>
    </row>
    <row r="1035" spans="12:12" x14ac:dyDescent="0.25">
      <c r="L1035">
        <f>SUM(L1029:L1032)</f>
        <v>70.94</v>
      </c>
    </row>
    <row r="1096" spans="12:12" x14ac:dyDescent="0.25">
      <c r="L1096">
        <v>161.44999999999999</v>
      </c>
    </row>
    <row r="1097" spans="12:12" x14ac:dyDescent="0.25">
      <c r="L1097">
        <v>19.2</v>
      </c>
    </row>
    <row r="1098" spans="12:12" x14ac:dyDescent="0.25">
      <c r="L1098">
        <v>14.18</v>
      </c>
    </row>
    <row r="1099" spans="12:12" x14ac:dyDescent="0.25">
      <c r="L1099">
        <f>SUM(L1096:L1098)</f>
        <v>194.82999999999998</v>
      </c>
    </row>
    <row r="1116" spans="15:15" x14ac:dyDescent="0.25">
      <c r="O1116">
        <v>22.2</v>
      </c>
    </row>
    <row r="1117" spans="15:15" x14ac:dyDescent="0.25">
      <c r="O1117">
        <v>-4.5999999999999996</v>
      </c>
    </row>
    <row r="1118" spans="15:15" x14ac:dyDescent="0.25">
      <c r="O1118">
        <f>SUM(O1116:O1117)</f>
        <v>17.600000000000001</v>
      </c>
    </row>
    <row r="1133" spans="14:20" x14ac:dyDescent="0.25">
      <c r="N1133" s="267">
        <v>45537</v>
      </c>
      <c r="O1133" s="268" t="e">
        <f>IF(Journal[[#This Row],[Debit]]&gt;0,"Debit","Credit")</f>
        <v>#VALUE!</v>
      </c>
      <c r="P1133" s="268" t="s">
        <v>193</v>
      </c>
      <c r="Q1133" s="264" t="s">
        <v>27</v>
      </c>
      <c r="R1133" t="e" cm="1">
        <f t="array" aca="1" ref="R1133" ca="1">IF(AND(ROW(Journal[[#This Row],[PostRef]])=Journal_Row_Min,ROW(OFFSET(Journal[[#This Row],[PostRef]],-1,0))=Journal_Header_Row),1,
IF(AND(Journal[[#This Row],[TransType]]="debit",OFFSET(Journal[[#This Row],[TransType]],-1,0)="credit"),OFFSET(Journal[[#This Row],[PostRef]],-1,0)+1,OFFSET(Journal[[#This Row],[PostRef]],-1,0)))</f>
        <v>#VALUE!</v>
      </c>
      <c r="S1133" s="269">
        <v>123456</v>
      </c>
      <c r="T1133" s="269">
        <v>0</v>
      </c>
    </row>
    <row r="1134" spans="14:20" x14ac:dyDescent="0.25">
      <c r="N1134" s="267">
        <v>45537</v>
      </c>
      <c r="O1134" s="268" t="e">
        <f>IF(Journal[[#This Row],[Debit]]&gt;0,"Debit","Credit")</f>
        <v>#VALUE!</v>
      </c>
      <c r="P1134" s="268" t="s">
        <v>193</v>
      </c>
      <c r="Q1134" s="264" t="s">
        <v>214</v>
      </c>
      <c r="R1134" t="e" cm="1">
        <f t="array" aca="1" ref="R1134" ca="1">IF(AND(ROW(Journal[[#This Row],[PostRef]])=Journal_Row_Min,ROW(OFFSET(Journal[[#This Row],[PostRef]],-1,0))=Journal_Header_Row),1,
IF(AND(Journal[[#This Row],[TransType]]="debit",OFFSET(Journal[[#This Row],[TransType]],-1,0)="credit"),OFFSET(Journal[[#This Row],[PostRef]],-1,0)+1,OFFSET(Journal[[#This Row],[PostRef]],-1,0)))</f>
        <v>#VALUE!</v>
      </c>
      <c r="S1134" s="269">
        <v>0</v>
      </c>
      <c r="T1134" s="269">
        <v>123456</v>
      </c>
    </row>
    <row r="1139" spans="12:14" x14ac:dyDescent="0.25">
      <c r="L1139">
        <v>8.39</v>
      </c>
    </row>
    <row r="1140" spans="12:14" x14ac:dyDescent="0.25">
      <c r="L1140">
        <v>26.43</v>
      </c>
    </row>
    <row r="1141" spans="12:14" x14ac:dyDescent="0.25">
      <c r="L1141">
        <v>20.329999999999998</v>
      </c>
    </row>
    <row r="1142" spans="12:14" x14ac:dyDescent="0.25">
      <c r="L1142">
        <v>14.68</v>
      </c>
    </row>
    <row r="1143" spans="12:14" x14ac:dyDescent="0.25">
      <c r="L1143">
        <v>61.92</v>
      </c>
    </row>
    <row r="1144" spans="12:14" x14ac:dyDescent="0.25">
      <c r="L1144">
        <v>46.32</v>
      </c>
    </row>
    <row r="1145" spans="12:14" x14ac:dyDescent="0.25">
      <c r="L1145">
        <f>SUM(L1139:L1144)</f>
        <v>178.07</v>
      </c>
      <c r="N1145">
        <v>7526</v>
      </c>
    </row>
    <row r="1146" spans="12:14" x14ac:dyDescent="0.25">
      <c r="N1146">
        <v>2415</v>
      </c>
    </row>
    <row r="1147" spans="12:14" x14ac:dyDescent="0.25">
      <c r="N1147">
        <f>SUM(N1145:N1146)</f>
        <v>9941</v>
      </c>
    </row>
    <row r="1152" spans="12:14" x14ac:dyDescent="0.25">
      <c r="L1152">
        <v>920</v>
      </c>
    </row>
    <row r="1153" spans="12:17" x14ac:dyDescent="0.25">
      <c r="L1153">
        <v>482.04</v>
      </c>
    </row>
    <row r="1154" spans="12:17" x14ac:dyDescent="0.25">
      <c r="L1154">
        <f>SUM(L1152:L1153)</f>
        <v>1402.04</v>
      </c>
    </row>
    <row r="1164" spans="12:17" x14ac:dyDescent="0.25">
      <c r="Q1164">
        <v>8947</v>
      </c>
    </row>
    <row r="1165" spans="12:17" x14ac:dyDescent="0.25">
      <c r="Q1165">
        <v>993</v>
      </c>
    </row>
    <row r="1166" spans="12:17" x14ac:dyDescent="0.25">
      <c r="Q1166">
        <f>SUM(Q1164:Q1165)</f>
        <v>9940</v>
      </c>
    </row>
    <row r="1171" spans="14:19" x14ac:dyDescent="0.25">
      <c r="N1171" t="s">
        <v>480</v>
      </c>
    </row>
    <row r="1172" spans="14:19" x14ac:dyDescent="0.25">
      <c r="S1172">
        <v>5.59</v>
      </c>
    </row>
    <row r="1173" spans="14:19" x14ac:dyDescent="0.25">
      <c r="N1173" t="s">
        <v>483</v>
      </c>
      <c r="S1173">
        <v>2945.96</v>
      </c>
    </row>
    <row r="1174" spans="14:19" x14ac:dyDescent="0.25">
      <c r="N1174" t="s">
        <v>481</v>
      </c>
      <c r="Q1174" t="s">
        <v>482</v>
      </c>
      <c r="S1174">
        <v>1372.41</v>
      </c>
    </row>
    <row r="1175" spans="14:19" x14ac:dyDescent="0.25">
      <c r="S1175">
        <f>SUM(S1172:S1174)</f>
        <v>4323.96</v>
      </c>
    </row>
    <row r="1176" spans="14:19" x14ac:dyDescent="0.25">
      <c r="N1176">
        <v>920</v>
      </c>
      <c r="Q1176">
        <v>3428</v>
      </c>
    </row>
    <row r="1177" spans="14:19" x14ac:dyDescent="0.25">
      <c r="N1177">
        <v>1378</v>
      </c>
    </row>
    <row r="1178" spans="14:19" x14ac:dyDescent="0.25">
      <c r="N1178">
        <f>SUM(N1176:N1177)</f>
        <v>2298</v>
      </c>
    </row>
    <row r="1179" spans="14:19" x14ac:dyDescent="0.25">
      <c r="Q1179">
        <f>SUM(Q1176,N1178)</f>
        <v>5726</v>
      </c>
    </row>
    <row r="1181" spans="14:19" x14ac:dyDescent="0.25">
      <c r="N1181" t="s">
        <v>147</v>
      </c>
    </row>
    <row r="1182" spans="14:19" x14ac:dyDescent="0.25">
      <c r="N1182">
        <v>4323</v>
      </c>
    </row>
    <row r="1183" spans="14:19" x14ac:dyDescent="0.25">
      <c r="Q1183">
        <v>8947.75</v>
      </c>
    </row>
    <row r="1184" spans="14:19" x14ac:dyDescent="0.25">
      <c r="N1184" t="s">
        <v>484</v>
      </c>
      <c r="Q1184">
        <v>-8669.92</v>
      </c>
    </row>
    <row r="1185" spans="14:17" x14ac:dyDescent="0.25">
      <c r="N1185">
        <f>Q1179-N1182</f>
        <v>1403</v>
      </c>
      <c r="Q1185">
        <f>SUM(Q1183:Q1184)</f>
        <v>277.82999999999993</v>
      </c>
    </row>
    <row r="1186" spans="14:17" x14ac:dyDescent="0.25">
      <c r="N1186">
        <v>895.96</v>
      </c>
    </row>
    <row r="1187" spans="14:17" x14ac:dyDescent="0.25">
      <c r="N1187">
        <f>SUM(N1185:N1186)</f>
        <v>2298.96</v>
      </c>
    </row>
    <row r="1207" spans="12:15" x14ac:dyDescent="0.25">
      <c r="O1207" cm="1">
        <f t="array" aca="1" ref="O1207" ca="1">INDEX(Journal[PostRef],COUNTA(Journal[PostRef]))</f>
        <v>43</v>
      </c>
    </row>
    <row r="1209" spans="12:15" x14ac:dyDescent="0.25">
      <c r="L1209">
        <v>41.25</v>
      </c>
    </row>
    <row r="1210" spans="12:15" x14ac:dyDescent="0.25">
      <c r="L1210">
        <v>11.98</v>
      </c>
    </row>
    <row r="1221" spans="13:14" x14ac:dyDescent="0.25">
      <c r="N1221">
        <v>13.55</v>
      </c>
    </row>
    <row r="1222" spans="13:14" x14ac:dyDescent="0.25">
      <c r="N1222">
        <v>3</v>
      </c>
    </row>
    <row r="1223" spans="13:14" x14ac:dyDescent="0.25">
      <c r="N1223">
        <v>6.77</v>
      </c>
    </row>
    <row r="1224" spans="13:14" x14ac:dyDescent="0.25">
      <c r="N1224">
        <f>SUM(N1221:N1223)</f>
        <v>23.32</v>
      </c>
    </row>
    <row r="1229" spans="13:14" x14ac:dyDescent="0.25">
      <c r="M1229">
        <v>11.29</v>
      </c>
    </row>
    <row r="1230" spans="13:14" x14ac:dyDescent="0.25">
      <c r="M1230">
        <v>30.75</v>
      </c>
    </row>
    <row r="1231" spans="13:14" x14ac:dyDescent="0.25">
      <c r="M1231">
        <v>230.38</v>
      </c>
    </row>
    <row r="1232" spans="13:14" x14ac:dyDescent="0.25">
      <c r="M1232">
        <f>SUM(M1229:M1231)</f>
        <v>272.42</v>
      </c>
    </row>
    <row r="1256" spans="12:15" x14ac:dyDescent="0.25">
      <c r="N1256" cm="1">
        <f t="array" ref="N1256">Row_Ref_Min_Journal</f>
        <v>1</v>
      </c>
    </row>
    <row r="1262" spans="12:15" x14ac:dyDescent="0.25">
      <c r="L1262">
        <v>59.3</v>
      </c>
    </row>
    <row r="1263" spans="12:15" x14ac:dyDescent="0.25">
      <c r="L1263">
        <v>67.22</v>
      </c>
      <c r="O1263" cm="1">
        <f t="array" ref="O1263">MIN(ROW(Journal[]))</f>
        <v>13</v>
      </c>
    </row>
    <row r="1264" spans="12:15" x14ac:dyDescent="0.25">
      <c r="L1264">
        <v>45.19</v>
      </c>
    </row>
    <row r="1265" spans="12:14" x14ac:dyDescent="0.25">
      <c r="L1265">
        <f>SUM(L1262:L1264)</f>
        <v>171.70999999999998</v>
      </c>
    </row>
    <row r="1269" spans="12:14" x14ac:dyDescent="0.25">
      <c r="N1269" cm="1">
        <f t="array" ref="N1269">Row_Ref_Min_Journal</f>
        <v>1</v>
      </c>
    </row>
    <row r="1275" spans="12:14" x14ac:dyDescent="0.25">
      <c r="N1275" cm="1">
        <f t="array" ref="N1275">Row_Ref_Min_Journal</f>
        <v>1</v>
      </c>
    </row>
    <row r="1283" spans="12:12" x14ac:dyDescent="0.25">
      <c r="L1283">
        <v>1155.3800000000001</v>
      </c>
    </row>
    <row r="1284" spans="12:12" x14ac:dyDescent="0.25">
      <c r="L1284">
        <v>2.34</v>
      </c>
    </row>
    <row r="1285" spans="12:12" x14ac:dyDescent="0.25">
      <c r="L1285">
        <v>14.11</v>
      </c>
    </row>
    <row r="1286" spans="12:12" x14ac:dyDescent="0.25">
      <c r="L1286">
        <f>SUM(L1283:L1285)</f>
        <v>1171.83</v>
      </c>
    </row>
    <row r="1291" spans="12:12" x14ac:dyDescent="0.25">
      <c r="L1291">
        <v>111.87</v>
      </c>
    </row>
    <row r="1292" spans="12:12" x14ac:dyDescent="0.25">
      <c r="L1292">
        <v>14.11</v>
      </c>
    </row>
    <row r="1297" spans="14:14" x14ac:dyDescent="0.25">
      <c r="N1297" t="s">
        <v>222</v>
      </c>
    </row>
    <row r="1298" spans="14:14" x14ac:dyDescent="0.25">
      <c r="N1298">
        <v>16.95</v>
      </c>
    </row>
    <row r="1299" spans="14:14" x14ac:dyDescent="0.25">
      <c r="N1299">
        <v>13.56</v>
      </c>
    </row>
    <row r="1300" spans="14:14" x14ac:dyDescent="0.25">
      <c r="N1300">
        <f>SUM(N1298:N1299)</f>
        <v>30.509999999999998</v>
      </c>
    </row>
    <row r="1429" spans="12:12" x14ac:dyDescent="0.25">
      <c r="L1429" t="s">
        <v>502</v>
      </c>
    </row>
    <row r="1430" spans="12:12" x14ac:dyDescent="0.25">
      <c r="L1430">
        <v>7.45</v>
      </c>
    </row>
    <row r="1431" spans="12:12" x14ac:dyDescent="0.25">
      <c r="L1431">
        <v>6.91</v>
      </c>
    </row>
    <row r="1432" spans="12:12" x14ac:dyDescent="0.25">
      <c r="L1432">
        <v>19.2</v>
      </c>
    </row>
    <row r="1433" spans="12:12" x14ac:dyDescent="0.25">
      <c r="L1433">
        <v>3</v>
      </c>
    </row>
    <row r="1434" spans="12:12" x14ac:dyDescent="0.25">
      <c r="L1434">
        <v>5</v>
      </c>
    </row>
    <row r="1435" spans="12:12" x14ac:dyDescent="0.25">
      <c r="L1435">
        <f>SUM(L1430:L1434)</f>
        <v>41.56</v>
      </c>
    </row>
    <row r="1524" spans="12:12" x14ac:dyDescent="0.25">
      <c r="L1524" cm="1">
        <f t="array" ref="L1524">Row_Ref_Min_Journal</f>
        <v>1</v>
      </c>
    </row>
  </sheetData>
  <mergeCells count="1">
    <mergeCell ref="N4:R4"/>
  </mergeCells>
  <conditionalFormatting sqref="D10">
    <cfRule type="containsText" dxfId="53" priority="15" operator="containsText" text="Balanced">
      <formula>NOT(ISERROR(SEARCH("Balanced",D10)))</formula>
    </cfRule>
    <cfRule type="expression" dxfId="52" priority="16">
      <formula>$D$10&lt;&gt;"Balanced"</formula>
    </cfRule>
  </conditionalFormatting>
  <conditionalFormatting sqref="O1133:O1134 D13:D98">
    <cfRule type="containsText" dxfId="51" priority="12" operator="containsText" text="Credit">
      <formula>NOT(ISERROR(SEARCH("Credit",D13)))</formula>
    </cfRule>
    <cfRule type="containsText" dxfId="50" priority="13" operator="containsText" text="Debit">
      <formula>NOT(ISERROR(SEARCH("Debit",D13)))</formula>
    </cfRule>
  </conditionalFormatting>
  <conditionalFormatting sqref="P1133:P1134 E13:E98">
    <cfRule type="containsText" dxfId="49" priority="11" operator="containsText" text="data missing">
      <formula>NOT(ISERROR(SEARCH("data missing",E13)))</formula>
    </cfRule>
  </conditionalFormatting>
  <conditionalFormatting sqref="J26:J34">
    <cfRule type="cellIs" dxfId="48" priority="6" operator="equal">
      <formula>1</formula>
    </cfRule>
    <cfRule type="cellIs" dxfId="47" priority="7" operator="equal">
      <formula>2</formula>
    </cfRule>
  </conditionalFormatting>
  <conditionalFormatting sqref="E27:E34">
    <cfRule type="containsText" dxfId="46" priority="1" operator="containsText" text="data missing">
      <formula>NOT(ISERROR(SEARCH("data missing",E27)))</formula>
    </cfRule>
  </conditionalFormatting>
  <dataValidations count="4">
    <dataValidation type="list" allowBlank="1" showInputMessage="1" showErrorMessage="1" sqref="L5 P1133:P1134" xr:uid="{FFC42BF8-8FEB-4284-8970-4752D5F85E99}">
      <formula1>INDIRECT("ItemRef[Item]")</formula1>
    </dataValidation>
    <dataValidation type="list" allowBlank="1" showInputMessage="1" showErrorMessage="1" sqref="Q1133:Q1134" xr:uid="{296EDF25-2138-4B9C-9AA5-B34F622235DF}">
      <formula1>INDIRECT("AcctRef[AccountName]")</formula1>
    </dataValidation>
    <dataValidation type="list" allowBlank="1" showInputMessage="1" showErrorMessage="1" sqref="E13:E98" xr:uid="{D9CA69A4-BB25-40BA-9BD6-01E9E21296C2}">
      <formula1>list_item_name</formula1>
    </dataValidation>
    <dataValidation type="list" allowBlank="1" showInputMessage="1" showErrorMessage="1" sqref="F13:F98" xr:uid="{CA4028DF-F2D0-48EA-BC61-3A0550A09FD4}">
      <formula1>list_acct_name</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1]!Refresh_Summary">
                <anchor moveWithCells="1" sizeWithCells="1">
                  <from>
                    <xdr:col>6</xdr:col>
                    <xdr:colOff>1343025</xdr:colOff>
                    <xdr:row>0</xdr:row>
                    <xdr:rowOff>76200</xdr:rowOff>
                  </from>
                  <to>
                    <xdr:col>7</xdr:col>
                    <xdr:colOff>1343025</xdr:colOff>
                    <xdr:row>1</xdr:row>
                    <xdr:rowOff>381000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14C49-EB7A-4983-8163-9A9BD47643A2}">
  <sheetPr codeName="Sheet14">
    <tabColor theme="9" tint="0.39997558519241921"/>
  </sheetPr>
  <dimension ref="B1:FR106"/>
  <sheetViews>
    <sheetView showGridLines="0" zoomScale="115" zoomScaleNormal="115" workbookViewId="0">
      <selection activeCell="J5" sqref="J5"/>
    </sheetView>
  </sheetViews>
  <sheetFormatPr defaultColWidth="12.7109375" defaultRowHeight="15" outlineLevelCol="4" x14ac:dyDescent="0.25"/>
  <cols>
    <col min="1" max="1" width="1.85546875" customWidth="1"/>
    <col min="2" max="2" width="36.7109375" customWidth="1"/>
    <col min="3" max="3" width="16.28515625" hidden="1" customWidth="1" outlineLevel="4"/>
    <col min="4" max="4" width="8.7109375" hidden="1" customWidth="1" outlineLevel="4"/>
    <col min="5" max="7" width="12.7109375" hidden="1" customWidth="1" outlineLevel="4"/>
    <col min="8" max="8" width="38.140625" hidden="1" customWidth="1" outlineLevel="1"/>
    <col min="9" max="9" width="41.7109375" hidden="1" customWidth="1" outlineLevel="1"/>
    <col min="10" max="10" width="39.42578125" customWidth="1" collapsed="1"/>
    <col min="11" max="11" width="27.140625" hidden="1" customWidth="1" outlineLevel="1"/>
    <col min="12" max="12" width="13.7109375" hidden="1" customWidth="1" outlineLevel="1"/>
    <col min="13" max="13" width="13.7109375" style="1" customWidth="1" collapsed="1"/>
    <col min="14" max="23" width="13.7109375" style="1" customWidth="1"/>
    <col min="24" max="24" width="15" style="1" customWidth="1"/>
    <col min="25" max="25" width="15.28515625" style="1" customWidth="1"/>
    <col min="26" max="26" width="16.2851562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342</v>
      </c>
      <c r="C2" s="72"/>
    </row>
    <row r="3" spans="2:174" s="71" customFormat="1" x14ac:dyDescent="0.25">
      <c r="C3" s="72"/>
    </row>
    <row r="4" spans="2:174" ht="16.5" thickBot="1" x14ac:dyDescent="0.3">
      <c r="X4" s="61"/>
      <c r="Y4"/>
      <c r="Z4" s="70"/>
      <c r="AA4" s="69"/>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20.25" thickTop="1" thickBot="1" x14ac:dyDescent="0.35">
      <c r="H5" s="318" t="s">
        <v>570</v>
      </c>
      <c r="J5" s="320" t="s">
        <v>39</v>
      </c>
      <c r="K5" s="15"/>
      <c r="M5" s="187" t="s">
        <v>333</v>
      </c>
      <c r="N5" s="187" t="s">
        <v>377</v>
      </c>
      <c r="O5" s="187" t="s">
        <v>377</v>
      </c>
      <c r="P5" s="187" t="s">
        <v>377</v>
      </c>
      <c r="Q5" s="187" t="s">
        <v>377</v>
      </c>
      <c r="R5" s="187" t="s">
        <v>377</v>
      </c>
      <c r="S5" s="187" t="s">
        <v>377</v>
      </c>
      <c r="T5" s="187" t="s">
        <v>377</v>
      </c>
      <c r="U5" s="187" t="s">
        <v>377</v>
      </c>
      <c r="V5" s="187" t="s">
        <v>377</v>
      </c>
      <c r="W5" s="187" t="s">
        <v>377</v>
      </c>
      <c r="X5" s="187" t="s">
        <v>377</v>
      </c>
      <c r="Y5" s="335"/>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6.5" thickTop="1" x14ac:dyDescent="0.25">
      <c r="C6" s="197" t="s">
        <v>168</v>
      </c>
      <c r="D6" s="198">
        <v>50</v>
      </c>
      <c r="J6" s="171" t="s">
        <v>16</v>
      </c>
      <c r="M6" s="191">
        <f>IF(
   M$5="Actual",
      SUMIFS(
         INDEX(summary_all[],0,MATCH("Amount",summary_all[#Headers],0)),
         INDEX(summary_all[],0,MATCH("Date",summary_all[#Headers],0)),
            Asset_Plan[[#Headers],[Jan]],
         INDEX(summary_all[],0,MATCH("Source",summary_all[#Headers],0)),
            "Actual",
         INDEX(summary_all[],0,MATCH("Account_Type",summary_all[#Headers],0)),
            "Revenue"),
         IF(M$5="Budget",
            SUMIFS(
               INDEX(summary_all[],0,MATCH("Amount",summary_all[#Headers],0)),
               INDEX(summary_all[],0,MATCH("Date",summary_all[#Headers],0)),
                  Asset_Plan[[#Headers],[Jan]],
               INDEX(summary_all[],0,MATCH("Source",summary_all[#Headers],0)),
                  "Inc_Plan",
               INDEX(summary_all[],0,MATCH("Account_Type",summary_all[#Headers],0)),
                  "Revenue"),
            ""
      )
)</f>
        <v>3750</v>
      </c>
      <c r="N6" s="191">
        <f>IF(
   N$5="Actual",
      SUMIFS(
         INDEX(summary_all[],0,MATCH("Amount",summary_all[#Headers],0)),
         INDEX(summary_all[],0,MATCH("Date",summary_all[#Headers],0)),
            Asset_Plan[[#Headers],[Jan]],
         INDEX(summary_all[],0,MATCH("Source",summary_all[#Headers],0)),
            "Actual",
         INDEX(summary_all[],0,MATCH("Account_Type",summary_all[#Headers],0)),
            "Revenue"),
         IF(N$5="Budget",
            SUMIFS(
               INDEX(summary_all[],0,MATCH("Amount",summary_all[#Headers],0)),
               INDEX(summary_all[],0,MATCH("Date",summary_all[#Headers],0)),
                  Asset_Plan[[#Headers],[Jan]],
               INDEX(summary_all[],0,MATCH("Source",summary_all[#Headers],0)),
                  "Inc_Plan",
               INDEX(summary_all[],0,MATCH("Account_Type",summary_all[#Headers],0)),
                  "Revenue"),
            ""
      )
)</f>
        <v>3250</v>
      </c>
      <c r="O6" s="191">
        <f>IF(
   O$5="Actual",
      SUMIFS(
         INDEX(summary_all[],0,MATCH("Amount",summary_all[#Headers],0)),
         INDEX(summary_all[],0,MATCH("Date",summary_all[#Headers],0)),
            Asset_Plan[[#Headers],[Feb]],
         INDEX(summary_all[],0,MATCH("Source",summary_all[#Headers],0)),
            "Actual",
         INDEX(summary_all[],0,MATCH("Account_Type",summary_all[#Headers],0)),
            "Revenue"),
         IF(O$5="Budget",
            SUMIFS(
               INDEX(summary_all[],0,MATCH("Amount",summary_all[#Headers],0)),
               INDEX(summary_all[],0,MATCH("Date",summary_all[#Headers],0)),
                  Asset_Plan[[#Headers],[Feb]],
               INDEX(summary_all[],0,MATCH("Source",summary_all[#Headers],0)),
                  "Inc_Plan",
               INDEX(summary_all[],0,MATCH("Account_Type",summary_all[#Headers],0)),
                  "Revenue"),
            ""
      )
)</f>
        <v>3250</v>
      </c>
      <c r="P6" s="191">
        <f>IF(
   P$5="Actual",
      SUMIFS(
         INDEX(summary_all[],0,MATCH("Amount",summary_all[#Headers],0)),
         INDEX(summary_all[],0,MATCH("Date",summary_all[#Headers],0)),
            Asset_Plan[[#Headers],[Mar]],
         INDEX(summary_all[],0,MATCH("Source",summary_all[#Headers],0)),
            "Actual",
         INDEX(summary_all[],0,MATCH("Account_Type",summary_all[#Headers],0)),
            "Revenue"),
         IF(P$5="Budget",
            SUMIFS(
               INDEX(summary_all[],0,MATCH("Amount",summary_all[#Headers],0)),
               INDEX(summary_all[],0,MATCH("Date",summary_all[#Headers],0)),
                  Asset_Plan[[#Headers],[Mar]],
               INDEX(summary_all[],0,MATCH("Source",summary_all[#Headers],0)),
                  "Inc_Plan",
               INDEX(summary_all[],0,MATCH("Account_Type",summary_all[#Headers],0)),
                  "Revenue"),
            ""
      )
)</f>
        <v>3250</v>
      </c>
      <c r="Q6" s="191">
        <f>IF(
   Q$5="Actual",
      SUMIFS(
         INDEX(summary_all[],0,MATCH("Amount",summary_all[#Headers],0)),
         INDEX(summary_all[],0,MATCH("Date",summary_all[#Headers],0)),
            Asset_Plan[[#Headers],[Apr]],
         INDEX(summary_all[],0,MATCH("Source",summary_all[#Headers],0)),
            "Actual",
         INDEX(summary_all[],0,MATCH("Account_Type",summary_all[#Headers],0)),
            "Revenue"),
         IF(Q$5="Budget",
            SUMIFS(
               INDEX(summary_all[],0,MATCH("Amount",summary_all[#Headers],0)),
               INDEX(summary_all[],0,MATCH("Date",summary_all[#Headers],0)),
                  Asset_Plan[[#Headers],[Apr]],
               INDEX(summary_all[],0,MATCH("Source",summary_all[#Headers],0)),
                  "Inc_Plan",
               INDEX(summary_all[],0,MATCH("Account_Type",summary_all[#Headers],0)),
                  "Revenue"),
            ""
      )
)</f>
        <v>3250</v>
      </c>
      <c r="R6" s="191">
        <f>IF(
   R$5="Actual",
      SUMIFS(
         INDEX(summary_all[],0,MATCH("Amount",summary_all[#Headers],0)),
         INDEX(summary_all[],0,MATCH("Date",summary_all[#Headers],0)),
            Asset_Plan[[#Headers],[May]],
         INDEX(summary_all[],0,MATCH("Source",summary_all[#Headers],0)),
            "Actual",
         INDEX(summary_all[],0,MATCH("Account_Type",summary_all[#Headers],0)),
            "Revenue"),
         IF(R$5="Budget",
            SUMIFS(
               INDEX(summary_all[],0,MATCH("Amount",summary_all[#Headers],0)),
               INDEX(summary_all[],0,MATCH("Date",summary_all[#Headers],0)),
                  Asset_Plan[[#Headers],[May]],
               INDEX(summary_all[],0,MATCH("Source",summary_all[#Headers],0)),
                  "Inc_Plan",
               INDEX(summary_all[],0,MATCH("Account_Type",summary_all[#Headers],0)),
                  "Revenue"),
            ""
      )
)</f>
        <v>3250</v>
      </c>
      <c r="S6" s="191">
        <f>IF(
   S$5="Actual",
      SUMIFS(
         INDEX(summary_all[],0,MATCH("Amount",summary_all[#Headers],0)),
         INDEX(summary_all[],0,MATCH("Date",summary_all[#Headers],0)),
            Asset_Plan[[#Headers],[Jun]],
         INDEX(summary_all[],0,MATCH("Source",summary_all[#Headers],0)),
            "Actual",
         INDEX(summary_all[],0,MATCH("Account_Type",summary_all[#Headers],0)),
            "Revenue"),
         IF(S$5="Budget",
            SUMIFS(
               INDEX(summary_all[],0,MATCH("Amount",summary_all[#Headers],0)),
               INDEX(summary_all[],0,MATCH("Date",summary_all[#Headers],0)),
                  Asset_Plan[[#Headers],[Jun]],
               INDEX(summary_all[],0,MATCH("Source",summary_all[#Headers],0)),
                  "Inc_Plan",
               INDEX(summary_all[],0,MATCH("Account_Type",summary_all[#Headers],0)),
                  "Revenue"),
            ""
      )
)</f>
        <v>3250</v>
      </c>
      <c r="T6" s="191">
        <f>IF(
   T$5="Actual",
      SUMIFS(
         INDEX(summary_all[],0,MATCH("Amount",summary_all[#Headers],0)),
         INDEX(summary_all[],0,MATCH("Date",summary_all[#Headers],0)),
            Asset_Plan[[#Headers],[Jul]],
         INDEX(summary_all[],0,MATCH("Source",summary_all[#Headers],0)),
            "Actual",
         INDEX(summary_all[],0,MATCH("Account_Type",summary_all[#Headers],0)),
            "Revenue"),
         IF(T$5="Budget",
            SUMIFS(
               INDEX(summary_all[],0,MATCH("Amount",summary_all[#Headers],0)),
               INDEX(summary_all[],0,MATCH("Date",summary_all[#Headers],0)),
                  Asset_Plan[[#Headers],[Jul]],
               INDEX(summary_all[],0,MATCH("Source",summary_all[#Headers],0)),
                  "Inc_Plan",
               INDEX(summary_all[],0,MATCH("Account_Type",summary_all[#Headers],0)),
                  "Revenue"),
            ""
      )
)</f>
        <v>3250</v>
      </c>
      <c r="U6" s="191">
        <f>IF(
   U$5="Actual",
      SUMIFS(
         INDEX(summary_all[],0,MATCH("Amount",summary_all[#Headers],0)),
         INDEX(summary_all[],0,MATCH("Date",summary_all[#Headers],0)),
            Asset_Plan[[#Headers],[Aug]],
         INDEX(summary_all[],0,MATCH("Source",summary_all[#Headers],0)),
            "Actual",
         INDEX(summary_all[],0,MATCH("Account_Type",summary_all[#Headers],0)),
            "Revenue"),
         IF(U$5="Budget",
            SUMIFS(
               INDEX(summary_all[],0,MATCH("Amount",summary_all[#Headers],0)),
               INDEX(summary_all[],0,MATCH("Date",summary_all[#Headers],0)),
                  Asset_Plan[[#Headers],[Aug]],
               INDEX(summary_all[],0,MATCH("Source",summary_all[#Headers],0)),
                  "Inc_Plan",
               INDEX(summary_all[],0,MATCH("Account_Type",summary_all[#Headers],0)),
                  "Revenue"),
            ""
      )
)</f>
        <v>3250</v>
      </c>
      <c r="V6" s="191">
        <f>IF(
   V$5="Actual",
      SUMIFS(
         INDEX(summary_all[],0,MATCH("Amount",summary_all[#Headers],0)),
         INDEX(summary_all[],0,MATCH("Date",summary_all[#Headers],0)),
            Asset_Plan[[#Headers],[Sep]],
         INDEX(summary_all[],0,MATCH("Source",summary_all[#Headers],0)),
            "Actual",
         INDEX(summary_all[],0,MATCH("Account_Type",summary_all[#Headers],0)),
            "Revenue"),
         IF(V$5="Budget",
            SUMIFS(
               INDEX(summary_all[],0,MATCH("Amount",summary_all[#Headers],0)),
               INDEX(summary_all[],0,MATCH("Date",summary_all[#Headers],0)),
                  Asset_Plan[[#Headers],[Sep]],
               INDEX(summary_all[],0,MATCH("Source",summary_all[#Headers],0)),
                  "Inc_Plan",
               INDEX(summary_all[],0,MATCH("Account_Type",summary_all[#Headers],0)),
                  "Revenue"),
            ""
      )
)</f>
        <v>3750</v>
      </c>
      <c r="W6" s="191">
        <f>IF(
   W$5="Actual",
      SUMIFS(
         INDEX(summary_all[],0,MATCH("Amount",summary_all[#Headers],0)),
         INDEX(summary_all[],0,MATCH("Date",summary_all[#Headers],0)),
            Asset_Plan[[#Headers],[Oct]],
         INDEX(summary_all[],0,MATCH("Source",summary_all[#Headers],0)),
            "Actual",
         INDEX(summary_all[],0,MATCH("Account_Type",summary_all[#Headers],0)),
            "Revenue"),
         IF(W$5="Budget",
            SUMIFS(
               INDEX(summary_all[],0,MATCH("Amount",summary_all[#Headers],0)),
               INDEX(summary_all[],0,MATCH("Date",summary_all[#Headers],0)),
                  Asset_Plan[[#Headers],[Oct]],
               INDEX(summary_all[],0,MATCH("Source",summary_all[#Headers],0)),
                  "Inc_Plan",
               INDEX(summary_all[],0,MATCH("Account_Type",summary_all[#Headers],0)),
                  "Revenue"),
            ""
      )
)</f>
        <v>3250</v>
      </c>
      <c r="X6" s="191">
        <f>IF(
   X$5="Actual",
      SUMIFS(
         INDEX(summary_all[],0,MATCH("Amount",summary_all[#Headers],0)),
         INDEX(summary_all[],0,MATCH("Date",summary_all[#Headers],0)),
            Asset_Plan[[#Headers],[Nov]],
         INDEX(summary_all[],0,MATCH("Source",summary_all[#Headers],0)),
            "Actual",
         INDEX(summary_all[],0,MATCH("Account_Type",summary_all[#Headers],0)),
            "Revenue"),
         IF(X$5="Budget",
            SUMIFS(
               INDEX(summary_all[],0,MATCH("Amount",summary_all[#Headers],0)),
               INDEX(summary_all[],0,MATCH("Date",summary_all[#Headers],0)),
                  Asset_Plan[[#Headers],[Nov]],
               INDEX(summary_all[],0,MATCH("Source",summary_all[#Headers],0)),
                  "Inc_Plan",
               INDEX(summary_all[],0,MATCH("Account_Type",summary_all[#Headers],0)),
                  "Revenue"),
            ""
      )
)</f>
        <v>3250</v>
      </c>
      <c r="Y6" s="332">
        <f>SUM($M6:$X6)</f>
        <v>40000</v>
      </c>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8.75" x14ac:dyDescent="0.25">
      <c r="C7" s="199" t="s">
        <v>167</v>
      </c>
      <c r="D7" s="200">
        <v>0</v>
      </c>
      <c r="H7" s="345" t="s">
        <v>571</v>
      </c>
      <c r="I7" s="345"/>
      <c r="J7" s="171" t="s">
        <v>418</v>
      </c>
      <c r="M7" s="191" cm="1">
        <f t="array" ref="M7">IF(
   M$5="Actual",
      SUMIFS(INDEX(summary_all[],0,MATCH("Amount",summary_all[#Headers],0)),
      INDEX(summary_all[],0,MATCH("Date",summary_all[#Headers],0)),
         Asset_Plan[[#Headers],[Jan]],
      INDEX(summary_all[],0,MATCH("Source",summary_all[#Headers],0)),
         "Actual",
      INDEX(summary_all[],0,MATCH("Account_Type",summary_all[#Headers],0)),
         "Expense"),
   IF(M$5="Budget",
      SUMPRODUCT(
         (INDEX(summary_all[],0,MATCH("Amount",summary_all[#Headers],0))) *
         (INDEX(summary_all[],0,MATCH("Date",summary_all[#Headers],0)) = Asset_Plan[[#Headers],[Jan]]) *
         (INDEX(summary_all[],0,MATCH("Source",summary_all[#Headers],0)) = {"Exp_Plan","Shop_List"}) *
         (INDEX(summary_all[],0,MATCH("Account_Type",summary_all[#Headers],0)) = "Expense")
     )
   )
)</f>
        <v>3052.5199999999995</v>
      </c>
      <c r="N7" s="191" cm="1">
        <f t="array" ref="N7">IF(
   N$5="Actual",
      SUMIFS(INDEX(summary_all[],0,MATCH("Amount",summary_all[#Headers],0)),
      INDEX(summary_all[],0,MATCH("Date",summary_all[#Headers],0)),
         Asset_Plan[[#Headers],[Feb]],
      INDEX(summary_all[],0,MATCH("Source",summary_all[#Headers],0)),
         "Actual",
      INDEX(summary_all[],0,MATCH("Account_Type",summary_all[#Headers],0)),
         "Expense"),
   IF(N$5="Budget",
      SUMPRODUCT((INDEX(summary_all[],0,MATCH("Amount",summary_all[#Headers],0))) *
     (INDEX(summary_all[],0,MATCH("Date",summary_all[#Headers],0)) = Asset_Plan[[#Headers],[Feb]]) *
     (INDEX(summary_all[],0,MATCH("Source",summary_all[#Headers],0)) = {"Exp_Plan","Shop_List"}) *
     (INDEX(summary_all[],0,MATCH("Account_Type",summary_all[#Headers],0)) = "Expense")
     )
   )
)</f>
        <v>1256.23</v>
      </c>
      <c r="O7" s="191" cm="1">
        <f t="array" ref="O7">IF(
   O$5="Actual",
      SUMIFS(INDEX(summary_all[],0,MATCH("Amount",summary_all[#Headers],0)),
      INDEX(summary_all[],0,MATCH("Date",summary_all[#Headers],0)),
         Asset_Plan[[#Headers],[Mar]],
      INDEX(summary_all[],0,MATCH("Source",summary_all[#Headers],0)),
         "Actual",
      INDEX(summary_all[],0,MATCH("Account_Type",summary_all[#Headers],0)),
         "Expense"),
   IF(O$5="Budget",
      SUMPRODUCT((INDEX(summary_all[],0,MATCH("Amount",summary_all[#Headers],0))) *
     (INDEX(summary_all[],0,MATCH("Date",summary_all[#Headers],0)) = Asset_Plan[[#Headers],[Mar]]) *
     (INDEX(summary_all[],0,MATCH("Source",summary_all[#Headers],0)) = {"Exp_Plan","Shop_List"}) *
     (INDEX(summary_all[],0,MATCH("Account_Type",summary_all[#Headers],0)) = "Expense")
     )
   )
)</f>
        <v>1256.23</v>
      </c>
      <c r="P7" s="191" cm="1">
        <f t="array" ref="P7">IF(
   P$5="Actual",
      SUMIFS(INDEX(summary_all[],0,MATCH("Amount",summary_all[#Headers],0)),
      INDEX(summary_all[],0,MATCH("Date",summary_all[#Headers],0)),
         Asset_Plan[[#Headers],[Apr]],
      INDEX(summary_all[],0,MATCH("Source",summary_all[#Headers],0)),
         "Actual",
      INDEX(summary_all[],0,MATCH("Account_Type",summary_all[#Headers],0)),
         "Expense"),
   IF(P$5="Budget",
      SUMPRODUCT((INDEX(summary_all[],0,MATCH("Amount",summary_all[#Headers],0))) *
     (INDEX(summary_all[],0,MATCH("Date",summary_all[#Headers],0)) = Asset_Plan[[#Headers],[Apr]]) *
     (INDEX(summary_all[],0,MATCH("Source",summary_all[#Headers],0)) = {"Exp_Plan","Shop_List"}) *
     (INDEX(summary_all[],0,MATCH("Account_Type",summary_all[#Headers],0)) = "Expense")
     )
   )
)</f>
        <v>1388.15</v>
      </c>
      <c r="Q7" s="191" cm="1">
        <f t="array" ref="Q7">IF(
   Q$5="Actual",
      SUMIFS(INDEX(summary_all[],0,MATCH("Amount",summary_all[#Headers],0)),
      INDEX(summary_all[],0,MATCH("Date",summary_all[#Headers],0)),
         Asset_Plan[[#Headers],[May]],
      INDEX(summary_all[],0,MATCH("Source",summary_all[#Headers],0)),
         "Actual",
      INDEX(summary_all[],0,MATCH("Account_Type",summary_all[#Headers],0)),
         "Expense"),
   IF(Q$5="Budget",
      SUMPRODUCT((INDEX(summary_all[],0,MATCH("Amount",summary_all[#Headers],0))) *
     (INDEX(summary_all[],0,MATCH("Date",summary_all[#Headers],0)) = Asset_Plan[[#Headers],[May]]) *
     (INDEX(summary_all[],0,MATCH("Source",summary_all[#Headers],0)) = {"Exp_Plan","Shop_List"}) *
     (INDEX(summary_all[],0,MATCH("Account_Type",summary_all[#Headers],0)) = "Expense")
     )
   )
)</f>
        <v>1559.23</v>
      </c>
      <c r="R7" s="191" cm="1">
        <f t="array" ref="R7">IF(
   R$5="Actual",
      SUMIFS(INDEX(summary_all[],0,MATCH("Amount",summary_all[#Headers],0)),
      INDEX(summary_all[],0,MATCH("Date",summary_all[#Headers],0)),
         Asset_Plan[[#Headers],[Jun]],
      INDEX(summary_all[],0,MATCH("Source",summary_all[#Headers],0)),
         "Actual",
      INDEX(summary_all[],0,MATCH("Account_Type",summary_all[#Headers],0)),
         "Expense"),
   IF(R$5="Budget",
      SUMPRODUCT((INDEX(summary_all[],0,MATCH("Amount",summary_all[#Headers],0))) *
     (INDEX(summary_all[],0,MATCH("Date",summary_all[#Headers],0)) = Asset_Plan[[#Headers],[Jun]]) *
     (INDEX(summary_all[],0,MATCH("Source",summary_all[#Headers],0)) = {"Exp_Plan","Shop_List"}) *
     (INDEX(summary_all[],0,MATCH("Account_Type",summary_all[#Headers],0)) = "Expense")
     )
   )
)</f>
        <v>1735.2600000000002</v>
      </c>
      <c r="S7" s="191" cm="1">
        <f t="array" ref="S7">IF(
   S$5="Actual",
      SUMIFS(INDEX(summary_all[],0,MATCH("Amount",summary_all[#Headers],0)),
      INDEX(summary_all[],0,MATCH("Date",summary_all[#Headers],0)),
         Asset_Plan[[#Headers],[Jul]],
      INDEX(summary_all[],0,MATCH("Source",summary_all[#Headers],0)),
         "Actual",
      INDEX(summary_all[],0,MATCH("Account_Type",summary_all[#Headers],0)),
         "Expense"),
   IF(S$5="Budget",
      SUMPRODUCT((INDEX(summary_all[],0,MATCH("Amount",summary_all[#Headers],0))) *
     (INDEX(summary_all[],0,MATCH("Date",summary_all[#Headers],0)) = Asset_Plan[[#Headers],[Jul]]) *
     (INDEX(summary_all[],0,MATCH("Source",summary_all[#Headers],0)) = {"Exp_Plan","Shop_List"}) *
     (INDEX(summary_all[],0,MATCH("Account_Type",summary_all[#Headers],0)) = "Expense")
     )
   )
)</f>
        <v>2020.2600000000002</v>
      </c>
      <c r="T7" s="191" cm="1">
        <f t="array" ref="T7">IF(
   T$5="Actual",
      SUMIFS(INDEX(summary_all[],0,MATCH("Amount",summary_all[#Headers],0)),
      INDEX(summary_all[],0,MATCH("Date",summary_all[#Headers],0)),
         Asset_Plan[[#Headers],[Aug]],
      INDEX(summary_all[],0,MATCH("Source",summary_all[#Headers],0)),
         "Actual",
      INDEX(summary_all[],0,MATCH("Account_Type",summary_all[#Headers],0)),
         "Expense"),
   IF(T$5="Budget",
      SUMPRODUCT((INDEX(summary_all[],0,MATCH("Amount",summary_all[#Headers],0))) *
     (INDEX(summary_all[],0,MATCH("Date",summary_all[#Headers],0)) = Asset_Plan[[#Headers],[Aug]]) *
     (INDEX(summary_all[],0,MATCH("Source",summary_all[#Headers],0)) = {"Exp_Plan","Shop_List"}) *
     (INDEX(summary_all[],0,MATCH("Account_Type",summary_all[#Headers],0)) = "Expense")
     )
   )
)</f>
        <v>1600.2600000000002</v>
      </c>
      <c r="U7" s="191" cm="1">
        <f t="array" ref="U7">IF(
   U$5="Actual",
      SUMIFS(INDEX(summary_all[],0,MATCH("Amount",summary_all[#Headers],0)),
      INDEX(summary_all[],0,MATCH("Date",summary_all[#Headers],0)),
         Asset_Plan[[#Headers],[Sep]],
      INDEX(summary_all[],0,MATCH("Source",summary_all[#Headers],0)),
         "Actual",
      INDEX(summary_all[],0,MATCH("Account_Type",summary_all[#Headers],0)),
         "Expense"),
   IF(U$5="Budget",
      SUMPRODUCT((INDEX(summary_all[],0,MATCH("Amount",summary_all[#Headers],0))) *
     (INDEX(summary_all[],0,MATCH("Date",summary_all[#Headers],0)) = Asset_Plan[[#Headers],[Sep]]) *
     (INDEX(summary_all[],0,MATCH("Source",summary_all[#Headers],0)) = {"Exp_Plan","Shop_List"}) *
     (INDEX(summary_all[],0,MATCH("Account_Type",summary_all[#Headers],0)) = "Expense")
     )
   )
)</f>
        <v>2048.29</v>
      </c>
      <c r="V7" s="191" cm="1">
        <f t="array" ref="V7">IF(
   V$5="Actual",
      SUMIFS(INDEX(summary_all[],0,MATCH("Amount",summary_all[#Headers],0)),
      INDEX(summary_all[],0,MATCH("Date",summary_all[#Headers],0)),
         Asset_Plan[[#Headers],[Oct]],
      INDEX(summary_all[],0,MATCH("Source",summary_all[#Headers],0)),
         "Actual",
      INDEX(summary_all[],0,MATCH("Account_Type",summary_all[#Headers],0)),
         "Expense"),
   IF(V$5="Budget",
      SUMPRODUCT((INDEX(summary_all[],0,MATCH("Amount",summary_all[#Headers],0))) *
     (INDEX(summary_all[],0,MATCH("Date",summary_all[#Headers],0)) = Asset_Plan[[#Headers],[Oct]]) *
     (INDEX(summary_all[],0,MATCH("Source",summary_all[#Headers],0)) = {"Exp_Plan","Shop_List"}) *
     (INDEX(summary_all[],0,MATCH("Account_Type",summary_all[#Headers],0)) = "Expense")
     )
   )
)</f>
        <v>2380.9300000000003</v>
      </c>
      <c r="W7" s="191" cm="1">
        <f t="array" ref="W7">IF(
   W$5="Actual",
      SUMIFS(INDEX(summary_all[],0,MATCH("Amount",summary_all[#Headers],0)),
      INDEX(summary_all[],0,MATCH("Date",summary_all[#Headers],0)),
         Asset_Plan[[#Headers],[Nov]],
      INDEX(summary_all[],0,MATCH("Source",summary_all[#Headers],0)),
         "Actual",
      INDEX(summary_all[],0,MATCH("Account_Type",summary_all[#Headers],0)),
         "Expense"),
   IF(W$5="Budget",
      SUMPRODUCT((INDEX(summary_all[],0,MATCH("Amount",summary_all[#Headers],0))) *
     (INDEX(summary_all[],0,MATCH("Date",summary_all[#Headers],0)) = Asset_Plan[[#Headers],[Nov]]) *
     (INDEX(summary_all[],0,MATCH("Source",summary_all[#Headers],0)) = {"Exp_Plan","Shop_List"}) *
     (INDEX(summary_all[],0,MATCH("Account_Type",summary_all[#Headers],0)) = "Expense")
     )
   )
)</f>
        <v>1895.2600000000002</v>
      </c>
      <c r="X7" s="191" cm="1">
        <f t="array" ref="X7">IF(
   X$5="Actual",
      SUMIFS(INDEX(summary_all[],0,MATCH("Amount",summary_all[#Headers],0)),
      INDEX(summary_all[],0,MATCH("Date",summary_all[#Headers],0)),
         Asset_Plan[[#Headers],[Dec]],
      INDEX(summary_all[],0,MATCH("Source",summary_all[#Headers],0)),
         "Actual",
      INDEX(summary_all[],0,MATCH("Account_Type",summary_all[#Headers],0)),
         "Expense"),
   IF(X$5="Budget",
      SUMPRODUCT((INDEX(summary_all[],0,MATCH("Amount",summary_all[#Headers],0))) *
     (INDEX(summary_all[],0,MATCH("Date",summary_all[#Headers],0)) = Asset_Plan[[#Headers],[Dec]]) *
     (INDEX(summary_all[],0,MATCH("Source",summary_all[#Headers],0)) = {"Exp_Plan","Shop_List"}) *
     (INDEX(summary_all[],0,MATCH("Account_Type",summary_all[#Headers],0)) = "Expense")
     )
   )
)</f>
        <v>1345.2600000000002</v>
      </c>
      <c r="Y7" s="333">
        <f t="shared" ref="Y7:Y25" si="0">SUM($M7:$X7)</f>
        <v>21537.880000000005</v>
      </c>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48.75" customHeight="1" thickBot="1" x14ac:dyDescent="0.3">
      <c r="B8" s="331" t="s">
        <v>573</v>
      </c>
      <c r="C8" s="201" t="s">
        <v>166</v>
      </c>
      <c r="D8" s="202">
        <v>-50</v>
      </c>
      <c r="H8" s="346" t="s">
        <v>572</v>
      </c>
      <c r="I8" s="346"/>
      <c r="J8" s="171" t="s">
        <v>397</v>
      </c>
      <c r="M8" s="192">
        <f t="shared" ref="M8:X8" si="1">M$6-M$7</f>
        <v>697.48000000000047</v>
      </c>
      <c r="N8" s="192">
        <f t="shared" si="1"/>
        <v>1993.77</v>
      </c>
      <c r="O8" s="192">
        <f t="shared" si="1"/>
        <v>1993.77</v>
      </c>
      <c r="P8" s="192">
        <f t="shared" si="1"/>
        <v>1861.85</v>
      </c>
      <c r="Q8" s="192">
        <f t="shared" si="1"/>
        <v>1690.77</v>
      </c>
      <c r="R8" s="192">
        <f t="shared" si="1"/>
        <v>1514.7399999999998</v>
      </c>
      <c r="S8" s="192">
        <f t="shared" si="1"/>
        <v>1229.7399999999998</v>
      </c>
      <c r="T8" s="192">
        <f t="shared" si="1"/>
        <v>1649.7399999999998</v>
      </c>
      <c r="U8" s="192">
        <f t="shared" si="1"/>
        <v>1201.71</v>
      </c>
      <c r="V8" s="192">
        <f t="shared" si="1"/>
        <v>1369.0699999999997</v>
      </c>
      <c r="W8" s="192">
        <f t="shared" si="1"/>
        <v>1354.7399999999998</v>
      </c>
      <c r="X8" s="192">
        <f t="shared" si="1"/>
        <v>1904.7399999999998</v>
      </c>
      <c r="Y8" s="333">
        <f t="shared" si="0"/>
        <v>18462.119999999995</v>
      </c>
      <c r="Z8" s="18">
        <v>100</v>
      </c>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44.25" customHeight="1" x14ac:dyDescent="0.25">
      <c r="H9" s="346" t="s">
        <v>574</v>
      </c>
      <c r="I9" s="346"/>
      <c r="J9" s="213" t="s">
        <v>438</v>
      </c>
      <c r="M9" s="214">
        <f t="shared" ref="M9:X9" si="2">IF(M$8&gt;0,ROUND(M$8-M$13,2),"net loss")</f>
        <v>211.77</v>
      </c>
      <c r="N9" s="214">
        <f t="shared" si="2"/>
        <v>1993.77</v>
      </c>
      <c r="O9" s="214">
        <f t="shared" si="2"/>
        <v>1993.77</v>
      </c>
      <c r="P9" s="214">
        <f t="shared" si="2"/>
        <v>1861.85</v>
      </c>
      <c r="Q9" s="214">
        <f t="shared" si="2"/>
        <v>1690.77</v>
      </c>
      <c r="R9" s="214">
        <f t="shared" si="2"/>
        <v>1514.74</v>
      </c>
      <c r="S9" s="214">
        <f t="shared" si="2"/>
        <v>1229.74</v>
      </c>
      <c r="T9" s="214">
        <f t="shared" si="2"/>
        <v>1649.74</v>
      </c>
      <c r="U9" s="214">
        <f t="shared" si="2"/>
        <v>1201.71</v>
      </c>
      <c r="V9" s="214">
        <f t="shared" si="2"/>
        <v>2813.07</v>
      </c>
      <c r="W9" s="214">
        <f t="shared" si="2"/>
        <v>2599.7399999999998</v>
      </c>
      <c r="X9" s="214">
        <f t="shared" si="2"/>
        <v>104.74</v>
      </c>
      <c r="Y9" s="333">
        <f t="shared" si="0"/>
        <v>18865.41</v>
      </c>
      <c r="Z9" s="18"/>
      <c r="AA9" s="63"/>
      <c r="AB9" s="63"/>
      <c r="AC9" s="63"/>
      <c r="AD9" s="63"/>
      <c r="AE9" s="63"/>
      <c r="AF9" s="63"/>
      <c r="AG9" s="63"/>
      <c r="AH9" s="63"/>
      <c r="AJ9" s="63"/>
      <c r="AK9" s="63"/>
      <c r="AL9" s="63"/>
      <c r="AM9" s="63"/>
      <c r="AN9" s="63"/>
      <c r="AO9" s="63"/>
      <c r="AP9" s="63"/>
      <c r="AQ9" s="63"/>
      <c r="AR9" s="63"/>
      <c r="AS9" s="63"/>
      <c r="AT9" s="63"/>
      <c r="AU9" s="63"/>
      <c r="AV9" s="63"/>
      <c r="AX9" s="63"/>
      <c r="AY9" s="63"/>
      <c r="AZ9" s="63"/>
      <c r="BA9" s="63"/>
      <c r="BB9" s="63"/>
      <c r="BC9" s="63"/>
      <c r="BD9" s="63"/>
      <c r="BE9" s="63"/>
      <c r="BF9" s="63"/>
      <c r="BG9" s="63"/>
      <c r="BH9" s="63"/>
      <c r="BI9" s="63"/>
      <c r="BJ9" s="63"/>
      <c r="BL9" s="15"/>
      <c r="BM9" s="15"/>
      <c r="BN9" s="15"/>
      <c r="BO9" s="15"/>
      <c r="BP9" s="15"/>
      <c r="BQ9" s="15"/>
      <c r="BR9" s="15"/>
      <c r="BS9" s="15"/>
      <c r="BT9" s="15"/>
      <c r="BU9" s="15"/>
      <c r="BV9" s="15"/>
      <c r="BW9" s="15"/>
      <c r="BX9" s="15"/>
      <c r="BZ9" s="15"/>
      <c r="CA9" s="15"/>
      <c r="CB9" s="15"/>
      <c r="CC9" s="15"/>
      <c r="CD9" s="15"/>
      <c r="CE9" s="15"/>
      <c r="CF9" s="15"/>
      <c r="CG9" s="15"/>
      <c r="CH9" s="15"/>
      <c r="CI9" s="15"/>
      <c r="CJ9" s="15"/>
      <c r="CK9" s="15"/>
      <c r="CL9" s="15"/>
      <c r="CN9" s="15"/>
      <c r="CO9" s="15"/>
      <c r="CP9" s="15"/>
      <c r="CQ9" s="15"/>
      <c r="CR9" s="15"/>
      <c r="CS9" s="15"/>
      <c r="CT9" s="15"/>
      <c r="CU9" s="15"/>
      <c r="CV9" s="15"/>
      <c r="CW9" s="15"/>
      <c r="CX9" s="15"/>
      <c r="CY9" s="15"/>
      <c r="CZ9" s="15"/>
      <c r="DB9" s="15"/>
      <c r="DC9" s="15"/>
      <c r="DD9" s="15"/>
      <c r="DE9" s="15"/>
      <c r="DF9" s="15"/>
      <c r="DG9" s="15"/>
      <c r="DH9" s="15"/>
      <c r="DI9" s="15"/>
      <c r="DJ9" s="15"/>
      <c r="DK9" s="15"/>
      <c r="DL9" s="15"/>
      <c r="DM9" s="15"/>
      <c r="DN9" s="15"/>
      <c r="DP9" s="15"/>
      <c r="DQ9" s="15"/>
      <c r="DR9" s="15"/>
      <c r="DS9" s="15"/>
      <c r="DT9" s="15"/>
      <c r="DU9" s="15"/>
      <c r="DV9" s="15"/>
      <c r="DW9" s="15"/>
      <c r="DX9" s="15"/>
      <c r="DY9" s="15"/>
      <c r="DZ9" s="15"/>
      <c r="EA9" s="15"/>
      <c r="EB9" s="15"/>
      <c r="ED9" s="15"/>
      <c r="EE9" s="15"/>
      <c r="EF9" s="15"/>
      <c r="EG9" s="15"/>
      <c r="EH9" s="15"/>
      <c r="EI9" s="15"/>
      <c r="EJ9" s="15"/>
      <c r="EK9" s="15"/>
      <c r="EL9" s="15"/>
      <c r="EM9" s="15"/>
      <c r="EN9" s="15"/>
      <c r="EO9" s="15"/>
      <c r="EP9" s="15"/>
      <c r="ER9" s="15"/>
      <c r="ES9" s="15"/>
      <c r="ET9" s="15"/>
      <c r="EU9" s="15"/>
      <c r="EV9" s="15"/>
      <c r="EW9" s="15"/>
      <c r="EX9" s="15"/>
      <c r="EY9" s="15"/>
      <c r="EZ9" s="15"/>
      <c r="FA9" s="15"/>
      <c r="FB9" s="15"/>
      <c r="FC9" s="15"/>
      <c r="FD9" s="15"/>
      <c r="FF9" s="15"/>
      <c r="FG9" s="15"/>
      <c r="FH9" s="15"/>
      <c r="FI9" s="15"/>
      <c r="FJ9" s="15"/>
      <c r="FK9" s="15"/>
      <c r="FL9" s="15"/>
      <c r="FM9" s="15"/>
      <c r="FN9" s="15"/>
      <c r="FO9" s="15"/>
      <c r="FP9" s="15"/>
      <c r="FQ9" s="15"/>
      <c r="FR9" s="15"/>
    </row>
    <row r="10" spans="2:174" ht="15.75" x14ac:dyDescent="0.25">
      <c r="M10"/>
      <c r="Y10" s="333">
        <f t="shared" si="0"/>
        <v>0</v>
      </c>
      <c r="Z10" s="18"/>
      <c r="AA10" s="63"/>
      <c r="AB10" s="63"/>
      <c r="AC10" s="63"/>
      <c r="AD10" s="63"/>
      <c r="AE10" s="63"/>
      <c r="AF10" s="63"/>
      <c r="AG10" s="63"/>
      <c r="AH10" s="63"/>
      <c r="AJ10" s="63"/>
      <c r="AK10" s="63"/>
      <c r="AL10" s="63"/>
      <c r="AM10" s="63"/>
      <c r="AN10" s="63"/>
      <c r="AO10" s="63"/>
      <c r="AP10" s="63"/>
      <c r="AQ10" s="63"/>
      <c r="AR10" s="63"/>
      <c r="AS10" s="63"/>
      <c r="AT10" s="63"/>
      <c r="AU10" s="63"/>
      <c r="AV10" s="63"/>
      <c r="AX10" s="63"/>
      <c r="AY10" s="63"/>
      <c r="AZ10" s="63"/>
      <c r="BA10" s="63"/>
      <c r="BB10" s="63"/>
      <c r="BC10" s="63"/>
      <c r="BD10" s="63"/>
      <c r="BE10" s="63"/>
      <c r="BF10" s="63"/>
      <c r="BG10" s="63"/>
      <c r="BH10" s="63"/>
      <c r="BI10" s="63"/>
      <c r="BJ10" s="63"/>
      <c r="BL10" s="15"/>
      <c r="BM10" s="15"/>
      <c r="BN10" s="15"/>
      <c r="BO10" s="15"/>
      <c r="BP10" s="15"/>
      <c r="BQ10" s="15"/>
      <c r="BR10" s="15"/>
      <c r="BS10" s="15"/>
      <c r="BT10" s="15"/>
      <c r="BU10" s="15"/>
      <c r="BV10" s="15"/>
      <c r="BW10" s="15"/>
      <c r="BX10" s="15"/>
      <c r="BZ10" s="15"/>
      <c r="CA10" s="15"/>
      <c r="CB10" s="15"/>
      <c r="CC10" s="15"/>
      <c r="CD10" s="15"/>
      <c r="CE10" s="15"/>
      <c r="CF10" s="15"/>
      <c r="CG10" s="15"/>
      <c r="CH10" s="15"/>
      <c r="CI10" s="15"/>
      <c r="CJ10" s="15"/>
      <c r="CK10" s="15"/>
      <c r="CL10" s="15"/>
      <c r="CN10" s="15"/>
      <c r="CO10" s="15"/>
      <c r="CP10" s="15"/>
      <c r="CQ10" s="15"/>
      <c r="CR10" s="15"/>
      <c r="CS10" s="15"/>
      <c r="CT10" s="15"/>
      <c r="CU10" s="15"/>
      <c r="CV10" s="15"/>
      <c r="CW10" s="15"/>
      <c r="CX10" s="15"/>
      <c r="CY10" s="15"/>
      <c r="CZ10" s="15"/>
      <c r="DB10" s="15"/>
      <c r="DC10" s="15"/>
      <c r="DD10" s="15"/>
      <c r="DE10" s="15"/>
      <c r="DF10" s="15"/>
      <c r="DG10" s="15"/>
      <c r="DH10" s="15"/>
      <c r="DI10" s="15"/>
      <c r="DJ10" s="15"/>
      <c r="DK10" s="15"/>
      <c r="DL10" s="15"/>
      <c r="DM10" s="15"/>
      <c r="DN10" s="15"/>
      <c r="DP10" s="15"/>
      <c r="DQ10" s="15"/>
      <c r="DR10" s="15"/>
      <c r="DS10" s="15"/>
      <c r="DT10" s="15"/>
      <c r="DU10" s="15"/>
      <c r="DV10" s="15"/>
      <c r="DW10" s="15"/>
      <c r="DX10" s="15"/>
      <c r="DY10" s="15"/>
      <c r="DZ10" s="15"/>
      <c r="EA10" s="15"/>
      <c r="EB10" s="15"/>
      <c r="ED10" s="15"/>
      <c r="EE10" s="15"/>
      <c r="EF10" s="15"/>
      <c r="EG10" s="15"/>
      <c r="EH10" s="15"/>
      <c r="EI10" s="15"/>
      <c r="EJ10" s="15"/>
      <c r="EK10" s="15"/>
      <c r="EL10" s="15"/>
      <c r="EM10" s="15"/>
      <c r="EN10" s="15"/>
      <c r="EO10" s="15"/>
      <c r="EP10" s="15"/>
      <c r="ER10" s="15"/>
      <c r="ES10" s="15"/>
      <c r="ET10" s="15"/>
      <c r="EU10" s="15"/>
      <c r="EV10" s="15"/>
      <c r="EW10" s="15"/>
      <c r="EX10" s="15"/>
      <c r="EY10" s="15"/>
      <c r="EZ10" s="15"/>
      <c r="FA10" s="15"/>
      <c r="FB10" s="15"/>
      <c r="FC10" s="15"/>
      <c r="FD10" s="15"/>
      <c r="FF10" s="15"/>
      <c r="FG10" s="15"/>
      <c r="FH10" s="15"/>
      <c r="FI10" s="15"/>
      <c r="FJ10" s="15"/>
      <c r="FK10" s="15"/>
      <c r="FL10" s="15"/>
      <c r="FM10" s="15"/>
      <c r="FN10" s="15"/>
      <c r="FO10" s="15"/>
      <c r="FP10" s="15"/>
      <c r="FQ10" s="15"/>
      <c r="FR10" s="15"/>
    </row>
    <row r="11" spans="2:174" ht="15.75" x14ac:dyDescent="0.25">
      <c r="J11" s="171" t="s">
        <v>423</v>
      </c>
      <c r="M11" s="15" cm="1">
        <f t="array" ref="M11">IFERROR(SUMPRODUCT((ISNUMBER(MATCH(INDEX(Asset_Plan[],0,MATCH("Account",Asset_Plan[#Headers],0)),ListCashEquivalent,0)))*(Asset_Plan[Jan])),0)</f>
        <v>0</v>
      </c>
      <c r="N11" s="15" cm="1">
        <f t="array" ref="N11">IFERROR(SUMPRODUCT((ISNUMBER(MATCH(INDEX(Asset_Plan[],0,MATCH("Account",Asset_Plan[#Headers],0)),ListCashEquivalent,0)))*(Asset_Plan[Feb])),0)</f>
        <v>0</v>
      </c>
      <c r="O11" s="15" cm="1">
        <f t="array" ref="O11">IFERROR(SUMPRODUCT((ISNUMBER(MATCH(INDEX(Asset_Plan[],0,MATCH("Account",Asset_Plan[#Headers],0)),ListCashEquivalent,0)))*(Asset_Plan[Mar])),0)</f>
        <v>0</v>
      </c>
      <c r="P11" s="15" cm="1">
        <f t="array" ref="P11">IFERROR(SUMPRODUCT((ISNUMBER(MATCH(INDEX(Asset_Plan[],0,MATCH("Account",Asset_Plan[#Headers],0)),ListCashEquivalent,0)))*(Asset_Plan[Apr])),0)</f>
        <v>0</v>
      </c>
      <c r="Q11" s="15" cm="1">
        <f t="array" ref="Q11">IFERROR(SUMPRODUCT((ISNUMBER(MATCH(INDEX(Asset_Plan[],0,MATCH("Account",Asset_Plan[#Headers],0)),ListCashEquivalent,0)))*(Asset_Plan[May])),0)</f>
        <v>0</v>
      </c>
      <c r="R11" s="15" cm="1">
        <f t="array" ref="R11">IFERROR(SUMPRODUCT((ISNUMBER(MATCH(INDEX(Asset_Plan[],0,MATCH("Account",Asset_Plan[#Headers],0)),ListCashEquivalent,0)))*(Asset_Plan[Jun])),0)</f>
        <v>0</v>
      </c>
      <c r="S11" s="15" cm="1">
        <f t="array" ref="S11">IFERROR(SUMPRODUCT((ISNUMBER(MATCH(INDEX(Asset_Plan[],0,MATCH("Account",Asset_Plan[#Headers],0)),ListCashEquivalent,0)))*(Asset_Plan[Jul])),0)</f>
        <v>0</v>
      </c>
      <c r="T11" s="15" cm="1">
        <f t="array" ref="T11">IFERROR(SUMPRODUCT((ISNUMBER(MATCH(INDEX(Asset_Plan[],0,MATCH("Account",Asset_Plan[#Headers],0)),ListCashEquivalent,0)))*(Asset_Plan[Aug])),0)</f>
        <v>0</v>
      </c>
      <c r="U11" s="15" cm="1">
        <f t="array" ref="U11">IFERROR(SUMPRODUCT((ISNUMBER(MATCH(INDEX(Asset_Plan[],0,MATCH("Account",Asset_Plan[#Headers],0)),ListCashEquivalent,0)))*(Asset_Plan[Sep])),0)</f>
        <v>0</v>
      </c>
      <c r="V11" s="15" cm="1">
        <f t="array" ref="V11">IFERROR(SUMPRODUCT((ISNUMBER(MATCH(INDEX(Asset_Plan[],0,MATCH("Account",Asset_Plan[#Headers],0)),ListCashEquivalent,0)))*(Asset_Plan[Oct])),0)</f>
        <v>0</v>
      </c>
      <c r="W11" s="15" cm="1">
        <f t="array" ref="W11">IFERROR(SUMPRODUCT((ISNUMBER(MATCH(INDEX(Asset_Plan[],0,MATCH("Account",Asset_Plan[#Headers],0)),ListCashEquivalent,0)))*(Asset_Plan[Nov])),0)</f>
        <v>0</v>
      </c>
      <c r="X11" s="15" cm="1">
        <f t="array" ref="X11">IFERROR(SUMPRODUCT((ISNUMBER(MATCH(INDEX(Asset_Plan[],0,MATCH("Account",Asset_Plan[#Headers],0)),ListCashEquivalent,0)))*(Asset_Plan[Dec])),0)</f>
        <v>0</v>
      </c>
      <c r="Y11" s="333">
        <f t="shared" si="0"/>
        <v>0</v>
      </c>
      <c r="Z11" s="18"/>
      <c r="AA11" s="63"/>
      <c r="AB11" s="63"/>
      <c r="AC11" s="63"/>
      <c r="AD11" s="63"/>
      <c r="AE11" s="63"/>
      <c r="AF11" s="63"/>
      <c r="AG11" s="63"/>
      <c r="AH11" s="63"/>
      <c r="AJ11" s="63"/>
      <c r="AK11" s="63"/>
      <c r="AL11" s="63"/>
      <c r="AM11" s="63"/>
      <c r="AN11" s="63"/>
      <c r="AO11" s="63"/>
      <c r="AP11" s="63"/>
      <c r="AQ11" s="63"/>
      <c r="AR11" s="63"/>
      <c r="AS11" s="63"/>
      <c r="AT11" s="63"/>
      <c r="AU11" s="63"/>
      <c r="AV11" s="63"/>
      <c r="AX11" s="63"/>
      <c r="AY11" s="63"/>
      <c r="AZ11" s="63"/>
      <c r="BA11" s="63"/>
      <c r="BB11" s="63"/>
      <c r="BC11" s="63"/>
      <c r="BD11" s="63"/>
      <c r="BE11" s="63"/>
      <c r="BF11" s="63"/>
      <c r="BG11" s="63"/>
      <c r="BH11" s="63"/>
      <c r="BI11" s="63"/>
      <c r="BJ11" s="63"/>
      <c r="BL11" s="15"/>
      <c r="BM11" s="15"/>
      <c r="BN11" s="15"/>
      <c r="BO11" s="15"/>
      <c r="BP11" s="15"/>
      <c r="BQ11" s="15"/>
      <c r="BR11" s="15"/>
      <c r="BS11" s="15"/>
      <c r="BT11" s="15"/>
      <c r="BU11" s="15"/>
      <c r="BV11" s="15"/>
      <c r="BW11" s="15"/>
      <c r="BX11" s="15"/>
      <c r="BZ11" s="15"/>
      <c r="CA11" s="15"/>
      <c r="CB11" s="15"/>
      <c r="CC11" s="15"/>
      <c r="CD11" s="15"/>
      <c r="CE11" s="15"/>
      <c r="CF11" s="15"/>
      <c r="CG11" s="15"/>
      <c r="CH11" s="15"/>
      <c r="CI11" s="15"/>
      <c r="CJ11" s="15"/>
      <c r="CK11" s="15"/>
      <c r="CL11" s="15"/>
      <c r="CN11" s="15"/>
      <c r="CO11" s="15"/>
      <c r="CP11" s="15"/>
      <c r="CQ11" s="15"/>
      <c r="CR11" s="15"/>
      <c r="CS11" s="15"/>
      <c r="CT11" s="15"/>
      <c r="CU11" s="15"/>
      <c r="CV11" s="15"/>
      <c r="CW11" s="15"/>
      <c r="CX11" s="15"/>
      <c r="CY11" s="15"/>
      <c r="CZ11" s="15"/>
      <c r="DB11" s="15"/>
      <c r="DC11" s="15"/>
      <c r="DD11" s="15"/>
      <c r="DE11" s="15"/>
      <c r="DF11" s="15"/>
      <c r="DG11" s="15"/>
      <c r="DH11" s="15"/>
      <c r="DI11" s="15"/>
      <c r="DJ11" s="15"/>
      <c r="DK11" s="15"/>
      <c r="DL11" s="15"/>
      <c r="DM11" s="15"/>
      <c r="DN11" s="15"/>
      <c r="DP11" s="15"/>
      <c r="DQ11" s="15"/>
      <c r="DR11" s="15"/>
      <c r="DS11" s="15"/>
      <c r="DT11" s="15"/>
      <c r="DU11" s="15"/>
      <c r="DV11" s="15"/>
      <c r="DW11" s="15"/>
      <c r="DX11" s="15"/>
      <c r="DY11" s="15"/>
      <c r="DZ11" s="15"/>
      <c r="EA11" s="15"/>
      <c r="EB11" s="15"/>
      <c r="ED11" s="15"/>
      <c r="EE11" s="15"/>
      <c r="EF11" s="15"/>
      <c r="EG11" s="15"/>
      <c r="EH11" s="15"/>
      <c r="EI11" s="15"/>
      <c r="EJ11" s="15"/>
      <c r="EK11" s="15"/>
      <c r="EL11" s="15"/>
      <c r="EM11" s="15"/>
      <c r="EN11" s="15"/>
      <c r="EO11" s="15"/>
      <c r="EP11" s="15"/>
      <c r="ER11" s="15"/>
      <c r="ES11" s="15"/>
      <c r="ET11" s="15"/>
      <c r="EU11" s="15"/>
      <c r="EV11" s="15"/>
      <c r="EW11" s="15"/>
      <c r="EX11" s="15"/>
      <c r="EY11" s="15"/>
      <c r="EZ11" s="15"/>
      <c r="FA11" s="15"/>
      <c r="FB11" s="15"/>
      <c r="FC11" s="15"/>
      <c r="FD11" s="15"/>
      <c r="FF11" s="15"/>
      <c r="FG11" s="15"/>
      <c r="FH11" s="15"/>
      <c r="FI11" s="15"/>
      <c r="FJ11" s="15"/>
      <c r="FK11" s="15"/>
      <c r="FL11" s="15"/>
      <c r="FM11" s="15"/>
      <c r="FN11" s="15"/>
      <c r="FO11" s="15"/>
      <c r="FP11" s="15"/>
      <c r="FQ11" s="15"/>
      <c r="FR11" s="15"/>
    </row>
    <row r="12" spans="2:174" ht="15.75" x14ac:dyDescent="0.25">
      <c r="J12" s="171" t="s">
        <v>474</v>
      </c>
      <c r="M12" s="212" cm="1">
        <f t="array" ref="M12">IFERROR(SUMPRODUCT((ISERROR(MATCH(INDEX(Asset_Plan[],0,MATCH("Account",Asset_Plan[#Headers],0)),ListCashEquivalent,0))*(Asset_Plan[Jan]))),"")</f>
        <v>485.71</v>
      </c>
      <c r="N12" s="212" cm="1">
        <f t="array" ref="N12">IFERROR(SUMPRODUCT((ISERROR(MATCH(INDEX(Asset_Plan[],0,MATCH("Account",Asset_Plan[#Headers],0)),ListCashEquivalent,0))*(Asset_Plan[Feb]))),"")</f>
        <v>0</v>
      </c>
      <c r="O12" s="212" cm="1">
        <f t="array" ref="O12">IFERROR(SUMPRODUCT((ISERROR(MATCH(INDEX(Asset_Plan[],0,MATCH("Account",Asset_Plan[#Headers],0)),ListCashEquivalent,0))*(Asset_Plan[Mar]))),"")</f>
        <v>0</v>
      </c>
      <c r="P12" s="212" cm="1">
        <f t="array" ref="P12">IFERROR(SUMPRODUCT((ISERROR(MATCH(INDEX(Asset_Plan[],0,MATCH("Account",Asset_Plan[#Headers],0)),ListCashEquivalent,0))*(Asset_Plan[Apr]))),"")</f>
        <v>0</v>
      </c>
      <c r="Q12" s="212" cm="1">
        <f t="array" ref="Q12">IFERROR(SUMPRODUCT((ISERROR(MATCH(INDEX(Asset_Plan[],0,MATCH("Account",Asset_Plan[#Headers],0)),ListCashEquivalent,0))*(Asset_Plan[May]))),"")</f>
        <v>0</v>
      </c>
      <c r="R12" s="212" cm="1">
        <f t="array" ref="R12">IFERROR(SUMPRODUCT((ISERROR(MATCH(INDEX(Asset_Plan[],0,MATCH("Account",Asset_Plan[#Headers],0)),ListCashEquivalent,0))*(Asset_Plan[Jun]))),"")</f>
        <v>0</v>
      </c>
      <c r="S12" s="212" cm="1">
        <f t="array" ref="S12">IFERROR(SUMPRODUCT((ISERROR(MATCH(INDEX(Asset_Plan[],0,MATCH("Account",Asset_Plan[#Headers],0)),ListCashEquivalent,0))*(Asset_Plan[Jul]))),"")</f>
        <v>0</v>
      </c>
      <c r="T12" s="212" cm="1">
        <f t="array" ref="T12">IFERROR(SUMPRODUCT((ISERROR(MATCH(INDEX(Asset_Plan[],0,MATCH("Account",Asset_Plan[#Headers],0)),ListCashEquivalent,0))*(Asset_Plan[Aug]))),"")</f>
        <v>0</v>
      </c>
      <c r="U12" s="212" cm="1">
        <f t="array" ref="U12">IFERROR(SUMPRODUCT((ISERROR(MATCH(INDEX(Asset_Plan[],0,MATCH("Account",Asset_Plan[#Headers],0)),ListCashEquivalent,0))*(Asset_Plan[Sep]))),"")</f>
        <v>0</v>
      </c>
      <c r="V12" s="212" cm="1">
        <f t="array" ref="V12">IFERROR(SUMPRODUCT((ISERROR(MATCH(INDEX(Asset_Plan[],0,MATCH("Account",Asset_Plan[#Headers],0)),ListCashEquivalent,0))*(Asset_Plan[Oct]))),"")</f>
        <v>-1444</v>
      </c>
      <c r="W12" s="212" cm="1">
        <f t="array" ref="W12">IFERROR(SUMPRODUCT((ISERROR(MATCH(INDEX(Asset_Plan[],0,MATCH("Account",Asset_Plan[#Headers],0)),ListCashEquivalent,0))*(Asset_Plan[Nov]))),"")</f>
        <v>-1245</v>
      </c>
      <c r="X12" s="212" cm="1">
        <f t="array" ref="X12">IFERROR(SUMPRODUCT((ISERROR(MATCH(INDEX(Asset_Plan[],0,MATCH("Account",Asset_Plan[#Headers],0)),ListCashEquivalent,0))*(Asset_Plan[Dec]))),"")</f>
        <v>1800</v>
      </c>
      <c r="Y12" s="333">
        <f t="shared" si="0"/>
        <v>-403.28999999999996</v>
      </c>
      <c r="Z12" s="18"/>
      <c r="AA12" s="63"/>
      <c r="AB12" s="63"/>
      <c r="AC12" s="63"/>
      <c r="AD12" s="63"/>
      <c r="AE12" s="63"/>
      <c r="AF12" s="63"/>
      <c r="AG12" s="63"/>
      <c r="AH12" s="63"/>
      <c r="AJ12" s="63"/>
      <c r="AK12" s="63"/>
      <c r="AL12" s="63"/>
      <c r="AM12" s="63"/>
      <c r="AN12" s="63"/>
      <c r="AO12" s="63"/>
      <c r="AP12" s="63"/>
      <c r="AQ12" s="63"/>
      <c r="AR12" s="63"/>
      <c r="AS12" s="63"/>
      <c r="AT12" s="63"/>
      <c r="AU12" s="63"/>
      <c r="AV12" s="63"/>
      <c r="AX12" s="63"/>
      <c r="AY12" s="63"/>
      <c r="AZ12" s="63"/>
      <c r="BA12" s="63"/>
      <c r="BB12" s="63"/>
      <c r="BC12" s="63"/>
      <c r="BD12" s="63"/>
      <c r="BE12" s="63"/>
      <c r="BF12" s="63"/>
      <c r="BG12" s="63"/>
      <c r="BH12" s="63"/>
      <c r="BI12" s="63"/>
      <c r="BJ12" s="63"/>
      <c r="BL12" s="15"/>
      <c r="BM12" s="15"/>
      <c r="BN12" s="15"/>
      <c r="BO12" s="15"/>
      <c r="BP12" s="15"/>
      <c r="BQ12" s="15"/>
      <c r="BR12" s="15"/>
      <c r="BS12" s="15"/>
      <c r="BT12" s="15"/>
      <c r="BU12" s="15"/>
      <c r="BV12" s="15"/>
      <c r="BW12" s="15"/>
      <c r="BX12" s="15"/>
      <c r="BZ12" s="15"/>
      <c r="CA12" s="15"/>
      <c r="CB12" s="15"/>
      <c r="CC12" s="15"/>
      <c r="CD12" s="15"/>
      <c r="CE12" s="15"/>
      <c r="CF12" s="15"/>
      <c r="CG12" s="15"/>
      <c r="CH12" s="15"/>
      <c r="CI12" s="15"/>
      <c r="CJ12" s="15"/>
      <c r="CK12" s="15"/>
      <c r="CL12" s="15"/>
      <c r="CN12" s="15"/>
      <c r="CO12" s="15"/>
      <c r="CP12" s="15"/>
      <c r="CQ12" s="15"/>
      <c r="CR12" s="15"/>
      <c r="CS12" s="15"/>
      <c r="CT12" s="15"/>
      <c r="CU12" s="15"/>
      <c r="CV12" s="15"/>
      <c r="CW12" s="15"/>
      <c r="CX12" s="15"/>
      <c r="CY12" s="15"/>
      <c r="CZ12" s="15"/>
      <c r="DB12" s="15"/>
      <c r="DC12" s="15"/>
      <c r="DD12" s="15"/>
      <c r="DE12" s="15"/>
      <c r="DF12" s="15"/>
      <c r="DG12" s="15"/>
      <c r="DH12" s="15"/>
      <c r="DI12" s="15"/>
      <c r="DJ12" s="15"/>
      <c r="DK12" s="15"/>
      <c r="DL12" s="15"/>
      <c r="DM12" s="15"/>
      <c r="DN12" s="15"/>
      <c r="DP12" s="15"/>
      <c r="DQ12" s="15"/>
      <c r="DR12" s="15"/>
      <c r="DS12" s="15"/>
      <c r="DT12" s="15"/>
      <c r="DU12" s="15"/>
      <c r="DV12" s="15"/>
      <c r="DW12" s="15"/>
      <c r="DX12" s="15"/>
      <c r="DY12" s="15"/>
      <c r="DZ12" s="15"/>
      <c r="EA12" s="15"/>
      <c r="EB12" s="15"/>
      <c r="ED12" s="15"/>
      <c r="EE12" s="15"/>
      <c r="EF12" s="15"/>
      <c r="EG12" s="15"/>
      <c r="EH12" s="15"/>
      <c r="EI12" s="15"/>
      <c r="EJ12" s="15"/>
      <c r="EK12" s="15"/>
      <c r="EL12" s="15"/>
      <c r="EM12" s="15"/>
      <c r="EN12" s="15"/>
      <c r="EO12" s="15"/>
      <c r="EP12" s="15"/>
      <c r="ER12" s="15"/>
      <c r="ES12" s="15"/>
      <c r="ET12" s="15"/>
      <c r="EU12" s="15"/>
      <c r="EV12" s="15"/>
      <c r="EW12" s="15"/>
      <c r="EX12" s="15"/>
      <c r="EY12" s="15"/>
      <c r="EZ12" s="15"/>
      <c r="FA12" s="15"/>
      <c r="FB12" s="15"/>
      <c r="FC12" s="15"/>
      <c r="FD12" s="15"/>
      <c r="FF12" s="15"/>
      <c r="FG12" s="15"/>
      <c r="FH12" s="15"/>
      <c r="FI12" s="15"/>
      <c r="FJ12" s="15"/>
      <c r="FK12" s="15"/>
      <c r="FL12" s="15"/>
      <c r="FM12" s="15"/>
      <c r="FN12" s="15"/>
      <c r="FO12" s="15"/>
      <c r="FP12" s="15"/>
      <c r="FQ12" s="15"/>
      <c r="FR12" s="15"/>
    </row>
    <row r="13" spans="2:174" ht="15.75" x14ac:dyDescent="0.25">
      <c r="J13" s="171" t="s">
        <v>437</v>
      </c>
      <c r="M13" s="45">
        <f t="shared" ref="M13:X13" si="3">SUM(M$11:M$12)</f>
        <v>485.71</v>
      </c>
      <c r="N13" s="45">
        <f t="shared" si="3"/>
        <v>0</v>
      </c>
      <c r="O13" s="45">
        <f t="shared" si="3"/>
        <v>0</v>
      </c>
      <c r="P13" s="45">
        <f t="shared" si="3"/>
        <v>0</v>
      </c>
      <c r="Q13" s="45">
        <f t="shared" si="3"/>
        <v>0</v>
      </c>
      <c r="R13" s="45">
        <f t="shared" si="3"/>
        <v>0</v>
      </c>
      <c r="S13" s="45">
        <f t="shared" si="3"/>
        <v>0</v>
      </c>
      <c r="T13" s="45">
        <f t="shared" si="3"/>
        <v>0</v>
      </c>
      <c r="U13" s="45">
        <f t="shared" si="3"/>
        <v>0</v>
      </c>
      <c r="V13" s="45">
        <f t="shared" si="3"/>
        <v>-1444</v>
      </c>
      <c r="W13" s="45">
        <f t="shared" si="3"/>
        <v>-1245</v>
      </c>
      <c r="X13" s="45">
        <f t="shared" si="3"/>
        <v>1800</v>
      </c>
      <c r="Y13" s="333">
        <f t="shared" si="0"/>
        <v>-403.28999999999996</v>
      </c>
      <c r="Z13" s="18"/>
      <c r="AA13" s="63"/>
      <c r="AB13" s="63"/>
      <c r="AC13" s="63"/>
      <c r="AD13" s="63"/>
      <c r="AE13" s="63"/>
      <c r="AF13" s="63"/>
      <c r="AG13" s="63"/>
      <c r="AH13" s="63"/>
      <c r="AJ13" s="63"/>
      <c r="AK13" s="63"/>
      <c r="AL13" s="63"/>
      <c r="AM13" s="63"/>
      <c r="AN13" s="63"/>
      <c r="AO13" s="63"/>
      <c r="AP13" s="63"/>
      <c r="AQ13" s="63"/>
      <c r="AR13" s="63"/>
      <c r="AS13" s="63"/>
      <c r="AT13" s="63"/>
      <c r="AU13" s="63"/>
      <c r="AV13" s="63"/>
      <c r="AX13" s="63"/>
      <c r="AY13" s="63"/>
      <c r="AZ13" s="63"/>
      <c r="BA13" s="63"/>
      <c r="BB13" s="63"/>
      <c r="BC13" s="63"/>
      <c r="BD13" s="63"/>
      <c r="BE13" s="63"/>
      <c r="BF13" s="63"/>
      <c r="BG13" s="63"/>
      <c r="BH13" s="63"/>
      <c r="BI13" s="63"/>
      <c r="BJ13" s="63"/>
      <c r="BL13" s="15"/>
      <c r="BM13" s="15"/>
      <c r="BN13" s="15"/>
      <c r="BO13" s="15"/>
      <c r="BP13" s="15"/>
      <c r="BQ13" s="15"/>
      <c r="BR13" s="15"/>
      <c r="BS13" s="15"/>
      <c r="BT13" s="15"/>
      <c r="BU13" s="15"/>
      <c r="BV13" s="15"/>
      <c r="BW13" s="15"/>
      <c r="BX13" s="15"/>
      <c r="BZ13" s="15"/>
      <c r="CA13" s="15"/>
      <c r="CB13" s="15"/>
      <c r="CC13" s="15"/>
      <c r="CD13" s="15"/>
      <c r="CE13" s="15"/>
      <c r="CF13" s="15"/>
      <c r="CG13" s="15"/>
      <c r="CH13" s="15"/>
      <c r="CI13" s="15"/>
      <c r="CJ13" s="15"/>
      <c r="CK13" s="15"/>
      <c r="CL13" s="15"/>
      <c r="CN13" s="15"/>
      <c r="CO13" s="15"/>
      <c r="CP13" s="15"/>
      <c r="CQ13" s="15"/>
      <c r="CR13" s="15"/>
      <c r="CS13" s="15"/>
      <c r="CT13" s="15"/>
      <c r="CU13" s="15"/>
      <c r="CV13" s="15"/>
      <c r="CW13" s="15"/>
      <c r="CX13" s="15"/>
      <c r="CY13" s="15"/>
      <c r="CZ13" s="15"/>
      <c r="DB13" s="15"/>
      <c r="DC13" s="15"/>
      <c r="DD13" s="15"/>
      <c r="DE13" s="15"/>
      <c r="DF13" s="15"/>
      <c r="DG13" s="15"/>
      <c r="DH13" s="15"/>
      <c r="DI13" s="15"/>
      <c r="DJ13" s="15"/>
      <c r="DK13" s="15"/>
      <c r="DL13" s="15"/>
      <c r="DM13" s="15"/>
      <c r="DN13" s="15"/>
      <c r="DP13" s="15"/>
      <c r="DQ13" s="15"/>
      <c r="DR13" s="15"/>
      <c r="DS13" s="15"/>
      <c r="DT13" s="15"/>
      <c r="DU13" s="15"/>
      <c r="DV13" s="15"/>
      <c r="DW13" s="15"/>
      <c r="DX13" s="15"/>
      <c r="DY13" s="15"/>
      <c r="DZ13" s="15"/>
      <c r="EA13" s="15"/>
      <c r="EB13" s="15"/>
      <c r="ED13" s="15"/>
      <c r="EE13" s="15"/>
      <c r="EF13" s="15"/>
      <c r="EG13" s="15"/>
      <c r="EH13" s="15"/>
      <c r="EI13" s="15"/>
      <c r="EJ13" s="15"/>
      <c r="EK13" s="15"/>
      <c r="EL13" s="15"/>
      <c r="EM13" s="15"/>
      <c r="EN13" s="15"/>
      <c r="EO13" s="15"/>
      <c r="EP13" s="15"/>
      <c r="ER13" s="15"/>
      <c r="ES13" s="15"/>
      <c r="ET13" s="15"/>
      <c r="EU13" s="15"/>
      <c r="EV13" s="15"/>
      <c r="EW13" s="15"/>
      <c r="EX13" s="15"/>
      <c r="EY13" s="15"/>
      <c r="EZ13" s="15"/>
      <c r="FA13" s="15"/>
      <c r="FB13" s="15"/>
      <c r="FC13" s="15"/>
      <c r="FD13" s="15"/>
      <c r="FF13" s="15"/>
      <c r="FG13" s="15"/>
      <c r="FH13" s="15"/>
      <c r="FI13" s="15"/>
      <c r="FJ13" s="15"/>
      <c r="FK13" s="15"/>
      <c r="FL13" s="15"/>
      <c r="FM13" s="15"/>
      <c r="FN13" s="15"/>
      <c r="FO13" s="15"/>
      <c r="FP13" s="15"/>
      <c r="FQ13" s="15"/>
      <c r="FR13" s="15"/>
    </row>
    <row r="14" spans="2:174" ht="15.75" x14ac:dyDescent="0.25">
      <c r="J14" s="171"/>
      <c r="M14" s="45"/>
      <c r="N14" s="45"/>
      <c r="O14" s="45"/>
      <c r="P14" s="45"/>
      <c r="Q14" s="45"/>
      <c r="R14" s="45"/>
      <c r="S14" s="45"/>
      <c r="T14" s="45"/>
      <c r="U14" s="45"/>
      <c r="V14" s="45"/>
      <c r="W14" s="45"/>
      <c r="X14" s="45"/>
      <c r="Y14" s="333">
        <f t="shared" si="0"/>
        <v>0</v>
      </c>
      <c r="Z14" s="18"/>
      <c r="AA14" s="63"/>
      <c r="AB14" s="63"/>
      <c r="AC14" s="63"/>
      <c r="AD14" s="63"/>
      <c r="AE14" s="63"/>
      <c r="AF14" s="63"/>
      <c r="AG14" s="63"/>
      <c r="AH14" s="63"/>
      <c r="AJ14" s="63"/>
      <c r="AK14" s="63"/>
      <c r="AL14" s="63"/>
      <c r="AM14" s="63"/>
      <c r="AN14" s="63"/>
      <c r="AO14" s="63"/>
      <c r="AP14" s="63"/>
      <c r="AQ14" s="63"/>
      <c r="AR14" s="63"/>
      <c r="AS14" s="63"/>
      <c r="AT14" s="63"/>
      <c r="AU14" s="63"/>
      <c r="AV14" s="63"/>
      <c r="AX14" s="63"/>
      <c r="AY14" s="63"/>
      <c r="AZ14" s="63"/>
      <c r="BA14" s="63"/>
      <c r="BB14" s="63"/>
      <c r="BC14" s="63"/>
      <c r="BD14" s="63"/>
      <c r="BE14" s="63"/>
      <c r="BF14" s="63"/>
      <c r="BG14" s="63"/>
      <c r="BH14" s="63"/>
      <c r="BI14" s="63"/>
      <c r="BJ14" s="63"/>
      <c r="BL14" s="15"/>
      <c r="BM14" s="15"/>
      <c r="BN14" s="15"/>
      <c r="BO14" s="15"/>
      <c r="BP14" s="15"/>
      <c r="BQ14" s="15"/>
      <c r="BR14" s="15"/>
      <c r="BS14" s="15"/>
      <c r="BT14" s="15"/>
      <c r="BU14" s="15"/>
      <c r="BV14" s="15"/>
      <c r="BW14" s="15"/>
      <c r="BX14" s="15"/>
      <c r="BZ14" s="15"/>
      <c r="CA14" s="15"/>
      <c r="CB14" s="15"/>
      <c r="CC14" s="15"/>
      <c r="CD14" s="15"/>
      <c r="CE14" s="15"/>
      <c r="CF14" s="15"/>
      <c r="CG14" s="15"/>
      <c r="CH14" s="15"/>
      <c r="CI14" s="15"/>
      <c r="CJ14" s="15"/>
      <c r="CK14" s="15"/>
      <c r="CL14" s="15"/>
      <c r="CN14" s="15"/>
      <c r="CO14" s="15"/>
      <c r="CP14" s="15"/>
      <c r="CQ14" s="15"/>
      <c r="CR14" s="15"/>
      <c r="CS14" s="15"/>
      <c r="CT14" s="15"/>
      <c r="CU14" s="15"/>
      <c r="CV14" s="15"/>
      <c r="CW14" s="15"/>
      <c r="CX14" s="15"/>
      <c r="CY14" s="15"/>
      <c r="CZ14" s="15"/>
      <c r="DB14" s="15"/>
      <c r="DC14" s="15"/>
      <c r="DD14" s="15"/>
      <c r="DE14" s="15"/>
      <c r="DF14" s="15"/>
      <c r="DG14" s="15"/>
      <c r="DH14" s="15"/>
      <c r="DI14" s="15"/>
      <c r="DJ14" s="15"/>
      <c r="DK14" s="15"/>
      <c r="DL14" s="15"/>
      <c r="DM14" s="15"/>
      <c r="DN14" s="15"/>
      <c r="DP14" s="15"/>
      <c r="DQ14" s="15"/>
      <c r="DR14" s="15"/>
      <c r="DS14" s="15"/>
      <c r="DT14" s="15"/>
      <c r="DU14" s="15"/>
      <c r="DV14" s="15"/>
      <c r="DW14" s="15"/>
      <c r="DX14" s="15"/>
      <c r="DY14" s="15"/>
      <c r="DZ14" s="15"/>
      <c r="EA14" s="15"/>
      <c r="EB14" s="15"/>
      <c r="ED14" s="15"/>
      <c r="EE14" s="15"/>
      <c r="EF14" s="15"/>
      <c r="EG14" s="15"/>
      <c r="EH14" s="15"/>
      <c r="EI14" s="15"/>
      <c r="EJ14" s="15"/>
      <c r="EK14" s="15"/>
      <c r="EL14" s="15"/>
      <c r="EM14" s="15"/>
      <c r="EN14" s="15"/>
      <c r="EO14" s="15"/>
      <c r="EP14" s="15"/>
      <c r="ER14" s="15"/>
      <c r="ES14" s="15"/>
      <c r="ET14" s="15"/>
      <c r="EU14" s="15"/>
      <c r="EV14" s="15"/>
      <c r="EW14" s="15"/>
      <c r="EX14" s="15"/>
      <c r="EY14" s="15"/>
      <c r="EZ14" s="15"/>
      <c r="FA14" s="15"/>
      <c r="FB14" s="15"/>
      <c r="FC14" s="15"/>
      <c r="FD14" s="15"/>
      <c r="FF14" s="15"/>
      <c r="FG14" s="15"/>
      <c r="FH14" s="15"/>
      <c r="FI14" s="15"/>
      <c r="FJ14" s="15"/>
      <c r="FK14" s="15"/>
      <c r="FL14" s="15"/>
      <c r="FM14" s="15"/>
      <c r="FN14" s="15"/>
      <c r="FO14" s="15"/>
      <c r="FP14" s="15"/>
      <c r="FQ14" s="15"/>
      <c r="FR14" s="15"/>
    </row>
    <row r="15" spans="2:174" ht="15.75" x14ac:dyDescent="0.25">
      <c r="J15" s="171" t="s">
        <v>439</v>
      </c>
      <c r="K15" s="65"/>
      <c r="M15" s="65" t="e">
        <f>$M$17</f>
        <v>#REF!</v>
      </c>
      <c r="N15" s="65" t="e" cm="1">
        <f t="array" ref="N15">IF(N$5="Actual",SUMPRODUCT(($M$17:N$17)*($M$5:N$5="Actual")),SUM(M$15,N$11))</f>
        <v>#REF!</v>
      </c>
      <c r="O15" s="65" t="e" cm="1">
        <f t="array" ref="O15">IF(O$5="Actual",SUMPRODUCT(($M$17:O$17)*($M$5:O$5="Actual")),SUM(N$15,O$11))</f>
        <v>#REF!</v>
      </c>
      <c r="P15" s="65" t="e" cm="1">
        <f t="array" ref="P15">IF(P$5="Actual",SUMPRODUCT(($M$17:P$17)*($M$5:P$5="Actual")),SUM(O$15,P$11))</f>
        <v>#REF!</v>
      </c>
      <c r="Q15" s="65" t="e" cm="1">
        <f t="array" ref="Q15">IF(Q$5="Actual",SUMPRODUCT(($M$17:Q$17)*($M$5:Q$5="Actual")),SUM(P$15,Q$11))</f>
        <v>#REF!</v>
      </c>
      <c r="R15" s="65" t="e" cm="1">
        <f t="array" ref="R15">IF(R$5="Actual",SUMPRODUCT(($M$17:R$17)*($M$5:R$5="Actual")),SUM(Q$15,R$11))</f>
        <v>#REF!</v>
      </c>
      <c r="S15" s="65" t="e" cm="1">
        <f t="array" ref="S15">IF(S$5="Actual",SUMPRODUCT(($M$17:S$17)*($M$5:S$5="Actual")),SUM(R$15,S$11))</f>
        <v>#REF!</v>
      </c>
      <c r="T15" s="65" t="e" cm="1">
        <f t="array" ref="T15">IF(T$5="Actual",SUMPRODUCT(($M$17:T$17)*($M$5:T$5="Actual")),SUM(S$15,T$11))</f>
        <v>#REF!</v>
      </c>
      <c r="U15" s="65" t="e" cm="1">
        <f t="array" ref="U15">IF(U$5="Actual",SUMPRODUCT(($M$17:U$17)*($M$5:U$5="Actual")),SUM(T$15,U$11))</f>
        <v>#REF!</v>
      </c>
      <c r="V15" s="65" t="e" cm="1">
        <f t="array" ref="V15">IF(V$5="Actual",SUMPRODUCT(($M$17:V$17)*($M$5:V$5="Actual")),SUM(U$15,V$11))</f>
        <v>#REF!</v>
      </c>
      <c r="W15" s="65" t="e" cm="1">
        <f t="array" ref="W15">IF(W$5="Actual",SUMPRODUCT(($M$17:W$17)*($M$5:W$5="Actual")),SUM(V$15,W$11))</f>
        <v>#REF!</v>
      </c>
      <c r="X15" s="65" t="e" cm="1">
        <f t="array" ref="X15">IF(X$5="Actual",SUMPRODUCT(($M$17:X$17)*($M$5:X$5="Actual")),SUM(W$15,X$11))</f>
        <v>#REF!</v>
      </c>
      <c r="Y15" s="333" t="e">
        <f t="shared" si="0"/>
        <v>#REF!</v>
      </c>
      <c r="Z15" s="18"/>
      <c r="AA15" s="63"/>
      <c r="AB15" s="63"/>
      <c r="AC15" s="63"/>
      <c r="AD15" s="63"/>
      <c r="AE15" s="63"/>
      <c r="AF15" s="63"/>
      <c r="AG15" s="63"/>
      <c r="AH15" s="63"/>
      <c r="AJ15" s="63"/>
      <c r="AK15" s="63"/>
      <c r="AL15" s="63"/>
      <c r="AM15" s="63"/>
      <c r="AN15" s="63"/>
      <c r="AO15" s="63"/>
      <c r="AP15" s="63"/>
      <c r="AQ15" s="63"/>
      <c r="AR15" s="63"/>
      <c r="AS15" s="63"/>
      <c r="AT15" s="63"/>
      <c r="AU15" s="63"/>
      <c r="AV15" s="63"/>
      <c r="AX15" s="63"/>
      <c r="AY15" s="63"/>
      <c r="AZ15" s="63"/>
      <c r="BA15" s="63"/>
      <c r="BB15" s="63"/>
      <c r="BC15" s="63"/>
      <c r="BD15" s="63"/>
      <c r="BE15" s="63"/>
      <c r="BF15" s="63"/>
      <c r="BG15" s="63"/>
      <c r="BH15" s="63"/>
      <c r="BI15" s="63"/>
      <c r="BJ15" s="63"/>
      <c r="BL15" s="15"/>
      <c r="BM15" s="15"/>
      <c r="BN15" s="15"/>
      <c r="BO15" s="15"/>
      <c r="BP15" s="15"/>
      <c r="BQ15" s="15"/>
      <c r="BR15" s="15"/>
      <c r="BS15" s="15"/>
      <c r="BT15" s="15"/>
      <c r="BU15" s="15"/>
      <c r="BV15" s="15"/>
      <c r="BW15" s="15"/>
      <c r="BX15" s="15"/>
      <c r="BZ15" s="15"/>
      <c r="CA15" s="15"/>
      <c r="CB15" s="15"/>
      <c r="CC15" s="15"/>
      <c r="CD15" s="15"/>
      <c r="CE15" s="15"/>
      <c r="CF15" s="15"/>
      <c r="CG15" s="15"/>
      <c r="CH15" s="15"/>
      <c r="CI15" s="15"/>
      <c r="CJ15" s="15"/>
      <c r="CK15" s="15"/>
      <c r="CL15" s="15"/>
      <c r="CN15" s="15"/>
      <c r="CO15" s="15"/>
      <c r="CP15" s="15"/>
      <c r="CQ15" s="15"/>
      <c r="CR15" s="15"/>
      <c r="CS15" s="15"/>
      <c r="CT15" s="15"/>
      <c r="CU15" s="15"/>
      <c r="CV15" s="15"/>
      <c r="CW15" s="15"/>
      <c r="CX15" s="15"/>
      <c r="CY15" s="15"/>
      <c r="CZ15" s="15"/>
      <c r="DB15" s="15"/>
      <c r="DC15" s="15"/>
      <c r="DD15" s="15"/>
      <c r="DE15" s="15"/>
      <c r="DF15" s="15"/>
      <c r="DG15" s="15"/>
      <c r="DH15" s="15"/>
      <c r="DI15" s="15"/>
      <c r="DJ15" s="15"/>
      <c r="DK15" s="15"/>
      <c r="DL15" s="15"/>
      <c r="DM15" s="15"/>
      <c r="DN15" s="15"/>
      <c r="DP15" s="15"/>
      <c r="DQ15" s="15"/>
      <c r="DR15" s="15"/>
      <c r="DS15" s="15"/>
      <c r="DT15" s="15"/>
      <c r="DU15" s="15"/>
      <c r="DV15" s="15"/>
      <c r="DW15" s="15"/>
      <c r="DX15" s="15"/>
      <c r="DY15" s="15"/>
      <c r="DZ15" s="15"/>
      <c r="EA15" s="15"/>
      <c r="EB15" s="15"/>
      <c r="ED15" s="15"/>
      <c r="EE15" s="15"/>
      <c r="EF15" s="15"/>
      <c r="EG15" s="15"/>
      <c r="EH15" s="15"/>
      <c r="EI15" s="15"/>
      <c r="EJ15" s="15"/>
      <c r="EK15" s="15"/>
      <c r="EL15" s="15"/>
      <c r="EM15" s="15"/>
      <c r="EN15" s="15"/>
      <c r="EO15" s="15"/>
      <c r="EP15" s="15"/>
      <c r="ER15" s="15"/>
      <c r="ES15" s="15"/>
      <c r="ET15" s="15"/>
      <c r="EU15" s="15"/>
      <c r="EV15" s="15"/>
      <c r="EW15" s="15"/>
      <c r="EX15" s="15"/>
      <c r="EY15" s="15"/>
      <c r="EZ15" s="15"/>
      <c r="FA15" s="15"/>
      <c r="FB15" s="15"/>
      <c r="FC15" s="15"/>
      <c r="FD15" s="15"/>
      <c r="FF15" s="15"/>
      <c r="FG15" s="15"/>
      <c r="FH15" s="15"/>
      <c r="FI15" s="15"/>
      <c r="FJ15" s="15"/>
      <c r="FK15" s="15"/>
      <c r="FL15" s="15"/>
      <c r="FM15" s="15"/>
      <c r="FN15" s="15"/>
      <c r="FO15" s="15"/>
      <c r="FP15" s="15"/>
      <c r="FQ15" s="15"/>
      <c r="FR15" s="15"/>
    </row>
    <row r="16" spans="2:174" ht="15.75" x14ac:dyDescent="0.25">
      <c r="J16" s="171"/>
      <c r="M16"/>
      <c r="Y16" s="333">
        <f t="shared" si="0"/>
        <v>0</v>
      </c>
      <c r="Z16" s="18"/>
      <c r="AA16" s="62"/>
      <c r="AB16" s="62"/>
      <c r="AC16" s="62"/>
      <c r="AD16" s="62"/>
      <c r="AE16" s="62"/>
      <c r="AF16" s="62"/>
      <c r="AG16" s="62"/>
      <c r="AH16" s="63"/>
      <c r="AJ16" s="62"/>
      <c r="AK16" s="62"/>
      <c r="AL16" s="62"/>
      <c r="AM16" s="62"/>
      <c r="AN16" s="62"/>
      <c r="AO16" s="62"/>
      <c r="AP16" s="62"/>
      <c r="AQ16" s="62"/>
      <c r="AR16" s="62"/>
      <c r="AS16" s="62"/>
      <c r="AT16" s="62"/>
      <c r="AU16" s="62"/>
      <c r="AV16" s="63"/>
      <c r="AX16" s="62"/>
      <c r="AY16" s="62"/>
      <c r="AZ16" s="62"/>
      <c r="BA16" s="62"/>
      <c r="BB16" s="62"/>
      <c r="BC16" s="62"/>
      <c r="BD16" s="62"/>
      <c r="BE16" s="62"/>
      <c r="BF16" s="62"/>
      <c r="BG16" s="62"/>
      <c r="BH16" s="62"/>
      <c r="BI16" s="62"/>
      <c r="BJ16" s="63"/>
      <c r="BL16" s="62"/>
      <c r="BM16" s="62"/>
      <c r="BN16" s="62"/>
      <c r="BO16" s="62"/>
      <c r="BP16" s="62"/>
      <c r="BQ16" s="62"/>
      <c r="BR16" s="62"/>
      <c r="BS16" s="62"/>
      <c r="BT16" s="62"/>
      <c r="BU16" s="62"/>
      <c r="BV16" s="62"/>
      <c r="BW16" s="62"/>
      <c r="BX16" s="63"/>
      <c r="BZ16" s="62"/>
      <c r="CA16" s="62"/>
      <c r="CB16" s="62"/>
      <c r="CC16" s="62"/>
      <c r="CD16" s="62"/>
      <c r="CE16" s="62"/>
      <c r="CF16" s="62"/>
      <c r="CG16" s="62"/>
      <c r="CH16" s="62"/>
      <c r="CI16" s="62"/>
      <c r="CJ16" s="62"/>
      <c r="CK16" s="62"/>
      <c r="CL16" s="63"/>
      <c r="CN16" s="62"/>
      <c r="CO16" s="62"/>
      <c r="CP16" s="62"/>
      <c r="CQ16" s="62"/>
      <c r="CR16" s="62"/>
      <c r="CS16" s="62"/>
      <c r="CT16" s="62"/>
      <c r="CU16" s="62"/>
      <c r="CV16" s="62"/>
      <c r="CW16" s="62"/>
      <c r="CX16" s="62"/>
      <c r="CY16" s="62"/>
      <c r="CZ16" s="63"/>
      <c r="DB16" s="62"/>
      <c r="DC16" s="62"/>
      <c r="DD16" s="62"/>
      <c r="DE16" s="62"/>
      <c r="DF16" s="62"/>
      <c r="DG16" s="62"/>
      <c r="DH16" s="62"/>
      <c r="DI16" s="62"/>
      <c r="DJ16" s="62"/>
      <c r="DK16" s="62"/>
      <c r="DL16" s="62"/>
      <c r="DM16" s="62"/>
      <c r="DN16" s="63"/>
      <c r="DP16" s="62"/>
      <c r="DQ16" s="62"/>
      <c r="DR16" s="62"/>
      <c r="DS16" s="62"/>
      <c r="DT16" s="62"/>
      <c r="DU16" s="62"/>
      <c r="DV16" s="62"/>
      <c r="DW16" s="62"/>
      <c r="DX16" s="62"/>
      <c r="DY16" s="62"/>
      <c r="DZ16" s="62"/>
      <c r="EA16" s="62"/>
      <c r="EB16" s="63"/>
      <c r="ED16" s="62"/>
      <c r="EE16" s="62"/>
      <c r="EF16" s="62"/>
      <c r="EG16" s="62"/>
      <c r="EH16" s="62"/>
      <c r="EI16" s="62"/>
      <c r="EJ16" s="62"/>
      <c r="EK16" s="62"/>
      <c r="EL16" s="62"/>
      <c r="EM16" s="62"/>
      <c r="EN16" s="62"/>
      <c r="EO16" s="62"/>
      <c r="EP16" s="63"/>
      <c r="ER16" s="62"/>
      <c r="ES16" s="62"/>
      <c r="ET16" s="62"/>
      <c r="EU16" s="62"/>
      <c r="EV16" s="62"/>
      <c r="EW16" s="62"/>
      <c r="EX16" s="62"/>
      <c r="EY16" s="62"/>
      <c r="EZ16" s="62"/>
      <c r="FA16" s="62"/>
      <c r="FB16" s="62"/>
      <c r="FC16" s="62"/>
      <c r="FD16" s="63"/>
      <c r="FF16" s="62"/>
      <c r="FG16" s="62"/>
      <c r="FH16" s="62"/>
      <c r="FI16" s="62"/>
      <c r="FJ16" s="62"/>
      <c r="FK16" s="62"/>
      <c r="FL16" s="62"/>
      <c r="FM16" s="62"/>
      <c r="FN16" s="62"/>
      <c r="FO16" s="62"/>
      <c r="FP16" s="62"/>
      <c r="FQ16" s="62"/>
      <c r="FR16" s="63"/>
    </row>
    <row r="17" spans="3:83" ht="16.5" thickBot="1" x14ac:dyDescent="0.3">
      <c r="J17" s="195" t="s">
        <v>422</v>
      </c>
      <c r="K17" s="23"/>
      <c r="M17" s="196" t="e" cm="1">
        <f t="array" ref="M17">IF(M$5="Actual",SUMPRODUCT((INDEX(#REF!,0,MATCH("Amount",#REF!,0)))*
((INDEX(#REF!,0,MATCH("Date",#REF!,0)))=Asset_Plan[[#Headers],[Jan]])*
((INDEX(#REF!,0,MATCH("Source",#REF!,0)))="Actual")*
((INDEX(#REF!,0,MATCH("Account_Type",#REF!,0)))="Asset")*
((ISNUMBER(MATCH(INDEX(#REF!,0,MATCH("Account",#REF!,0)),ListCashEquivalent,0))))),0)</f>
        <v>#REF!</v>
      </c>
      <c r="N17" s="196" cm="1">
        <f t="array" ref="N17">IF(N$5="Actual",SUMPRODUCT((INDEX(#REF!,0,MATCH("Amount",#REF!,0)))*
((INDEX(#REF!,0,MATCH("Date",#REF!,0)))=Asset_Plan[[#Headers],[Feb]])*
((INDEX(#REF!,0,MATCH("Source",#REF!,0)))="Actual")*
((INDEX(#REF!,0,MATCH("Account_Type",#REF!,0)))="Asset")*
((ISNUMBER(MATCH(INDEX(#REF!,0,MATCH("Account",#REF!,0)),ListCashEquivalent,0))))),0)</f>
        <v>0</v>
      </c>
      <c r="O17" s="196" cm="1">
        <f t="array" ref="O17">IF(O$5="Actual",SUMPRODUCT((INDEX(#REF!,0,MATCH("Amount",#REF!,0)))*
((INDEX(#REF!,0,MATCH("Date",#REF!,0)))=Asset_Plan[[#Headers],[Mar]])*
((INDEX(#REF!,0,MATCH("Source",#REF!,0)))="Actual")*
((INDEX(#REF!,0,MATCH("Account_Type",#REF!,0)))="Asset")*
((ISNUMBER(MATCH(INDEX(#REF!,0,MATCH("Account",#REF!,0)),ListCashEquivalent,0))))),0)</f>
        <v>0</v>
      </c>
      <c r="P17" s="196" cm="1">
        <f t="array" ref="P17">IF(P$5="Actual",SUMPRODUCT((INDEX(#REF!,0,MATCH("Amount",#REF!,0)))*
((INDEX(#REF!,0,MATCH("Date",#REF!,0)))=Asset_Plan[[#Headers],[Apr]])*
((INDEX(#REF!,0,MATCH("Source",#REF!,0)))="Actual")*
((INDEX(#REF!,0,MATCH("Account_Type",#REF!,0)))="Asset")*
((ISNUMBER(MATCH(INDEX(#REF!,0,MATCH("Account",#REF!,0)),ListCashEquivalent,0))))),0)</f>
        <v>0</v>
      </c>
      <c r="Q17" s="196" cm="1">
        <f t="array" ref="Q17">IF(Q$5="Actual",SUMPRODUCT((INDEX(#REF!,0,MATCH("Amount",#REF!,0)))*
((INDEX(#REF!,0,MATCH("Date",#REF!,0)))=Asset_Plan[[#Headers],[May]])*
((INDEX(#REF!,0,MATCH("Source",#REF!,0)))="Actual")*
((INDEX(#REF!,0,MATCH("Account_Type",#REF!,0)))="Asset")*
((ISNUMBER(MATCH(INDEX(#REF!,0,MATCH("Account",#REF!,0)),ListCashEquivalent,0))))),0)</f>
        <v>0</v>
      </c>
      <c r="R17" s="196" cm="1">
        <f t="array" ref="R17">IF(R$5="Actual",SUMPRODUCT((INDEX(#REF!,0,MATCH("Amount",#REF!,0)))*
((INDEX(#REF!,0,MATCH("Date",#REF!,0)))=Asset_Plan[[#Headers],[Jun]])*
((INDEX(#REF!,0,MATCH("Source",#REF!,0)))="Actual")*
((INDEX(#REF!,0,MATCH("Account_Type",#REF!,0)))="Asset")*
((ISNUMBER(MATCH(INDEX(#REF!,0,MATCH("Account",#REF!,0)),ListCashEquivalent,0))))),0)</f>
        <v>0</v>
      </c>
      <c r="S17" s="196" cm="1">
        <f t="array" ref="S17">IF(S$5="Actual",SUMPRODUCT((INDEX(#REF!,0,MATCH("Amount",#REF!,0)))*
((INDEX(#REF!,0,MATCH("Date",#REF!,0)))=Asset_Plan[[#Headers],[Jul]])*
((INDEX(#REF!,0,MATCH("Source",#REF!,0)))="Actual")*
((INDEX(#REF!,0,MATCH("Account_Type",#REF!,0)))="Asset")*
((ISNUMBER(MATCH(INDEX(#REF!,0,MATCH("Account",#REF!,0)),ListCashEquivalent,0))))),0)</f>
        <v>0</v>
      </c>
      <c r="T17" s="196" cm="1">
        <f t="array" ref="T17">IF(T$5="Actual",SUMPRODUCT((INDEX(#REF!,0,MATCH("Amount",#REF!,0)))*
((INDEX(#REF!,0,MATCH("Date",#REF!,0)))=Asset_Plan[[#Headers],[Aug]])*
((INDEX(#REF!,0,MATCH("Source",#REF!,0)))="Actual")*
((INDEX(#REF!,0,MATCH("Account_Type",#REF!,0)))="Asset")*
((ISNUMBER(MATCH(INDEX(#REF!,0,MATCH("Account",#REF!,0)),ListCashEquivalent,0))))),0)</f>
        <v>0</v>
      </c>
      <c r="U17" s="196" cm="1">
        <f t="array" ref="U17">IF(U$5="Actual",SUMPRODUCT((INDEX(#REF!,0,MATCH("Amount",#REF!,0)))*
((INDEX(#REF!,0,MATCH("Date",#REF!,0)))=Asset_Plan[[#Headers],[Sep]])*
((INDEX(#REF!,0,MATCH("Source",#REF!,0)))="Actual")*
((INDEX(#REF!,0,MATCH("Account_Type",#REF!,0)))="Asset")*
((ISNUMBER(MATCH(INDEX(#REF!,0,MATCH("Account",#REF!,0)),ListCashEquivalent,0))))),0)</f>
        <v>0</v>
      </c>
      <c r="V17" s="196" cm="1">
        <f t="array" ref="V17">IF(V$5="Actual",SUMPRODUCT((INDEX(#REF!,0,MATCH("Amount",#REF!,0)))*
((INDEX(#REF!,0,MATCH("Date",#REF!,0)))=Asset_Plan[[#Headers],[Oct]])*
((INDEX(#REF!,0,MATCH("Source",#REF!,0)))="Actual")*
((INDEX(#REF!,0,MATCH("Account_Type",#REF!,0)))="Asset")*
((ISNUMBER(MATCH(INDEX(#REF!,0,MATCH("Account",#REF!,0)),ListCashEquivalent,0))))),0)</f>
        <v>0</v>
      </c>
      <c r="W17" s="196" cm="1">
        <f t="array" ref="W17">IF(W$5="Actual",SUMPRODUCT((INDEX(#REF!,0,MATCH("Amount",#REF!,0)))*
((INDEX(#REF!,0,MATCH("Date",#REF!,0)))=Asset_Plan[[#Headers],[Nov]])*
((INDEX(#REF!,0,MATCH("Source",#REF!,0)))="Actual")*
((INDEX(#REF!,0,MATCH("Account_Type",#REF!,0)))="Asset")*
((ISNUMBER(MATCH(INDEX(#REF!,0,MATCH("Account",#REF!,0)),ListCashEquivalent,0))))),0)</f>
        <v>0</v>
      </c>
      <c r="X17" s="196" cm="1">
        <f t="array" ref="X17">IF(X$5="Actual",SUMPRODUCT((INDEX(#REF!,0,MATCH("Amount",#REF!,0)))*
((INDEX(#REF!,0,MATCH("Date",#REF!,0)))=Asset_Plan[[#Headers],[Dec]])*
((INDEX(#REF!,0,MATCH("Source",#REF!,0)))="Actual")*
((INDEX(#REF!,0,MATCH("Account_Type",#REF!,0)))="Asset")*
((ISNUMBER(MATCH(INDEX(#REF!,0,MATCH("Account",#REF!,0)),ListCashEquivalent,0))))),0)</f>
        <v>0</v>
      </c>
      <c r="Y17" s="334" t="e">
        <f t="shared" si="0"/>
        <v>#REF!</v>
      </c>
      <c r="Z17" s="1"/>
      <c r="AA17" s="1"/>
      <c r="AB17" s="1"/>
      <c r="AC17" s="1"/>
      <c r="AD17" s="1"/>
      <c r="AE17" s="1"/>
      <c r="AF17" s="1"/>
      <c r="AG17" s="1"/>
      <c r="AH17" s="1"/>
      <c r="AI17" s="1"/>
      <c r="AJ17" s="56"/>
      <c r="AM17" s="1"/>
      <c r="AN17" s="1"/>
      <c r="AO17" s="1"/>
      <c r="AP17" s="1"/>
      <c r="AQ17" s="1"/>
      <c r="AR17" s="1"/>
      <c r="AS17" s="1"/>
      <c r="AT17" s="1"/>
      <c r="AU17" s="1"/>
      <c r="AV17" s="1"/>
      <c r="AW17" s="1"/>
      <c r="AX17" s="56"/>
      <c r="AZ17" s="1"/>
      <c r="BA17" s="1"/>
      <c r="BB17" s="1"/>
      <c r="BC17" s="1"/>
      <c r="BD17" s="1"/>
      <c r="BE17" s="1"/>
      <c r="BF17" s="1"/>
      <c r="BG17" s="1"/>
      <c r="BH17" s="1"/>
      <c r="BI17" s="1"/>
      <c r="BJ17" s="1"/>
      <c r="BK17" s="1"/>
      <c r="BL17" s="56"/>
      <c r="BN17" s="1"/>
      <c r="BO17" s="1"/>
      <c r="BP17" s="1"/>
      <c r="BQ17" s="1"/>
      <c r="BR17" s="1"/>
      <c r="BS17" s="1"/>
      <c r="BT17" s="1"/>
      <c r="BU17" s="1"/>
      <c r="BV17" s="1"/>
      <c r="BW17" s="1"/>
      <c r="BX17" s="1"/>
      <c r="BY17" s="1"/>
      <c r="BZ17" s="56"/>
    </row>
    <row r="18" spans="3:83" ht="16.5" thickTop="1" x14ac:dyDescent="0.25">
      <c r="M18"/>
      <c r="Y18" s="330"/>
      <c r="Z18" s="1"/>
      <c r="AA18" s="1"/>
      <c r="AB18" s="1"/>
      <c r="AC18" s="1"/>
      <c r="AD18" s="1"/>
      <c r="AE18" s="1"/>
      <c r="AF18" s="1"/>
      <c r="AG18" s="1"/>
      <c r="AH18" s="1"/>
      <c r="AI18" s="1"/>
      <c r="AJ18" s="56"/>
      <c r="AM18" s="1"/>
      <c r="AN18" s="1"/>
      <c r="AO18" s="1"/>
      <c r="AP18" s="1"/>
      <c r="AQ18" s="1"/>
      <c r="AR18" s="1"/>
      <c r="AS18" s="1"/>
      <c r="AT18" s="1"/>
      <c r="AU18" s="1"/>
      <c r="AV18" s="1"/>
      <c r="AW18" s="1"/>
      <c r="AX18" s="56"/>
      <c r="AZ18" s="1"/>
      <c r="BA18" s="1"/>
      <c r="BB18" s="1"/>
      <c r="BC18" s="1"/>
      <c r="BD18" s="1"/>
      <c r="BE18" s="1"/>
      <c r="BF18" s="1"/>
      <c r="BG18" s="1"/>
      <c r="BH18" s="1"/>
      <c r="BI18" s="1"/>
      <c r="BJ18" s="1"/>
      <c r="BK18" s="1"/>
      <c r="BL18" s="56"/>
      <c r="BN18" s="1"/>
      <c r="BO18" s="1"/>
      <c r="BP18" s="1"/>
      <c r="BQ18" s="1"/>
      <c r="BR18" s="1"/>
      <c r="BS18" s="1"/>
      <c r="BT18" s="1"/>
      <c r="BU18" s="1"/>
      <c r="BV18" s="1"/>
      <c r="BW18" s="1"/>
      <c r="BX18" s="1"/>
      <c r="BY18" s="1"/>
      <c r="BZ18" s="56"/>
    </row>
    <row r="19" spans="3:83" ht="15.75" x14ac:dyDescent="0.25">
      <c r="C19" s="18" t="s">
        <v>255</v>
      </c>
      <c r="D19" s="18" t="s">
        <v>165</v>
      </c>
      <c r="E19" s="18" t="s">
        <v>164</v>
      </c>
      <c r="F19" s="18" t="s">
        <v>163</v>
      </c>
      <c r="G19" s="18" t="s">
        <v>162</v>
      </c>
      <c r="H19" s="18" t="s">
        <v>601</v>
      </c>
      <c r="I19" s="18" t="s">
        <v>585</v>
      </c>
      <c r="J19" s="18" t="s">
        <v>600</v>
      </c>
      <c r="K19" s="18" t="s">
        <v>184</v>
      </c>
      <c r="L19" s="18" t="s">
        <v>161</v>
      </c>
      <c r="M19" s="62" t="s">
        <v>108</v>
      </c>
      <c r="N19" s="62" t="s">
        <v>109</v>
      </c>
      <c r="O19" s="62" t="s">
        <v>110</v>
      </c>
      <c r="P19" s="62" t="s">
        <v>111</v>
      </c>
      <c r="Q19" s="62" t="s">
        <v>112</v>
      </c>
      <c r="R19" s="62" t="s">
        <v>124</v>
      </c>
      <c r="S19" s="62" t="s">
        <v>160</v>
      </c>
      <c r="T19" s="62" t="s">
        <v>159</v>
      </c>
      <c r="U19" s="62" t="s">
        <v>158</v>
      </c>
      <c r="V19" s="62" t="s">
        <v>157</v>
      </c>
      <c r="W19" s="62" t="s">
        <v>156</v>
      </c>
      <c r="X19" s="62" t="s">
        <v>113</v>
      </c>
      <c r="Y19" s="330" t="s">
        <v>18</v>
      </c>
      <c r="Z19" s="54"/>
      <c r="AA19" s="54"/>
      <c r="AB19" s="1"/>
      <c r="AV19" s="1"/>
      <c r="AW19" s="1"/>
      <c r="AX19" s="1"/>
      <c r="AY19" s="1"/>
      <c r="AZ19" s="1"/>
      <c r="BA19" s="1"/>
      <c r="BB19" s="1"/>
      <c r="BC19" s="56"/>
      <c r="BE19" s="1"/>
      <c r="BF19" s="1"/>
      <c r="BG19" s="1"/>
      <c r="BH19" s="1"/>
      <c r="BI19" s="1"/>
      <c r="BJ19" s="1"/>
      <c r="BK19" s="1"/>
      <c r="BL19" s="1"/>
      <c r="BM19" s="1"/>
      <c r="BN19" s="1"/>
      <c r="BO19" s="1"/>
      <c r="BP19" s="1"/>
      <c r="BQ19" s="56"/>
      <c r="BS19" s="1"/>
      <c r="BT19" s="1"/>
      <c r="BU19" s="1"/>
      <c r="BV19" s="1"/>
      <c r="BW19" s="1"/>
      <c r="BX19" s="1"/>
      <c r="BY19" s="1"/>
      <c r="BZ19" s="1"/>
      <c r="CA19" s="1"/>
      <c r="CB19" s="1"/>
      <c r="CC19" s="1"/>
      <c r="CD19" s="1"/>
      <c r="CE19" s="56"/>
    </row>
    <row r="20" spans="3:83" ht="15.75" x14ac:dyDescent="0.25">
      <c r="C20" s="172" t="s">
        <v>610</v>
      </c>
      <c r="D20" s="173">
        <v>2024</v>
      </c>
      <c r="E20" s="173"/>
      <c r="F20" s="173"/>
      <c r="G20" s="173"/>
      <c r="H20" s="173" t="s">
        <v>27</v>
      </c>
      <c r="I20" s="18"/>
      <c r="J20" s="173" t="str">
        <f>_xlfn.CONCAT(Asset_Plan[[#This Row],[acct]],": ",Asset_Plan[[#This Row],[item]])</f>
        <v xml:space="preserve">Chequing Account: </v>
      </c>
      <c r="K20" s="18"/>
      <c r="L20" s="18"/>
      <c r="M20" s="65">
        <v>485.71</v>
      </c>
      <c r="N20" s="65">
        <v>0</v>
      </c>
      <c r="O20" s="65">
        <v>0</v>
      </c>
      <c r="P20" s="65">
        <v>0</v>
      </c>
      <c r="Q20" s="65">
        <v>0</v>
      </c>
      <c r="R20" s="65">
        <v>0</v>
      </c>
      <c r="S20" s="65">
        <v>0</v>
      </c>
      <c r="T20" s="65">
        <v>0</v>
      </c>
      <c r="U20" s="65"/>
      <c r="V20" s="65">
        <v>-1444</v>
      </c>
      <c r="W20" s="65">
        <v>-1245</v>
      </c>
      <c r="X20" s="65">
        <v>1800</v>
      </c>
      <c r="Y20" s="330">
        <f t="shared" si="0"/>
        <v>-403.28999999999996</v>
      </c>
      <c r="Z20" s="54"/>
      <c r="AA20" s="54"/>
      <c r="AB20" s="1"/>
      <c r="AD20">
        <v>22</v>
      </c>
      <c r="AV20" s="1"/>
      <c r="AW20" s="1"/>
      <c r="AX20" s="1"/>
      <c r="AY20" s="1"/>
      <c r="AZ20" s="1"/>
      <c r="BA20" s="1"/>
      <c r="BB20" s="1"/>
      <c r="BC20" s="56"/>
      <c r="BE20" s="1"/>
      <c r="BF20" s="1"/>
      <c r="BG20" s="1"/>
      <c r="BH20" s="1"/>
      <c r="BI20" s="1"/>
      <c r="BJ20" s="1"/>
      <c r="BK20" s="1"/>
      <c r="BL20" s="1"/>
      <c r="BM20" s="1"/>
      <c r="BN20" s="1"/>
      <c r="BO20" s="1"/>
      <c r="BP20" s="1"/>
      <c r="BQ20" s="56"/>
      <c r="BS20" s="1"/>
      <c r="BT20" s="1"/>
      <c r="BU20" s="1"/>
      <c r="BV20" s="1"/>
      <c r="BW20" s="1"/>
      <c r="BX20" s="1"/>
      <c r="BY20" s="1"/>
      <c r="BZ20" s="1"/>
      <c r="CA20" s="1"/>
      <c r="CB20" s="1"/>
      <c r="CC20" s="1"/>
      <c r="CD20" s="1"/>
      <c r="CE20" s="56"/>
    </row>
    <row r="21" spans="3:83" ht="15.75" x14ac:dyDescent="0.25">
      <c r="C21" s="172" t="s">
        <v>610</v>
      </c>
      <c r="D21" s="173">
        <v>2024</v>
      </c>
      <c r="E21" s="173"/>
      <c r="F21" s="173"/>
      <c r="G21" s="173"/>
      <c r="H21" s="173" t="s">
        <v>2</v>
      </c>
      <c r="I21" s="18"/>
      <c r="J21" s="173" t="str">
        <f>_xlfn.CONCAT(Asset_Plan[[#This Row],[acct]],": ",Asset_Plan[[#This Row],[item]])</f>
        <v xml:space="preserve">Cash: </v>
      </c>
      <c r="K21" s="18"/>
      <c r="L21" s="18"/>
      <c r="M21" s="65">
        <v>0</v>
      </c>
      <c r="N21" s="65">
        <v>0</v>
      </c>
      <c r="O21" s="65">
        <v>0</v>
      </c>
      <c r="P21" s="65">
        <v>0</v>
      </c>
      <c r="Q21" s="65">
        <v>0</v>
      </c>
      <c r="R21" s="65">
        <v>0</v>
      </c>
      <c r="S21" s="65">
        <v>0</v>
      </c>
      <c r="T21" s="65">
        <v>0</v>
      </c>
      <c r="U21" s="65">
        <v>0</v>
      </c>
      <c r="V21" s="65">
        <v>0</v>
      </c>
      <c r="W21" s="65">
        <v>0</v>
      </c>
      <c r="X21" s="65">
        <v>0</v>
      </c>
      <c r="Y21" s="330">
        <f t="shared" si="0"/>
        <v>0</v>
      </c>
      <c r="Z21" s="54"/>
      <c r="AA21" s="54"/>
      <c r="AB21" s="1"/>
      <c r="AC21">
        <v>37.5</v>
      </c>
      <c r="AD21">
        <f>AC21*$AD$20</f>
        <v>825</v>
      </c>
      <c r="AV21" s="1"/>
      <c r="AW21" s="1"/>
      <c r="AX21" s="1"/>
      <c r="AY21" s="1"/>
      <c r="AZ21" s="1"/>
      <c r="BA21" s="1"/>
      <c r="BB21" s="1"/>
      <c r="BC21" s="56"/>
      <c r="BE21" s="1"/>
      <c r="BF21" s="1"/>
      <c r="BG21" s="1"/>
      <c r="BH21" s="1"/>
      <c r="BI21" s="1"/>
      <c r="BJ21" s="1"/>
      <c r="BK21" s="1"/>
      <c r="BL21" s="1"/>
      <c r="BM21" s="1"/>
      <c r="BN21" s="1"/>
      <c r="BO21" s="1"/>
      <c r="BP21" s="1"/>
      <c r="BQ21" s="56"/>
      <c r="BS21" s="1"/>
      <c r="BT21" s="1"/>
      <c r="BU21" s="1"/>
      <c r="BV21" s="1"/>
      <c r="BW21" s="1"/>
      <c r="BX21" s="1"/>
      <c r="BY21" s="1"/>
      <c r="BZ21" s="1"/>
      <c r="CA21" s="1"/>
      <c r="CB21" s="1"/>
      <c r="CC21" s="1"/>
      <c r="CD21" s="1"/>
      <c r="CE21" s="56"/>
    </row>
    <row r="22" spans="3:83" ht="15.75" x14ac:dyDescent="0.25">
      <c r="C22" s="172" t="s">
        <v>610</v>
      </c>
      <c r="D22" s="173">
        <v>2024</v>
      </c>
      <c r="E22" s="173"/>
      <c r="F22" s="173"/>
      <c r="G22" s="173"/>
      <c r="H22" s="173" t="s">
        <v>28</v>
      </c>
      <c r="I22" s="18"/>
      <c r="J22" s="173" t="str">
        <f>_xlfn.CONCAT(Asset_Plan[[#This Row],[acct]],": ",Asset_Plan[[#This Row],[item]])</f>
        <v xml:space="preserve">Savings Account: </v>
      </c>
      <c r="K22" s="18"/>
      <c r="L22" s="18"/>
      <c r="M22" s="65">
        <v>0</v>
      </c>
      <c r="N22" s="65">
        <v>0</v>
      </c>
      <c r="O22" s="65">
        <v>0</v>
      </c>
      <c r="P22" s="65">
        <v>0</v>
      </c>
      <c r="Q22" s="65">
        <v>0</v>
      </c>
      <c r="R22" s="65">
        <v>0</v>
      </c>
      <c r="S22" s="65">
        <v>0</v>
      </c>
      <c r="T22" s="65">
        <v>0</v>
      </c>
      <c r="U22" s="65">
        <v>0</v>
      </c>
      <c r="V22" s="65">
        <v>0</v>
      </c>
      <c r="W22" s="65">
        <v>0</v>
      </c>
      <c r="X22" s="65">
        <v>0</v>
      </c>
      <c r="Y22" s="330">
        <f t="shared" si="0"/>
        <v>0</v>
      </c>
      <c r="Z22" s="54"/>
      <c r="AA22" s="54"/>
      <c r="AB22" s="1"/>
      <c r="AV22" s="1"/>
      <c r="AW22" s="1"/>
      <c r="AX22" s="1"/>
      <c r="AY22" s="1"/>
      <c r="AZ22" s="1"/>
      <c r="BA22" s="1"/>
      <c r="BB22" s="1"/>
      <c r="BC22" s="56"/>
      <c r="BE22" s="1"/>
      <c r="BF22" s="1"/>
      <c r="BG22" s="1"/>
      <c r="BH22" s="1"/>
      <c r="BI22" s="1"/>
      <c r="BJ22" s="1"/>
      <c r="BK22" s="1"/>
      <c r="BL22" s="1"/>
      <c r="BM22" s="1"/>
      <c r="BN22" s="1"/>
      <c r="BO22" s="1"/>
      <c r="BP22" s="1"/>
      <c r="BQ22" s="56"/>
      <c r="BS22" s="1"/>
      <c r="BT22" s="1"/>
      <c r="BU22" s="1"/>
      <c r="BV22" s="1"/>
      <c r="BW22" s="1"/>
      <c r="BX22" s="1"/>
      <c r="BY22" s="1"/>
      <c r="BZ22" s="1"/>
      <c r="CA22" s="1"/>
      <c r="CB22" s="1"/>
      <c r="CC22" s="1"/>
      <c r="CD22" s="1"/>
      <c r="CE22" s="56"/>
    </row>
    <row r="23" spans="3:83" ht="15.75" x14ac:dyDescent="0.25">
      <c r="C23" s="172" t="s">
        <v>610</v>
      </c>
      <c r="D23" s="173">
        <v>2024</v>
      </c>
      <c r="E23" s="173"/>
      <c r="F23" s="173"/>
      <c r="G23" s="173"/>
      <c r="H23" s="173" t="s">
        <v>103</v>
      </c>
      <c r="I23" s="18"/>
      <c r="J23" s="173" t="str">
        <f>_xlfn.CONCAT(Asset_Plan[[#This Row],[acct]],": ",Asset_Plan[[#This Row],[item]])</f>
        <v xml:space="preserve">RRSP: </v>
      </c>
      <c r="K23" s="18"/>
      <c r="L23" s="18"/>
      <c r="M23" s="65">
        <v>0</v>
      </c>
      <c r="N23" s="65">
        <v>0</v>
      </c>
      <c r="O23" s="65">
        <v>0</v>
      </c>
      <c r="P23" s="65">
        <v>0</v>
      </c>
      <c r="Q23" s="65">
        <v>0</v>
      </c>
      <c r="R23" s="65">
        <v>0</v>
      </c>
      <c r="S23" s="65">
        <v>0</v>
      </c>
      <c r="T23" s="65">
        <v>0</v>
      </c>
      <c r="U23" s="65">
        <v>0</v>
      </c>
      <c r="V23" s="65">
        <v>0</v>
      </c>
      <c r="W23" s="65">
        <v>0</v>
      </c>
      <c r="X23" s="65">
        <v>0</v>
      </c>
      <c r="Y23" s="330">
        <f t="shared" si="0"/>
        <v>0</v>
      </c>
      <c r="Z23" s="54"/>
      <c r="AA23" s="54"/>
      <c r="AB23" s="1"/>
      <c r="AV23" s="1"/>
      <c r="AW23" s="1"/>
      <c r="AX23" s="1"/>
      <c r="AY23" s="1"/>
      <c r="AZ23" s="1"/>
      <c r="BA23" s="1"/>
      <c r="BB23" s="1"/>
      <c r="BC23" s="56"/>
      <c r="BE23" s="1"/>
      <c r="BF23" s="1"/>
      <c r="BG23" s="1"/>
      <c r="BH23" s="1"/>
      <c r="BI23" s="1"/>
      <c r="BJ23" s="1"/>
      <c r="BK23" s="1"/>
      <c r="BL23" s="1"/>
      <c r="BM23" s="1"/>
      <c r="BN23" s="1"/>
      <c r="BO23" s="1"/>
      <c r="BP23" s="1"/>
      <c r="BQ23" s="56"/>
      <c r="BS23" s="1"/>
      <c r="BT23" s="1"/>
      <c r="BU23" s="1"/>
      <c r="BV23" s="1"/>
      <c r="BW23" s="1"/>
      <c r="BX23" s="1"/>
      <c r="BY23" s="1"/>
      <c r="BZ23" s="1"/>
      <c r="CA23" s="1"/>
      <c r="CB23" s="1"/>
      <c r="CC23" s="1"/>
      <c r="CD23" s="1"/>
      <c r="CE23" s="56"/>
    </row>
    <row r="24" spans="3:83" ht="15.75" x14ac:dyDescent="0.25">
      <c r="C24" s="172" t="s">
        <v>610</v>
      </c>
      <c r="D24" s="173">
        <v>2024</v>
      </c>
      <c r="E24" s="173"/>
      <c r="F24" s="173"/>
      <c r="G24" s="173"/>
      <c r="H24" s="173" t="s">
        <v>104</v>
      </c>
      <c r="I24" s="18"/>
      <c r="J24" s="173" t="str">
        <f>_xlfn.CONCAT(Asset_Plan[[#This Row],[acct]],": ",Asset_Plan[[#This Row],[item]])</f>
        <v xml:space="preserve">TFSA Investia: </v>
      </c>
      <c r="K24" s="18"/>
      <c r="L24" s="18"/>
      <c r="M24" s="65">
        <v>0</v>
      </c>
      <c r="N24" s="65">
        <v>0</v>
      </c>
      <c r="O24" s="65">
        <v>0</v>
      </c>
      <c r="P24" s="65">
        <v>0</v>
      </c>
      <c r="Q24" s="65">
        <v>0</v>
      </c>
      <c r="R24" s="65">
        <v>0</v>
      </c>
      <c r="S24" s="65">
        <v>0</v>
      </c>
      <c r="T24" s="65">
        <v>0</v>
      </c>
      <c r="U24" s="65">
        <v>0</v>
      </c>
      <c r="V24" s="65">
        <v>0</v>
      </c>
      <c r="W24" s="65">
        <v>0</v>
      </c>
      <c r="X24" s="65">
        <v>0</v>
      </c>
      <c r="Y24" s="330">
        <f t="shared" si="0"/>
        <v>0</v>
      </c>
      <c r="Z24" s="54"/>
      <c r="AA24" s="54"/>
      <c r="AB24" s="1"/>
      <c r="AV24" s="1"/>
      <c r="AW24" s="1"/>
      <c r="AX24" s="1"/>
      <c r="AY24" s="1"/>
      <c r="AZ24" s="1"/>
      <c r="BA24" s="1"/>
      <c r="BB24" s="1"/>
      <c r="BC24" s="56"/>
      <c r="BE24" s="1"/>
      <c r="BF24" s="1"/>
      <c r="BG24" s="1"/>
      <c r="BH24" s="1"/>
      <c r="BI24" s="1"/>
      <c r="BJ24" s="1"/>
      <c r="BK24" s="1"/>
      <c r="BL24" s="1"/>
      <c r="BM24" s="1"/>
      <c r="BN24" s="1"/>
      <c r="BO24" s="1"/>
      <c r="BP24" s="1"/>
      <c r="BQ24" s="56"/>
      <c r="BS24" s="1"/>
      <c r="BT24" s="1"/>
      <c r="BU24" s="1"/>
      <c r="BV24" s="1"/>
      <c r="BW24" s="1"/>
      <c r="BX24" s="1"/>
      <c r="BY24" s="1"/>
      <c r="BZ24" s="1"/>
      <c r="CA24" s="1"/>
      <c r="CB24" s="1"/>
      <c r="CC24" s="1"/>
      <c r="CD24" s="1"/>
      <c r="CE24" s="56"/>
    </row>
    <row r="25" spans="3:83" ht="15.75" x14ac:dyDescent="0.25">
      <c r="C25" s="172" t="s">
        <v>610</v>
      </c>
      <c r="D25" s="11">
        <v>2024</v>
      </c>
      <c r="E25" s="11"/>
      <c r="F25" s="11"/>
      <c r="G25" s="11"/>
      <c r="H25" s="11"/>
      <c r="I25" t="s">
        <v>192</v>
      </c>
      <c r="J25" s="11"/>
      <c r="M25" s="40">
        <v>0</v>
      </c>
      <c r="N25" s="40">
        <v>0</v>
      </c>
      <c r="O25" s="40">
        <v>0</v>
      </c>
      <c r="P25" s="40">
        <v>0</v>
      </c>
      <c r="Q25" s="40">
        <v>0</v>
      </c>
      <c r="R25" s="40">
        <v>0</v>
      </c>
      <c r="S25" s="40">
        <v>0</v>
      </c>
      <c r="T25" s="40">
        <v>0</v>
      </c>
      <c r="U25" s="40">
        <v>0</v>
      </c>
      <c r="V25" s="40">
        <v>0</v>
      </c>
      <c r="W25" s="40">
        <v>0</v>
      </c>
      <c r="X25" s="40">
        <v>0</v>
      </c>
      <c r="Y25" s="330">
        <f t="shared" si="0"/>
        <v>0</v>
      </c>
      <c r="Z25" s="54"/>
      <c r="AA25" s="54"/>
      <c r="AB25" s="1"/>
      <c r="AV25" s="1"/>
      <c r="AW25" s="1"/>
      <c r="AX25" s="1"/>
      <c r="AY25" s="1"/>
      <c r="AZ25" s="1"/>
      <c r="BA25" s="1"/>
      <c r="BB25" s="1"/>
      <c r="BC25" s="56"/>
      <c r="BE25" s="1"/>
      <c r="BF25" s="1"/>
      <c r="BG25" s="1"/>
      <c r="BH25" s="1"/>
      <c r="BI25" s="1"/>
      <c r="BJ25" s="1"/>
      <c r="BK25" s="1"/>
      <c r="BL25" s="1"/>
      <c r="BM25" s="1"/>
      <c r="BN25" s="1"/>
      <c r="BO25" s="1"/>
      <c r="BP25" s="1"/>
      <c r="BQ25" s="56"/>
      <c r="BS25" s="1"/>
      <c r="BT25" s="1"/>
      <c r="BU25" s="1"/>
      <c r="BV25" s="1"/>
      <c r="BW25" s="1"/>
      <c r="BX25" s="1"/>
      <c r="BY25" s="1"/>
      <c r="BZ25" s="1"/>
      <c r="CA25" s="1"/>
      <c r="CB25" s="1"/>
      <c r="CC25" s="1"/>
      <c r="CD25" s="1"/>
      <c r="CE25" s="56"/>
    </row>
    <row r="26" spans="3:83" x14ac:dyDescent="0.25">
      <c r="P26" s="53"/>
      <c r="V26"/>
      <c r="W26"/>
      <c r="Y26" s="54"/>
      <c r="Z26" s="54"/>
      <c r="AA26" s="1"/>
      <c r="AC26" s="1"/>
      <c r="AU26" s="1"/>
      <c r="AV26" s="1"/>
      <c r="AW26" s="1"/>
      <c r="AX26" s="1"/>
      <c r="AY26" s="1"/>
      <c r="AZ26" s="1"/>
      <c r="BA26" s="1"/>
      <c r="BB26" s="56"/>
      <c r="BD26" s="1"/>
      <c r="BE26" s="1"/>
      <c r="BF26" s="1"/>
      <c r="BG26" s="1"/>
      <c r="BH26" s="1"/>
      <c r="BI26" s="1"/>
      <c r="BJ26" s="1"/>
      <c r="BK26" s="1"/>
      <c r="BL26" s="1"/>
      <c r="BM26" s="1"/>
      <c r="BN26" s="1"/>
      <c r="BO26" s="1"/>
      <c r="BP26" s="56"/>
      <c r="BR26" s="1"/>
      <c r="BS26" s="1"/>
      <c r="BT26" s="1"/>
      <c r="BU26" s="1"/>
      <c r="BV26" s="1"/>
      <c r="BW26" s="1"/>
      <c r="BX26" s="1"/>
      <c r="BY26" s="1"/>
      <c r="BZ26" s="1"/>
      <c r="CA26" s="1"/>
      <c r="CB26" s="1"/>
      <c r="CC26" s="1"/>
      <c r="CD26" s="56"/>
    </row>
    <row r="27" spans="3:83" x14ac:dyDescent="0.25">
      <c r="H27" s="11"/>
      <c r="I27" s="11"/>
      <c r="P27" s="53"/>
      <c r="V27"/>
      <c r="W27"/>
      <c r="Y27" s="54"/>
      <c r="Z27" s="54"/>
      <c r="AA27" s="1"/>
      <c r="AC27" s="1"/>
      <c r="AU27" s="1"/>
      <c r="AV27" s="1"/>
      <c r="AW27" s="1"/>
      <c r="AX27" s="1"/>
      <c r="AY27" s="1"/>
      <c r="AZ27" s="1"/>
      <c r="BA27" s="1"/>
      <c r="BB27" s="56"/>
      <c r="BD27" s="1"/>
      <c r="BE27" s="1"/>
      <c r="BF27" s="1"/>
      <c r="BG27" s="1"/>
      <c r="BH27" s="1"/>
      <c r="BI27" s="1"/>
      <c r="BJ27" s="1"/>
      <c r="BK27" s="1"/>
      <c r="BL27" s="1"/>
      <c r="BM27" s="1"/>
      <c r="BN27" s="1"/>
      <c r="BO27" s="1"/>
      <c r="BP27" s="56"/>
      <c r="BR27" s="1"/>
      <c r="BS27" s="1"/>
      <c r="BT27" s="1"/>
      <c r="BU27" s="1"/>
      <c r="BV27" s="1"/>
      <c r="BW27" s="1"/>
      <c r="BX27" s="1"/>
      <c r="BY27" s="1"/>
      <c r="BZ27" s="1"/>
      <c r="CA27" s="1"/>
      <c r="CB27" s="1"/>
      <c r="CC27" s="1"/>
      <c r="CD27" s="56"/>
    </row>
    <row r="28" spans="3:83" x14ac:dyDescent="0.25">
      <c r="H28" s="11"/>
      <c r="I28" s="11"/>
      <c r="P28" s="53"/>
      <c r="V28"/>
      <c r="W28"/>
      <c r="Y28" s="54"/>
      <c r="Z28" s="54"/>
      <c r="AA28" s="1"/>
      <c r="AC28" s="1"/>
      <c r="AU28" s="1"/>
      <c r="AV28" s="1"/>
      <c r="AW28" s="1"/>
      <c r="AX28" s="1"/>
      <c r="AY28" s="1"/>
      <c r="AZ28" s="1"/>
      <c r="BA28" s="1"/>
      <c r="BB28" s="56"/>
      <c r="BD28" s="1"/>
      <c r="BE28" s="1"/>
      <c r="BF28" s="1"/>
      <c r="BG28" s="1"/>
      <c r="BH28" s="1"/>
      <c r="BI28" s="1"/>
      <c r="BJ28" s="1"/>
      <c r="BK28" s="1"/>
      <c r="BL28" s="1"/>
      <c r="BM28" s="1"/>
      <c r="BN28" s="1"/>
      <c r="BO28" s="1"/>
      <c r="BP28" s="56"/>
      <c r="BR28" s="1"/>
      <c r="BS28" s="1"/>
      <c r="BT28" s="1"/>
      <c r="BU28" s="1"/>
      <c r="BV28" s="1"/>
      <c r="BW28" s="1"/>
      <c r="BX28" s="1"/>
      <c r="BY28" s="1"/>
      <c r="BZ28" s="1"/>
      <c r="CA28" s="1"/>
      <c r="CB28" s="1"/>
      <c r="CC28" s="1"/>
      <c r="CD28" s="56"/>
    </row>
    <row r="29" spans="3:83" x14ac:dyDescent="0.25">
      <c r="H29" s="11"/>
      <c r="I29" s="11"/>
      <c r="P29" s="53"/>
      <c r="V29"/>
      <c r="Y29" s="54"/>
      <c r="Z29" s="54"/>
      <c r="AA29" s="1"/>
      <c r="AC29" s="1"/>
      <c r="AU29" s="1"/>
      <c r="AV29" s="1"/>
      <c r="AW29" s="1"/>
      <c r="AX29" s="1"/>
      <c r="AY29" s="1"/>
      <c r="AZ29" s="1"/>
      <c r="BA29" s="1"/>
      <c r="BB29" s="56"/>
      <c r="BD29" s="1"/>
      <c r="BE29" s="1"/>
      <c r="BF29" s="1"/>
      <c r="BG29" s="1"/>
      <c r="BH29" s="1"/>
      <c r="BI29" s="1"/>
      <c r="BJ29" s="1"/>
      <c r="BK29" s="1"/>
      <c r="BL29" s="1"/>
      <c r="BM29" s="1"/>
      <c r="BN29" s="1"/>
      <c r="BO29" s="1"/>
      <c r="BP29" s="56"/>
      <c r="BR29" s="1"/>
      <c r="BS29" s="1"/>
      <c r="BT29" s="1"/>
      <c r="BU29" s="1"/>
      <c r="BV29" s="1"/>
      <c r="BW29" s="1"/>
      <c r="BX29" s="1"/>
      <c r="BY29" s="1"/>
      <c r="BZ29" s="1"/>
      <c r="CA29" s="1"/>
      <c r="CB29" s="1"/>
      <c r="CC29" s="1"/>
      <c r="CD29" s="56"/>
    </row>
    <row r="30" spans="3:83" x14ac:dyDescent="0.25">
      <c r="H30" s="11"/>
      <c r="I30" s="11"/>
      <c r="P30" s="53"/>
      <c r="T30" s="1">
        <v>5986</v>
      </c>
      <c r="V30"/>
      <c r="Y30" s="54"/>
      <c r="Z30" s="54"/>
      <c r="AA30" s="1"/>
      <c r="AC30" s="1"/>
      <c r="AU30" s="1"/>
      <c r="AV30" s="1"/>
      <c r="AW30" s="1"/>
      <c r="AX30" s="1"/>
      <c r="AY30" s="1"/>
      <c r="AZ30" s="1"/>
      <c r="BA30" s="1"/>
      <c r="BB30" s="56"/>
      <c r="BD30" s="1"/>
      <c r="BE30" s="1"/>
      <c r="BF30" s="1"/>
      <c r="BG30" s="1"/>
      <c r="BH30" s="1"/>
      <c r="BI30" s="1"/>
      <c r="BJ30" s="1"/>
      <c r="BK30" s="1"/>
      <c r="BL30" s="1"/>
      <c r="BM30" s="1"/>
      <c r="BN30" s="1"/>
      <c r="BO30" s="1"/>
      <c r="BP30" s="56"/>
      <c r="BR30" s="1"/>
      <c r="BS30" s="1"/>
      <c r="BT30" s="1"/>
      <c r="BU30" s="1"/>
      <c r="BV30" s="1"/>
      <c r="BW30" s="1"/>
      <c r="BX30" s="1"/>
      <c r="BY30" s="1"/>
      <c r="BZ30" s="1"/>
      <c r="CA30" s="1"/>
      <c r="CB30" s="1"/>
      <c r="CC30" s="1"/>
      <c r="CD30" s="56"/>
    </row>
    <row r="31" spans="3:83" x14ac:dyDescent="0.25">
      <c r="H31" s="11"/>
      <c r="I31" s="11"/>
      <c r="P31" s="53"/>
      <c r="T31" s="1">
        <v>2290</v>
      </c>
      <c r="V31"/>
      <c r="Y31" s="54"/>
      <c r="Z31" s="54"/>
      <c r="AA31" s="1"/>
      <c r="AC31" s="1"/>
      <c r="AG31" s="1"/>
      <c r="AH31" s="1"/>
      <c r="AI31" s="1"/>
      <c r="AJ31" s="1"/>
      <c r="AK31" s="1"/>
      <c r="AL31" s="1"/>
      <c r="AM31" s="1"/>
      <c r="AN31" s="56"/>
      <c r="AP31" s="1"/>
      <c r="AQ31" s="1"/>
      <c r="AR31" s="1"/>
      <c r="AS31" s="1"/>
      <c r="AT31" s="1"/>
      <c r="AU31" s="1"/>
      <c r="AV31" s="1"/>
      <c r="AW31" s="1"/>
      <c r="AX31" s="1"/>
      <c r="AY31" s="1"/>
      <c r="AZ31" s="1"/>
      <c r="BA31" s="1"/>
      <c r="BB31" s="56"/>
      <c r="BD31" s="1"/>
      <c r="BE31" s="1"/>
      <c r="BF31" s="1"/>
      <c r="BG31" s="1"/>
      <c r="BH31" s="1"/>
      <c r="BI31" s="1"/>
      <c r="BJ31" s="1"/>
      <c r="BK31" s="1"/>
      <c r="BL31" s="1"/>
      <c r="BM31" s="1"/>
      <c r="BN31" s="1"/>
      <c r="BO31" s="1"/>
      <c r="BP31" s="56"/>
      <c r="BR31" s="1"/>
      <c r="BS31" s="1"/>
      <c r="BT31" s="1"/>
      <c r="BU31" s="1"/>
      <c r="BV31" s="1"/>
      <c r="BW31" s="1"/>
      <c r="BX31" s="1"/>
      <c r="BY31" s="1"/>
      <c r="BZ31" s="1"/>
      <c r="CA31" s="1"/>
      <c r="CB31" s="1"/>
      <c r="CC31" s="1"/>
      <c r="CD31" s="56"/>
    </row>
    <row r="32" spans="3:83" x14ac:dyDescent="0.25">
      <c r="I32" s="11"/>
      <c r="T32" s="1">
        <v>-500</v>
      </c>
      <c r="V32"/>
      <c r="X32"/>
      <c r="Y32" s="54"/>
      <c r="Z32" s="54"/>
      <c r="AA32" s="1"/>
      <c r="AC32" s="1"/>
      <c r="AG32" s="1"/>
      <c r="AH32" s="1"/>
      <c r="AI32" s="1"/>
      <c r="AJ32" s="1"/>
      <c r="AK32" s="1"/>
      <c r="AL32" s="1"/>
      <c r="AM32" s="1"/>
      <c r="AN32" s="56"/>
      <c r="AP32" s="1"/>
      <c r="AQ32" s="1"/>
      <c r="AR32" s="1"/>
      <c r="AS32" s="1"/>
      <c r="AT32" s="1"/>
      <c r="AU32" s="1"/>
      <c r="AV32" s="1"/>
      <c r="AW32" s="1"/>
      <c r="AX32" s="1"/>
      <c r="AY32" s="1"/>
      <c r="AZ32" s="1"/>
      <c r="BA32" s="1"/>
      <c r="BB32" s="56"/>
      <c r="BD32" s="1"/>
      <c r="BE32" s="1"/>
      <c r="BF32" s="1"/>
      <c r="BG32" s="1"/>
      <c r="BH32" s="1"/>
      <c r="BI32" s="1"/>
      <c r="BJ32" s="1"/>
      <c r="BK32" s="1"/>
      <c r="BL32" s="1"/>
      <c r="BM32" s="1"/>
      <c r="BN32" s="1"/>
      <c r="BO32" s="1"/>
      <c r="BP32" s="56"/>
      <c r="BR32" s="1"/>
      <c r="BS32" s="1"/>
      <c r="BT32" s="1"/>
      <c r="BU32" s="1"/>
      <c r="BV32" s="1"/>
      <c r="BW32" s="1"/>
      <c r="BX32" s="1"/>
      <c r="BY32" s="1"/>
      <c r="BZ32" s="1"/>
      <c r="CA32" s="1"/>
      <c r="CB32" s="1"/>
      <c r="CC32" s="1"/>
      <c r="CD32" s="56"/>
    </row>
    <row r="33" spans="7:82" x14ac:dyDescent="0.25">
      <c r="H33" s="11"/>
      <c r="I33" s="11"/>
      <c r="P33" s="53"/>
      <c r="Q33" s="1" t="e" cm="1">
        <f t="array" ref="Q33">SUMPRODUCT(($M$17:N$17)*($M$5:N$5="Actual"))</f>
        <v>#REF!</v>
      </c>
      <c r="V33"/>
      <c r="X33"/>
      <c r="Y33" s="54"/>
      <c r="Z33" s="54"/>
      <c r="AA33" s="1"/>
      <c r="AC33" s="1"/>
      <c r="AG33" s="1"/>
      <c r="AH33" s="1"/>
      <c r="AI33" s="1"/>
      <c r="AJ33" s="1"/>
      <c r="AK33" s="1"/>
      <c r="AL33" s="1"/>
      <c r="AM33" s="1"/>
      <c r="AN33" s="56"/>
      <c r="AP33" s="1"/>
      <c r="AQ33" s="1"/>
      <c r="AR33" s="1"/>
      <c r="AS33" s="1"/>
      <c r="AT33" s="1"/>
      <c r="AU33" s="1"/>
      <c r="AV33" s="1"/>
      <c r="AW33" s="1"/>
      <c r="AX33" s="1"/>
      <c r="AY33" s="1"/>
      <c r="AZ33" s="1"/>
      <c r="BA33" s="1"/>
      <c r="BB33" s="56"/>
      <c r="BD33" s="1"/>
      <c r="BE33" s="1"/>
      <c r="BF33" s="1"/>
      <c r="BG33" s="1"/>
      <c r="BH33" s="1"/>
      <c r="BI33" s="1"/>
      <c r="BJ33" s="1"/>
      <c r="BK33" s="1"/>
      <c r="BL33" s="1"/>
      <c r="BM33" s="1"/>
      <c r="BN33" s="1"/>
      <c r="BO33" s="1"/>
      <c r="BP33" s="56"/>
      <c r="BR33" s="1"/>
      <c r="BS33" s="1"/>
      <c r="BT33" s="1"/>
      <c r="BU33" s="1"/>
      <c r="BV33" s="1"/>
      <c r="BW33" s="1"/>
      <c r="BX33" s="1"/>
      <c r="BY33" s="1"/>
      <c r="BZ33" s="1"/>
      <c r="CA33" s="1"/>
      <c r="CB33" s="1"/>
      <c r="CC33" s="1"/>
      <c r="CD33" s="56"/>
    </row>
    <row r="34" spans="7:82" x14ac:dyDescent="0.25">
      <c r="G34" s="53"/>
      <c r="H34" s="11"/>
      <c r="I34" s="11"/>
      <c r="L34" t="e" cm="1">
        <f t="array" ref="L34">SUMPRODUCT(($M$5:$X$5="Actual")*($M$17:$X$17))</f>
        <v>#REF!</v>
      </c>
      <c r="P34" s="53"/>
      <c r="V34"/>
      <c r="X34"/>
      <c r="Y34" s="54"/>
      <c r="Z34" s="54"/>
      <c r="AA34" s="1"/>
      <c r="AC34" s="1"/>
      <c r="AG34" s="1"/>
      <c r="AH34" s="1"/>
      <c r="AI34" s="1"/>
      <c r="AJ34" s="1"/>
      <c r="AK34" s="1"/>
      <c r="AL34" s="1"/>
      <c r="AM34" s="1"/>
      <c r="AN34" s="56"/>
      <c r="AP34" s="1"/>
      <c r="AQ34" s="1"/>
      <c r="AR34" s="1"/>
      <c r="AS34" s="1"/>
      <c r="AT34" s="1"/>
      <c r="AU34" s="1"/>
      <c r="AV34" s="1"/>
      <c r="AW34" s="1"/>
      <c r="AX34" s="1"/>
      <c r="AY34" s="1"/>
      <c r="AZ34" s="1"/>
      <c r="BA34" s="1"/>
      <c r="BB34" s="56"/>
      <c r="BD34" s="1"/>
      <c r="BE34" s="1"/>
      <c r="BF34" s="1"/>
      <c r="BG34" s="1"/>
      <c r="BH34" s="1"/>
      <c r="BI34" s="1"/>
      <c r="BJ34" s="1"/>
      <c r="BK34" s="1"/>
      <c r="BL34" s="1"/>
      <c r="BM34" s="1"/>
      <c r="BN34" s="1"/>
      <c r="BO34" s="1"/>
      <c r="BP34" s="56"/>
      <c r="BR34" s="1"/>
      <c r="BS34" s="1"/>
      <c r="BT34" s="1"/>
      <c r="BU34" s="1"/>
      <c r="BV34" s="1"/>
      <c r="BW34" s="1"/>
      <c r="BX34" s="1"/>
      <c r="BY34" s="1"/>
      <c r="BZ34" s="1"/>
      <c r="CA34" s="1"/>
      <c r="CB34" s="1"/>
      <c r="CC34" s="1"/>
      <c r="CD34" s="56"/>
    </row>
    <row r="35" spans="7:82" x14ac:dyDescent="0.25">
      <c r="G35" s="53"/>
      <c r="H35" s="11"/>
      <c r="I35" s="11"/>
      <c r="P35" s="53"/>
      <c r="V35"/>
      <c r="X35"/>
      <c r="Y35" s="54"/>
      <c r="Z35" s="54"/>
      <c r="AA35" s="1"/>
      <c r="AC35" s="1"/>
      <c r="AG35" s="1"/>
      <c r="AH35" s="1"/>
      <c r="AI35" s="1"/>
      <c r="AJ35" s="1"/>
      <c r="AK35" s="1"/>
      <c r="AL35" s="1"/>
      <c r="AM35" s="1"/>
      <c r="AN35" s="56"/>
      <c r="AP35" s="1"/>
      <c r="AQ35" s="1"/>
      <c r="AR35" s="1"/>
      <c r="AS35" s="1"/>
      <c r="AT35" s="1"/>
      <c r="AU35" s="1"/>
      <c r="AV35" s="1"/>
      <c r="AW35" s="1"/>
      <c r="AX35" s="1"/>
      <c r="AY35" s="1"/>
      <c r="AZ35" s="1"/>
      <c r="BA35" s="1"/>
      <c r="BB35" s="56"/>
      <c r="BD35" s="1"/>
      <c r="BE35" s="1"/>
      <c r="BF35" s="1"/>
      <c r="BG35" s="1"/>
      <c r="BH35" s="1"/>
      <c r="BI35" s="1"/>
      <c r="BJ35" s="1"/>
      <c r="BK35" s="1"/>
      <c r="BL35" s="1"/>
      <c r="BM35" s="1"/>
      <c r="BN35" s="1"/>
      <c r="BO35" s="1"/>
      <c r="BP35" s="56"/>
      <c r="BR35" s="1"/>
      <c r="BS35" s="1"/>
      <c r="BT35" s="1"/>
      <c r="BU35" s="1"/>
      <c r="BV35" s="1"/>
      <c r="BW35" s="1"/>
      <c r="BX35" s="1"/>
      <c r="BY35" s="1"/>
      <c r="BZ35" s="1"/>
      <c r="CA35" s="1"/>
      <c r="CB35" s="1"/>
      <c r="CC35" s="1"/>
      <c r="CD35" s="56"/>
    </row>
    <row r="36" spans="7:82" x14ac:dyDescent="0.25">
      <c r="G36" s="53"/>
      <c r="H36" s="11"/>
      <c r="I36" s="11"/>
      <c r="P36" s="53"/>
      <c r="V36"/>
      <c r="Y36" s="54"/>
      <c r="Z36" s="54"/>
      <c r="AA36" s="1"/>
      <c r="AC36" s="1"/>
      <c r="AG36" s="1"/>
      <c r="AH36" s="1"/>
      <c r="AI36" s="1"/>
      <c r="AJ36" s="1"/>
      <c r="AK36" s="1"/>
      <c r="AL36" s="1"/>
      <c r="AM36" s="1"/>
      <c r="AN36" s="56"/>
      <c r="AP36" s="1"/>
      <c r="AQ36" s="1"/>
      <c r="AR36" s="1"/>
      <c r="AS36" s="1"/>
      <c r="AT36" s="1"/>
      <c r="AU36" s="1"/>
      <c r="AV36" s="1"/>
      <c r="AW36" s="1"/>
      <c r="AX36" s="1"/>
      <c r="AY36" s="1"/>
      <c r="AZ36" s="1"/>
      <c r="BA36" s="1"/>
      <c r="BB36" s="56"/>
      <c r="BD36" s="1"/>
      <c r="BE36" s="1"/>
      <c r="BF36" s="1"/>
      <c r="BG36" s="1"/>
      <c r="BH36" s="1"/>
      <c r="BI36" s="1"/>
      <c r="BJ36" s="1"/>
      <c r="BK36" s="1"/>
      <c r="BL36" s="1"/>
      <c r="BM36" s="1"/>
      <c r="BN36" s="1"/>
      <c r="BO36" s="1"/>
      <c r="BP36" s="56"/>
      <c r="BR36" s="1"/>
      <c r="BS36" s="1"/>
      <c r="BT36" s="1"/>
      <c r="BU36" s="1"/>
      <c r="BV36" s="1"/>
      <c r="BW36" s="1"/>
      <c r="BX36" s="1"/>
      <c r="BY36" s="1"/>
      <c r="BZ36" s="1"/>
      <c r="CA36" s="1"/>
      <c r="CB36" s="1"/>
      <c r="CC36" s="1"/>
      <c r="CD36" s="56"/>
    </row>
    <row r="37" spans="7:82" x14ac:dyDescent="0.25">
      <c r="G37" s="53"/>
      <c r="H37" s="11"/>
      <c r="I37" s="11"/>
      <c r="P37" s="53"/>
      <c r="V37"/>
      <c r="Y37" s="54"/>
      <c r="Z37" s="54"/>
      <c r="AA37" s="1"/>
      <c r="AC37" s="1"/>
      <c r="AG37" s="1"/>
      <c r="AH37" s="1"/>
      <c r="AI37" s="1"/>
      <c r="AJ37" s="1"/>
      <c r="AK37" s="1"/>
      <c r="AL37" s="1"/>
      <c r="AM37" s="1"/>
      <c r="AN37" s="56"/>
      <c r="AP37" s="1"/>
      <c r="AQ37" s="1"/>
      <c r="AR37" s="1"/>
      <c r="AS37" s="1"/>
      <c r="AT37" s="1"/>
      <c r="AU37" s="1"/>
      <c r="AV37" s="1"/>
      <c r="AW37" s="1"/>
      <c r="AX37" s="1"/>
      <c r="AY37" s="1"/>
      <c r="AZ37" s="1"/>
      <c r="BA37" s="1"/>
      <c r="BB37" s="56"/>
      <c r="BD37" s="1"/>
      <c r="BE37" s="1"/>
      <c r="BF37" s="1"/>
      <c r="BG37" s="1"/>
      <c r="BH37" s="1"/>
      <c r="BI37" s="1"/>
      <c r="BJ37" s="1"/>
      <c r="BK37" s="1"/>
      <c r="BL37" s="1"/>
      <c r="BM37" s="1"/>
      <c r="BN37" s="1"/>
      <c r="BO37" s="1"/>
      <c r="BP37" s="56"/>
      <c r="BR37" s="1"/>
      <c r="BS37" s="1"/>
      <c r="BT37" s="1"/>
      <c r="BU37" s="1"/>
      <c r="BV37" s="1"/>
      <c r="BW37" s="1"/>
      <c r="BX37" s="1"/>
      <c r="BY37" s="1"/>
      <c r="BZ37" s="1"/>
      <c r="CA37" s="1"/>
      <c r="CB37" s="1"/>
      <c r="CC37" s="1"/>
      <c r="CD37" s="56"/>
    </row>
    <row r="38" spans="7:82" x14ac:dyDescent="0.25">
      <c r="G38" s="53"/>
      <c r="H38" s="11"/>
      <c r="I38" s="11"/>
      <c r="O38" s="1" t="e" cm="1">
        <f t="array" ref="O38">sum</f>
        <v>#NAME?</v>
      </c>
      <c r="P38" s="53"/>
      <c r="V38"/>
      <c r="Y38" s="54"/>
      <c r="Z38" s="54"/>
      <c r="AA38" s="1"/>
      <c r="AC38" s="1"/>
      <c r="AG38" s="1"/>
      <c r="AH38" s="1"/>
      <c r="AI38" s="1"/>
      <c r="AJ38" s="1"/>
      <c r="AK38" s="1"/>
      <c r="AL38" s="1"/>
      <c r="AM38" s="1"/>
      <c r="AN38" s="56"/>
      <c r="AP38" s="1"/>
      <c r="AQ38" s="1"/>
      <c r="AR38" s="1"/>
      <c r="AS38" s="1"/>
      <c r="AT38" s="1"/>
      <c r="AU38" s="1"/>
      <c r="AV38" s="1"/>
      <c r="AW38" s="1"/>
      <c r="AX38" s="1"/>
      <c r="AY38" s="1"/>
      <c r="AZ38" s="1"/>
      <c r="BA38" s="1"/>
      <c r="BB38" s="56"/>
      <c r="BD38" s="1"/>
      <c r="BE38" s="1"/>
      <c r="BF38" s="1"/>
      <c r="BG38" s="1"/>
      <c r="BH38" s="1"/>
      <c r="BI38" s="1"/>
      <c r="BJ38" s="1"/>
      <c r="BK38" s="1"/>
      <c r="BL38" s="1"/>
      <c r="BM38" s="1"/>
      <c r="BN38" s="1"/>
      <c r="BO38" s="1"/>
      <c r="BP38" s="56"/>
      <c r="BR38" s="1"/>
      <c r="BS38" s="1"/>
      <c r="BT38" s="1"/>
      <c r="BU38" s="1"/>
      <c r="BV38" s="1"/>
      <c r="BW38" s="1"/>
      <c r="BX38" s="1"/>
      <c r="BY38" s="1"/>
      <c r="BZ38" s="1"/>
      <c r="CA38" s="1"/>
      <c r="CB38" s="1"/>
      <c r="CC38" s="1"/>
      <c r="CD38" s="56"/>
    </row>
    <row r="39" spans="7:82" x14ac:dyDescent="0.25">
      <c r="G39" s="53"/>
      <c r="H39" s="11"/>
      <c r="I39" s="11"/>
      <c r="P39" s="53"/>
      <c r="V39"/>
      <c r="Y39" s="54"/>
      <c r="Z39" s="54"/>
      <c r="AA39" s="1"/>
      <c r="AC39" s="1"/>
      <c r="AG39" s="1"/>
      <c r="AH39" s="1"/>
      <c r="AI39" s="1"/>
      <c r="AJ39" s="1"/>
      <c r="AK39" s="1"/>
      <c r="AL39" s="1"/>
      <c r="AM39" s="1"/>
      <c r="AN39" s="56"/>
      <c r="AP39" s="1"/>
      <c r="AQ39" s="1"/>
      <c r="AR39" s="1"/>
      <c r="AS39" s="1"/>
      <c r="AT39" s="1"/>
      <c r="AU39" s="1"/>
      <c r="AV39" s="1"/>
      <c r="AW39" s="1"/>
      <c r="AX39" s="1"/>
      <c r="AY39" s="1"/>
      <c r="AZ39" s="1"/>
      <c r="BA39" s="1"/>
      <c r="BB39" s="56"/>
      <c r="BD39" s="1"/>
      <c r="BE39" s="1"/>
      <c r="BF39" s="1"/>
      <c r="BG39" s="1"/>
      <c r="BH39" s="1"/>
      <c r="BI39" s="1"/>
      <c r="BJ39" s="1"/>
      <c r="BK39" s="1"/>
      <c r="BL39" s="1"/>
      <c r="BM39" s="1"/>
      <c r="BN39" s="1"/>
      <c r="BO39" s="1"/>
      <c r="BP39" s="56"/>
      <c r="BR39" s="1"/>
      <c r="BS39" s="1"/>
      <c r="BT39" s="1"/>
      <c r="BU39" s="1"/>
      <c r="BV39" s="1"/>
      <c r="BW39" s="1"/>
      <c r="BX39" s="1"/>
      <c r="BY39" s="1"/>
      <c r="BZ39" s="1"/>
      <c r="CA39" s="1"/>
      <c r="CB39" s="1"/>
      <c r="CC39" s="1"/>
      <c r="CD39" s="56"/>
    </row>
    <row r="40" spans="7:82" x14ac:dyDescent="0.25">
      <c r="G40" s="53"/>
      <c r="H40" s="11"/>
      <c r="I40" s="11"/>
      <c r="P40" s="53"/>
      <c r="V40" s="53"/>
      <c r="Y40" s="54"/>
      <c r="Z40" s="54"/>
      <c r="AA40" s="1"/>
      <c r="AC40" s="1"/>
      <c r="AG40" s="1"/>
      <c r="AH40" s="1"/>
      <c r="AI40" s="1"/>
      <c r="AJ40" s="1"/>
      <c r="AK40" s="1"/>
      <c r="AL40" s="1"/>
      <c r="AM40" s="1"/>
      <c r="AN40" s="56"/>
      <c r="AP40" s="1"/>
      <c r="AQ40" s="1"/>
      <c r="AR40" s="1"/>
      <c r="AS40" s="1"/>
      <c r="AT40" s="1"/>
      <c r="AU40" s="1"/>
      <c r="AV40" s="1"/>
      <c r="AW40" s="1"/>
      <c r="AX40" s="1"/>
      <c r="AY40" s="1"/>
      <c r="AZ40" s="1"/>
      <c r="BA40" s="1"/>
      <c r="BB40" s="56"/>
      <c r="BD40" s="1"/>
      <c r="BE40" s="1"/>
      <c r="BF40" s="1"/>
      <c r="BG40" s="1"/>
      <c r="BH40" s="1"/>
      <c r="BI40" s="1"/>
      <c r="BJ40" s="1"/>
      <c r="BK40" s="1"/>
      <c r="BL40" s="1"/>
      <c r="BM40" s="1"/>
      <c r="BN40" s="1"/>
      <c r="BO40" s="1"/>
      <c r="BP40" s="56"/>
      <c r="BR40" s="1"/>
      <c r="BS40" s="1"/>
      <c r="BT40" s="1"/>
      <c r="BU40" s="1"/>
      <c r="BV40" s="1"/>
      <c r="BW40" s="1"/>
      <c r="BX40" s="1"/>
      <c r="BY40" s="1"/>
      <c r="BZ40" s="1"/>
      <c r="CA40" s="1"/>
      <c r="CB40" s="1"/>
      <c r="CC40" s="1"/>
      <c r="CD40" s="56"/>
    </row>
    <row r="41" spans="7:82" x14ac:dyDescent="0.25">
      <c r="G41" s="53"/>
      <c r="H41" s="11"/>
      <c r="I41" s="11"/>
      <c r="P41" s="53"/>
      <c r="V41" s="53"/>
      <c r="Y41" s="54"/>
      <c r="Z41" s="54"/>
      <c r="AA41" s="1"/>
      <c r="AC41" s="1"/>
      <c r="AG41" s="1"/>
      <c r="AH41" s="1"/>
      <c r="AI41" s="1"/>
      <c r="AJ41" s="1"/>
      <c r="AK41" s="1"/>
      <c r="AL41" s="1"/>
      <c r="AM41" s="1"/>
      <c r="AN41" s="56"/>
      <c r="AP41" s="1"/>
      <c r="AQ41" s="1"/>
      <c r="AR41" s="1"/>
      <c r="AS41" s="1"/>
      <c r="AT41" s="1"/>
      <c r="AU41" s="1"/>
      <c r="AV41" s="1"/>
      <c r="AW41" s="1"/>
      <c r="AX41" s="1"/>
      <c r="AY41" s="1"/>
      <c r="AZ41" s="1"/>
      <c r="BA41" s="1"/>
      <c r="BB41" s="56"/>
      <c r="BD41" s="1"/>
      <c r="BE41" s="1"/>
      <c r="BF41" s="1"/>
      <c r="BG41" s="1"/>
      <c r="BH41" s="1"/>
      <c r="BI41" s="1"/>
      <c r="BJ41" s="1"/>
      <c r="BK41" s="1"/>
      <c r="BL41" s="1"/>
      <c r="BM41" s="1"/>
      <c r="BN41" s="1"/>
      <c r="BO41" s="1"/>
      <c r="BP41" s="56"/>
      <c r="BR41" s="1"/>
      <c r="BS41" s="1"/>
      <c r="BT41" s="1"/>
      <c r="BU41" s="1"/>
      <c r="BV41" s="1"/>
      <c r="BW41" s="1"/>
      <c r="BX41" s="1"/>
      <c r="BY41" s="1"/>
      <c r="BZ41" s="1"/>
      <c r="CA41" s="1"/>
      <c r="CB41" s="1"/>
      <c r="CC41" s="1"/>
      <c r="CD41" s="56"/>
    </row>
    <row r="42" spans="7:82" x14ac:dyDescent="0.25">
      <c r="G42" s="53"/>
      <c r="H42" s="11"/>
      <c r="I42" s="11"/>
      <c r="P42" s="53"/>
      <c r="V42" s="53"/>
      <c r="Y42" s="54"/>
      <c r="Z42" s="54"/>
      <c r="AA42" s="1"/>
      <c r="AC42" s="1"/>
      <c r="AG42" s="1"/>
      <c r="AH42" s="1"/>
      <c r="AI42" s="1"/>
      <c r="AJ42" s="1"/>
      <c r="AK42" s="1"/>
      <c r="AL42" s="1"/>
      <c r="AM42" s="1"/>
      <c r="AN42" s="56"/>
      <c r="AP42" s="1"/>
      <c r="AQ42" s="1"/>
      <c r="AR42" s="1"/>
      <c r="AS42" s="1"/>
      <c r="AT42" s="1"/>
      <c r="AU42" s="1"/>
      <c r="AV42" s="1"/>
      <c r="AW42" s="1"/>
      <c r="AX42" s="1"/>
      <c r="AY42" s="1"/>
      <c r="AZ42" s="1"/>
      <c r="BA42" s="1"/>
      <c r="BB42" s="56"/>
      <c r="BD42" s="1"/>
      <c r="BE42" s="1"/>
      <c r="BF42" s="1"/>
      <c r="BG42" s="1"/>
      <c r="BH42" s="1"/>
      <c r="BI42" s="1"/>
      <c r="BJ42" s="1"/>
      <c r="BK42" s="1"/>
      <c r="BL42" s="1"/>
      <c r="BM42" s="1"/>
      <c r="BN42" s="1"/>
      <c r="BO42" s="1"/>
      <c r="BP42" s="56"/>
      <c r="BR42" s="1"/>
      <c r="BS42" s="1"/>
      <c r="BT42" s="1"/>
      <c r="BU42" s="1"/>
      <c r="BV42" s="1"/>
      <c r="BW42" s="1"/>
      <c r="BX42" s="1"/>
      <c r="BY42" s="1"/>
      <c r="BZ42" s="1"/>
      <c r="CA42" s="1"/>
      <c r="CB42" s="1"/>
      <c r="CC42" s="1"/>
      <c r="CD42" s="56"/>
    </row>
    <row r="43" spans="7:82" x14ac:dyDescent="0.25">
      <c r="G43" s="53"/>
      <c r="H43" s="11"/>
      <c r="I43" s="11"/>
      <c r="P43" s="53"/>
      <c r="V43" s="53"/>
      <c r="Y43" s="54"/>
      <c r="Z43" s="54"/>
      <c r="AA43" s="1"/>
      <c r="AC43" s="1"/>
      <c r="AG43" s="1"/>
      <c r="AH43" s="1"/>
      <c r="AI43" s="1"/>
      <c r="AJ43" s="1"/>
      <c r="AK43" s="1"/>
      <c r="AL43" s="1"/>
      <c r="AM43" s="1"/>
      <c r="AN43" s="56"/>
      <c r="AP43" s="1"/>
      <c r="AQ43" s="1"/>
      <c r="AR43" s="1"/>
      <c r="AS43" s="1"/>
      <c r="AT43" s="1"/>
      <c r="AU43" s="1"/>
      <c r="AV43" s="1"/>
      <c r="AW43" s="1"/>
      <c r="AX43" s="1"/>
      <c r="AY43" s="1"/>
      <c r="AZ43" s="1"/>
      <c r="BA43" s="1"/>
      <c r="BB43" s="56"/>
      <c r="BD43" s="1"/>
      <c r="BE43" s="1"/>
      <c r="BF43" s="1"/>
      <c r="BG43" s="1"/>
      <c r="BH43" s="1"/>
      <c r="BI43" s="1"/>
      <c r="BJ43" s="1"/>
      <c r="BK43" s="1"/>
      <c r="BL43" s="1"/>
      <c r="BM43" s="1"/>
      <c r="BN43" s="1"/>
      <c r="BO43" s="1"/>
      <c r="BP43" s="56"/>
      <c r="BR43" s="1"/>
      <c r="BS43" s="1"/>
      <c r="BT43" s="1"/>
      <c r="BU43" s="1"/>
      <c r="BV43" s="1"/>
      <c r="BW43" s="1"/>
      <c r="BX43" s="1"/>
      <c r="BY43" s="1"/>
      <c r="BZ43" s="1"/>
      <c r="CA43" s="1"/>
      <c r="CB43" s="1"/>
      <c r="CC43" s="1"/>
      <c r="CD43" s="56"/>
    </row>
    <row r="44" spans="7:82" x14ac:dyDescent="0.25">
      <c r="G44" s="53"/>
      <c r="H44" s="11"/>
      <c r="I44" s="11"/>
      <c r="P44" s="53"/>
      <c r="V44" s="53"/>
      <c r="Z44" s="1"/>
      <c r="AA44" s="1"/>
      <c r="AB44" s="1"/>
    </row>
    <row r="45" spans="7:82" x14ac:dyDescent="0.25">
      <c r="G45" s="53"/>
      <c r="H45" s="11"/>
      <c r="I45" s="11"/>
      <c r="P45" s="53"/>
      <c r="V45" s="53"/>
      <c r="Z45" s="1"/>
      <c r="AA45" s="1"/>
      <c r="AB45" s="1"/>
    </row>
    <row r="46" spans="7:82" x14ac:dyDescent="0.25">
      <c r="G46" s="53"/>
      <c r="H46" s="11"/>
      <c r="I46" s="11"/>
      <c r="P46" s="53"/>
      <c r="V46" s="53"/>
      <c r="Z46" s="1"/>
      <c r="AA46" s="1"/>
      <c r="AB46" s="1"/>
    </row>
    <row r="47" spans="7:82" x14ac:dyDescent="0.25">
      <c r="G47" s="53"/>
      <c r="H47" s="11"/>
      <c r="I47" s="11"/>
      <c r="P47" s="53"/>
      <c r="V47" s="53"/>
      <c r="Z47" s="1"/>
      <c r="AA47" s="1"/>
      <c r="AB47" s="1"/>
    </row>
    <row r="48" spans="7:82" x14ac:dyDescent="0.25">
      <c r="G48" s="53"/>
      <c r="H48" s="11"/>
      <c r="I48" s="11"/>
      <c r="P48" s="53"/>
      <c r="V48" s="53"/>
      <c r="Z48" s="1"/>
      <c r="AA48" s="1"/>
      <c r="AB48" s="1"/>
    </row>
    <row r="49" spans="7:28" x14ac:dyDescent="0.25">
      <c r="G49" s="53"/>
      <c r="H49" s="11"/>
      <c r="I49" s="11"/>
      <c r="P49" s="53"/>
      <c r="V49" s="53"/>
      <c r="Z49" s="1"/>
      <c r="AA49" s="1"/>
      <c r="AB49" s="1"/>
    </row>
    <row r="50" spans="7:28" x14ac:dyDescent="0.25">
      <c r="G50" s="53"/>
      <c r="H50" s="11"/>
      <c r="I50" s="11"/>
      <c r="P50" s="53"/>
      <c r="V50" s="53"/>
      <c r="X50"/>
      <c r="Z50" s="1"/>
      <c r="AA50" s="1"/>
      <c r="AB50" s="1"/>
    </row>
    <row r="51" spans="7:28" x14ac:dyDescent="0.25">
      <c r="G51" s="53"/>
      <c r="H51" s="11"/>
      <c r="I51" s="11"/>
      <c r="P51" s="53"/>
      <c r="V51" s="53"/>
    </row>
    <row r="52" spans="7:28" x14ac:dyDescent="0.25">
      <c r="G52" s="53"/>
      <c r="H52" s="11"/>
      <c r="I52" s="11"/>
      <c r="P52" s="53"/>
      <c r="V52" s="53"/>
    </row>
    <row r="53" spans="7:28" x14ac:dyDescent="0.25">
      <c r="G53" s="53"/>
      <c r="P53" s="53"/>
      <c r="V53" s="53"/>
      <c r="X53"/>
    </row>
    <row r="54" spans="7:28" x14ac:dyDescent="0.25">
      <c r="G54" s="53"/>
      <c r="P54" s="53"/>
      <c r="V54" s="53"/>
    </row>
    <row r="55" spans="7:28" x14ac:dyDescent="0.25">
      <c r="G55" s="53"/>
      <c r="P55" s="53"/>
      <c r="V55" s="53"/>
    </row>
    <row r="56" spans="7:28" x14ac:dyDescent="0.25">
      <c r="G56" s="53"/>
      <c r="P56" s="53"/>
      <c r="V56" s="53"/>
      <c r="Y56"/>
    </row>
    <row r="57" spans="7:28" x14ac:dyDescent="0.25">
      <c r="G57" s="53"/>
      <c r="P57" s="53"/>
      <c r="V57" s="53"/>
      <c r="Y57"/>
    </row>
    <row r="58" spans="7:28" x14ac:dyDescent="0.25">
      <c r="G58" s="53"/>
      <c r="P58" s="53"/>
      <c r="V58" s="53"/>
      <c r="Y58"/>
    </row>
    <row r="59" spans="7:28" x14ac:dyDescent="0.25">
      <c r="G59" s="53"/>
      <c r="P59" s="53"/>
      <c r="V59" s="53"/>
      <c r="Y59"/>
    </row>
    <row r="60" spans="7:28" x14ac:dyDescent="0.25">
      <c r="G60" s="53"/>
      <c r="P60" s="53"/>
      <c r="V60" s="53"/>
    </row>
    <row r="61" spans="7:28" x14ac:dyDescent="0.25">
      <c r="G61" s="53"/>
      <c r="P61" s="53"/>
      <c r="V61" s="53"/>
    </row>
    <row r="62" spans="7:28" x14ac:dyDescent="0.25">
      <c r="G62" s="53"/>
      <c r="P62" s="53"/>
      <c r="V62" s="53"/>
    </row>
    <row r="63" spans="7:28" x14ac:dyDescent="0.25">
      <c r="G63" s="53"/>
      <c r="P63" s="53"/>
      <c r="V63" s="53"/>
    </row>
    <row r="64" spans="7:28" x14ac:dyDescent="0.25">
      <c r="G64" s="53"/>
      <c r="P64" s="53"/>
      <c r="V64" s="53"/>
    </row>
    <row r="65" spans="7:25" x14ac:dyDescent="0.25">
      <c r="G65" s="53"/>
      <c r="P65" s="53"/>
      <c r="V65" s="53"/>
      <c r="X65"/>
    </row>
    <row r="66" spans="7:25" x14ac:dyDescent="0.25">
      <c r="G66" s="53"/>
      <c r="P66" s="53"/>
      <c r="V66" s="53"/>
    </row>
    <row r="67" spans="7:25" x14ac:dyDescent="0.25">
      <c r="G67" s="53"/>
      <c r="P67" s="53"/>
      <c r="V67" s="53"/>
    </row>
    <row r="68" spans="7:25" x14ac:dyDescent="0.25">
      <c r="G68" s="53"/>
      <c r="P68" s="53"/>
      <c r="V68" s="53"/>
    </row>
    <row r="69" spans="7:25" x14ac:dyDescent="0.25">
      <c r="G69" s="53"/>
      <c r="P69" s="53"/>
      <c r="V69" s="53"/>
    </row>
    <row r="70" spans="7:25" x14ac:dyDescent="0.25">
      <c r="P70" s="53"/>
      <c r="V70" s="53"/>
      <c r="Y70"/>
    </row>
    <row r="71" spans="7:25" x14ac:dyDescent="0.25">
      <c r="P71" s="53"/>
      <c r="V71" s="53"/>
      <c r="Y71"/>
    </row>
    <row r="72" spans="7:25" x14ac:dyDescent="0.25">
      <c r="P72" s="53"/>
      <c r="V72" s="53"/>
      <c r="Y72"/>
    </row>
    <row r="73" spans="7:25" x14ac:dyDescent="0.25">
      <c r="P73" s="53"/>
      <c r="V73" s="53"/>
      <c r="Y73"/>
    </row>
    <row r="74" spans="7:25" x14ac:dyDescent="0.25">
      <c r="P74" s="53"/>
      <c r="V74" s="53"/>
      <c r="Y74"/>
    </row>
    <row r="75" spans="7:25" x14ac:dyDescent="0.25">
      <c r="P75" s="53"/>
      <c r="V75" s="53"/>
      <c r="Y75"/>
    </row>
    <row r="76" spans="7:25" x14ac:dyDescent="0.25">
      <c r="P76" s="53"/>
      <c r="Y76"/>
    </row>
    <row r="77" spans="7:25" x14ac:dyDescent="0.25">
      <c r="P77" s="53"/>
      <c r="Y77"/>
    </row>
    <row r="78" spans="7:25" x14ac:dyDescent="0.25">
      <c r="P78" s="53"/>
      <c r="Y78"/>
    </row>
    <row r="79" spans="7:25" x14ac:dyDescent="0.25">
      <c r="P79" s="53"/>
      <c r="Y79"/>
    </row>
    <row r="80" spans="7:25" x14ac:dyDescent="0.25">
      <c r="P80" s="53"/>
      <c r="Y80"/>
    </row>
    <row r="81" spans="16:25" x14ac:dyDescent="0.25">
      <c r="P81" s="53"/>
      <c r="Y81"/>
    </row>
    <row r="82" spans="16:25" x14ac:dyDescent="0.25">
      <c r="P82" s="53"/>
      <c r="Y82"/>
    </row>
    <row r="83" spans="16:25" x14ac:dyDescent="0.25">
      <c r="P83" s="53"/>
      <c r="Y83"/>
    </row>
    <row r="84" spans="16:25" x14ac:dyDescent="0.25">
      <c r="P84" s="53"/>
      <c r="Y84"/>
    </row>
    <row r="85" spans="16:25" x14ac:dyDescent="0.25">
      <c r="P85" s="53"/>
      <c r="Y85"/>
    </row>
    <row r="86" spans="16:25" x14ac:dyDescent="0.25">
      <c r="P86" s="53"/>
      <c r="Y86"/>
    </row>
    <row r="87" spans="16:25" x14ac:dyDescent="0.25">
      <c r="P87" s="53"/>
      <c r="Y87"/>
    </row>
    <row r="88" spans="16:25" x14ac:dyDescent="0.25">
      <c r="P88" s="53"/>
      <c r="Y88"/>
    </row>
    <row r="89" spans="16:25" x14ac:dyDescent="0.25">
      <c r="P89" s="53"/>
      <c r="Y89"/>
    </row>
    <row r="90" spans="16:25" x14ac:dyDescent="0.25">
      <c r="P90" s="53"/>
      <c r="Y90"/>
    </row>
    <row r="91" spans="16:25" x14ac:dyDescent="0.25">
      <c r="P91" s="53"/>
      <c r="Y91"/>
    </row>
    <row r="92" spans="16:25" x14ac:dyDescent="0.25">
      <c r="P92" s="53"/>
      <c r="Y92"/>
    </row>
    <row r="93" spans="16:25" x14ac:dyDescent="0.25">
      <c r="P93" s="53"/>
      <c r="Y93"/>
    </row>
    <row r="94" spans="16:25" x14ac:dyDescent="0.25">
      <c r="P94" s="53"/>
      <c r="Y94"/>
    </row>
    <row r="95" spans="16:25" x14ac:dyDescent="0.25">
      <c r="P95" s="53"/>
      <c r="Y95"/>
    </row>
    <row r="96" spans="16:25" x14ac:dyDescent="0.25">
      <c r="P96" s="53"/>
      <c r="Y96"/>
    </row>
    <row r="97" spans="16:25" x14ac:dyDescent="0.25">
      <c r="P97" s="53"/>
      <c r="Y97"/>
    </row>
    <row r="98" spans="16:25" x14ac:dyDescent="0.25">
      <c r="P98" s="53"/>
      <c r="Y98"/>
    </row>
    <row r="99" spans="16:25" x14ac:dyDescent="0.25">
      <c r="P99" s="53"/>
      <c r="Y99"/>
    </row>
    <row r="100" spans="16:25" x14ac:dyDescent="0.25">
      <c r="Y100"/>
    </row>
    <row r="101" spans="16:25" x14ac:dyDescent="0.25">
      <c r="Y101"/>
    </row>
    <row r="102" spans="16:25" x14ac:dyDescent="0.25">
      <c r="Y102"/>
    </row>
    <row r="103" spans="16:25" x14ac:dyDescent="0.25">
      <c r="Y103"/>
    </row>
    <row r="104" spans="16:25" x14ac:dyDescent="0.25">
      <c r="Y104"/>
    </row>
    <row r="105" spans="16:25" x14ac:dyDescent="0.25">
      <c r="Y105"/>
    </row>
    <row r="106" spans="16:25" x14ac:dyDescent="0.25">
      <c r="Y106"/>
    </row>
  </sheetData>
  <mergeCells count="3">
    <mergeCell ref="H7:I7"/>
    <mergeCell ref="H8:I8"/>
    <mergeCell ref="H9:I9"/>
  </mergeCells>
  <conditionalFormatting sqref="K26:N27">
    <cfRule type="expression" dxfId="45" priority="5">
      <formula>COUNTIF($K26,2)</formula>
    </cfRule>
  </conditionalFormatting>
  <conditionalFormatting sqref="M20:X25">
    <cfRule type="cellIs" dxfId="44" priority="4" operator="lessThan">
      <formula>0</formula>
    </cfRule>
  </conditionalFormatting>
  <conditionalFormatting sqref="M20:X25">
    <cfRule type="cellIs" dxfId="43" priority="3" operator="equal">
      <formula>0</formula>
    </cfRule>
  </conditionalFormatting>
  <conditionalFormatting sqref="D8">
    <cfRule type="cellIs" dxfId="42" priority="12" operator="lessThan">
      <formula>$D$8</formula>
    </cfRule>
  </conditionalFormatting>
  <conditionalFormatting sqref="M9:X9">
    <cfRule type="containsText" dxfId="41" priority="1" operator="containsText" text="net loss">
      <formula>NOT(ISERROR(SEARCH("net loss",M9)))</formula>
    </cfRule>
    <cfRule type="cellIs" dxfId="40" priority="19" operator="between">
      <formula>$D$6</formula>
      <formula>$D$8</formula>
    </cfRule>
    <cfRule type="cellIs" dxfId="39" priority="20" operator="greaterThan">
      <formula>$D$6</formula>
    </cfRule>
    <cfRule type="cellIs" dxfId="38" priority="21" operator="lessThan">
      <formula>$D$8</formula>
    </cfRule>
  </conditionalFormatting>
  <dataValidations count="4">
    <dataValidation type="list" allowBlank="1" showInputMessage="1" showErrorMessage="1" sqref="M5:Y5" xr:uid="{FA6FE7E5-4436-4C43-A0AD-427D5B8F29D4}">
      <formula1>INDIRECT("BudgetActual")</formula1>
    </dataValidation>
    <dataValidation type="list" allowBlank="1" showInputMessage="1" showErrorMessage="1" sqref="I20:I25" xr:uid="{DA96536F-DA53-46C2-81EC-0809EBEAE2F9}">
      <formula1>list_item_name</formula1>
    </dataValidation>
    <dataValidation type="list" allowBlank="1" showInputMessage="1" showErrorMessage="1" sqref="H20:H25" xr:uid="{049BB3EE-9D19-4527-8ECA-C6A064788B6E}">
      <formula1>list_acct_name</formula1>
    </dataValidation>
    <dataValidation type="list" allowBlank="1" showInputMessage="1" showErrorMessage="1" sqref="C20:C25" xr:uid="{9AE6FBB1-20B9-4268-A69D-7C434ADFCBD5}">
      <formula1>list_src_name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Refresh_Summary">
                <anchor moveWithCells="1" sizeWithCells="1">
                  <from>
                    <xdr:col>1</xdr:col>
                    <xdr:colOff>390525</xdr:colOff>
                    <xdr:row>3</xdr:row>
                    <xdr:rowOff>190500</xdr:rowOff>
                  </from>
                  <to>
                    <xdr:col>1</xdr:col>
                    <xdr:colOff>1609725</xdr:colOff>
                    <xdr:row>5</xdr:row>
                    <xdr:rowOff>161925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49F12-4AB2-4AA8-96E8-963832C9235B}">
  <sheetPr codeName="Sheet3">
    <tabColor theme="7" tint="-0.249977111117893"/>
  </sheetPr>
  <dimension ref="B1:S59"/>
  <sheetViews>
    <sheetView showGridLines="0" zoomScale="115" zoomScaleNormal="115" workbookViewId="0">
      <selection activeCell="V13" sqref="V13"/>
    </sheetView>
  </sheetViews>
  <sheetFormatPr defaultRowHeight="15" outlineLevelCol="1" x14ac:dyDescent="0.25"/>
  <cols>
    <col min="1" max="1" width="3.7109375" customWidth="1"/>
    <col min="2" max="3" width="25.7109375" hidden="1" customWidth="1" outlineLevel="1"/>
    <col min="4" max="4" width="3.7109375" customWidth="1" collapsed="1"/>
    <col min="5" max="5" width="32.140625" hidden="1" customWidth="1" outlineLevel="1"/>
    <col min="6" max="6" width="11.140625" hidden="1" customWidth="1" outlineLevel="1"/>
    <col min="7" max="7" width="7.7109375" hidden="1" customWidth="1" outlineLevel="1"/>
    <col min="8" max="8" width="15.28515625" customWidth="1" collapsed="1"/>
    <col min="9" max="9" width="40.7109375" customWidth="1"/>
    <col min="10" max="10" width="12.7109375" style="11" customWidth="1"/>
    <col min="11" max="11" width="12.85546875" style="11" customWidth="1"/>
    <col min="12" max="13" width="20.7109375" customWidth="1"/>
    <col min="14" max="18" width="20.7109375" hidden="1" customWidth="1" outlineLevel="1"/>
    <col min="19" max="19" width="9.140625" collapsed="1"/>
  </cols>
  <sheetData>
    <row r="1" spans="2:18" s="322" customFormat="1" ht="9" customHeight="1" x14ac:dyDescent="0.25">
      <c r="J1" s="323"/>
      <c r="K1" s="323"/>
    </row>
    <row r="2" spans="2:18" s="322" customFormat="1" ht="96" customHeight="1" x14ac:dyDescent="0.25">
      <c r="H2" s="324"/>
      <c r="I2" s="326" t="s">
        <v>20</v>
      </c>
      <c r="J2" s="323"/>
      <c r="K2" s="323"/>
      <c r="M2" s="325"/>
    </row>
    <row r="3" spans="2:18" ht="6" customHeight="1" x14ac:dyDescent="0.25"/>
    <row r="4" spans="2:18" ht="15.75" x14ac:dyDescent="0.25">
      <c r="B4" t="s">
        <v>70</v>
      </c>
      <c r="C4" t="s">
        <v>95</v>
      </c>
      <c r="H4" s="10"/>
      <c r="I4" s="9"/>
      <c r="J4" s="9"/>
      <c r="K4" s="9"/>
      <c r="L4" s="9"/>
      <c r="M4" s="9"/>
    </row>
    <row r="5" spans="2:18" x14ac:dyDescent="0.25">
      <c r="B5" t="s">
        <v>96</v>
      </c>
      <c r="C5">
        <f>TrialBalance[[#Totals],[Debit Balance]]-TrialBalance[[#Totals],[Credit Balance]]</f>
        <v>-106.49000000000024</v>
      </c>
      <c r="H5" s="49" t="s">
        <v>100</v>
      </c>
      <c r="I5" s="41">
        <f>ROWS(TrialBalance[AccountName])</f>
        <v>51</v>
      </c>
      <c r="J5" s="9"/>
      <c r="K5" s="9"/>
      <c r="L5" s="347" t="s">
        <v>101</v>
      </c>
      <c r="M5" s="347"/>
    </row>
    <row r="6" spans="2:18" ht="15.75" x14ac:dyDescent="0.25">
      <c r="B6" t="s">
        <v>97</v>
      </c>
      <c r="C6">
        <f>TrialBalance[[#Totals],[Credit Balance]]-TrialBalance[[#Totals],[Debit Balance]]</f>
        <v>106.49000000000024</v>
      </c>
      <c r="H6" t="str">
        <f>IF(ROWS(TrialBalance[AccountName])=ROWS(acct_ref[AccountName]),"Correct",ROWS(TrialBalance[AccountName])-ROWS(acct_ref[AccountName]))</f>
        <v>Correct</v>
      </c>
      <c r="L6" t="str" cm="1">
        <f t="array" ref="L6">IFERROR(IF(TrialDebitBalance=0,"",IF(TrialDebitBalance&lt;0,"",IF(TrialDebitBalance&gt;0,TrialDebitBalance,""))),"Error")</f>
        <v/>
      </c>
      <c r="M6" s="21" cm="1">
        <f t="array" ref="M6">IFERROR(IF(TrialCreditBalance=0,"Balanced",IF(TrialCreditBalance&lt;0,"",IF(TrialCreditBalance&gt;0,TrialCreditBalance,""))),"Error")</f>
        <v>106.49000000000024</v>
      </c>
      <c r="N6" s="51" t="s">
        <v>25</v>
      </c>
      <c r="O6" s="47"/>
    </row>
    <row r="7" spans="2:18" x14ac:dyDescent="0.25">
      <c r="H7" t="s">
        <v>39</v>
      </c>
      <c r="I7" t="s">
        <v>10</v>
      </c>
      <c r="J7" s="11" t="s">
        <v>6</v>
      </c>
      <c r="K7" s="11" t="s">
        <v>23</v>
      </c>
      <c r="L7" t="s">
        <v>21</v>
      </c>
      <c r="M7" t="s">
        <v>22</v>
      </c>
      <c r="N7" t="s">
        <v>116</v>
      </c>
      <c r="O7" t="s">
        <v>117</v>
      </c>
      <c r="P7" t="s">
        <v>122</v>
      </c>
      <c r="Q7" t="s">
        <v>121</v>
      </c>
      <c r="R7" t="s">
        <v>123</v>
      </c>
    </row>
    <row r="8" spans="2:18" x14ac:dyDescent="0.25">
      <c r="E8" t="str">
        <f>_xlfn.XLOOKUP($F8,acct_ref[AcctNo],acct_ref[AccountName],"missing",0)</f>
        <v>Cash</v>
      </c>
      <c r="F8" cm="1">
        <f t="array" ref="F8:F58">_xlfn._xlws.SORT(_xlfn.UNIQUE(acct_ref[AcctNo]))</f>
        <v>1001</v>
      </c>
      <c r="G8">
        <f>IF(E8=TrialBalance[[#This Row],[AccountName]],1,0)</f>
        <v>1</v>
      </c>
      <c r="H8" t="str">
        <f>_xlfn.XLOOKUP(TrialBalance[[#This Row],[AccountName]],acct_ref[AccountName],acct_ref[AcctType],"Missing",0)</f>
        <v>Asset</v>
      </c>
      <c r="I8" t="str">
        <f>_xlfn.XLOOKUP(TrialBalance[[#This Row],[AcctNo]],acct_ref[AcctNo],acct_ref[AccountName],"Error/Missing Info",0)</f>
        <v>Cash</v>
      </c>
      <c r="J8" s="11">
        <v>1001</v>
      </c>
      <c r="K8" s="11">
        <f>_xlfn.XLOOKUP(TrialBalance[[#This Row],[AcctNo]],acct_ref[AcctNo],acct_ref[BalanceID],"",0)</f>
        <v>1</v>
      </c>
      <c r="L8">
        <f>IF(TrialBalance[[#This Row],[BalanceType]]=1,_xlfn.XLOOKUP(TrialBalance[[#This Row],[AcctNo]],BalanceRef[AccountNo.],BalanceRef[Balance]),"")</f>
        <v>45</v>
      </c>
      <c r="M8" t="str">
        <f>IF(TrialBalance[[#This Row],[BalanceType]]=2,_xlfn.XLOOKUP(TrialBalance[[#This Row],[AcctNo]],BalanceRef[AccountNo.],BalanceRef[Balance]),"")</f>
        <v/>
      </c>
    </row>
    <row r="9" spans="2:18" x14ac:dyDescent="0.25">
      <c r="E9" t="str">
        <f>_xlfn.XLOOKUP($F9,acct_ref[AcctNo],acct_ref[AccountName],"missing",0)</f>
        <v>Chequing Account</v>
      </c>
      <c r="F9">
        <v>1002</v>
      </c>
      <c r="G9">
        <f>IF(E9=TrialBalance[[#This Row],[AccountName]],1,0)</f>
        <v>1</v>
      </c>
      <c r="H9" t="str">
        <f>_xlfn.XLOOKUP(TrialBalance[[#This Row],[AccountName]],acct_ref[AccountName],acct_ref[AcctType],"Missing",0)</f>
        <v>Asset</v>
      </c>
      <c r="I9" t="str">
        <f>_xlfn.XLOOKUP(TrialBalance[[#This Row],[AcctNo]],acct_ref[AcctNo],acct_ref[AccountName],"Error/Missing Info",0)</f>
        <v>Chequing Account</v>
      </c>
      <c r="J9" s="11">
        <v>1002</v>
      </c>
      <c r="K9" s="11">
        <f>_xlfn.XLOOKUP(TrialBalance[[#This Row],[AcctNo]],acct_ref[AcctNo],acct_ref[BalanceID],"",0)</f>
        <v>1</v>
      </c>
      <c r="L9">
        <f>IF(TrialBalance[[#This Row],[BalanceType]]=1,_xlfn.XLOOKUP(TrialBalance[[#This Row],[AcctNo]],BalanceRef[AccountNo.],BalanceRef[Balance]),"")</f>
        <v>45.99</v>
      </c>
      <c r="M9" t="str">
        <f>IF(TrialBalance[[#This Row],[BalanceType]]=2,_xlfn.XLOOKUP(TrialBalance[[#This Row],[AcctNo]],BalanceRef[AccountNo.],BalanceRef[Balance]),"")</f>
        <v/>
      </c>
    </row>
    <row r="10" spans="2:18" x14ac:dyDescent="0.25">
      <c r="E10" t="str">
        <f>_xlfn.XLOOKUP($F10,acct_ref[AcctNo],acct_ref[AccountName],"missing",0)</f>
        <v>Savings Account</v>
      </c>
      <c r="F10">
        <v>1003</v>
      </c>
      <c r="G10">
        <f>IF(E10=TrialBalance[[#This Row],[AccountName]],1,0)</f>
        <v>1</v>
      </c>
      <c r="H10" t="str">
        <f>_xlfn.XLOOKUP(TrialBalance[[#This Row],[AccountName]],acct_ref[AccountName],acct_ref[AcctType],"Missing",0)</f>
        <v>Asset</v>
      </c>
      <c r="I10" t="str">
        <f>_xlfn.XLOOKUP(TrialBalance[[#This Row],[AcctNo]],acct_ref[AcctNo],acct_ref[AccountName],"Error/Missing Info",0)</f>
        <v>Savings Account</v>
      </c>
      <c r="J10" s="11">
        <v>1003</v>
      </c>
      <c r="K10" s="11">
        <f>_xlfn.XLOOKUP(TrialBalance[[#This Row],[AcctNo]],acct_ref[AcctNo],acct_ref[BalanceID],"",0)</f>
        <v>1</v>
      </c>
      <c r="L10">
        <f>IF(TrialBalance[[#This Row],[BalanceType]]=1,_xlfn.XLOOKUP(TrialBalance[[#This Row],[AcctNo]],BalanceRef[AccountNo.],BalanceRef[Balance]),"")</f>
        <v>500</v>
      </c>
      <c r="M10" t="str">
        <f>IF(TrialBalance[[#This Row],[BalanceType]]=2,_xlfn.XLOOKUP(TrialBalance[[#This Row],[AcctNo]],BalanceRef[AccountNo.],BalanceRef[Balance]),"")</f>
        <v/>
      </c>
    </row>
    <row r="11" spans="2:18" x14ac:dyDescent="0.25">
      <c r="E11" t="str">
        <f>_xlfn.XLOOKUP($F11,acct_ref[AcctNo],acct_ref[AccountName],"missing",0)</f>
        <v>Accounts Receiveable- Personal</v>
      </c>
      <c r="F11">
        <v>1004</v>
      </c>
      <c r="G11">
        <f>IF(E11=TrialBalance[[#This Row],[AccountName]],1,0)</f>
        <v>1</v>
      </c>
      <c r="H11" t="str">
        <f>_xlfn.XLOOKUP(TrialBalance[[#This Row],[AccountName]],acct_ref[AccountName],acct_ref[AcctType],"Missing",0)</f>
        <v>Asset</v>
      </c>
      <c r="I11" t="str">
        <f>_xlfn.XLOOKUP(TrialBalance[[#This Row],[AcctNo]],acct_ref[AcctNo],acct_ref[AccountName],"Error/Missing Info",0)</f>
        <v>Accounts Receiveable- Personal</v>
      </c>
      <c r="J11" s="11">
        <v>1004</v>
      </c>
      <c r="K11" s="11">
        <f>_xlfn.XLOOKUP(TrialBalance[[#This Row],[AcctNo]],acct_ref[AcctNo],acct_ref[BalanceID],"",0)</f>
        <v>1</v>
      </c>
      <c r="L11">
        <f>IF(TrialBalance[[#This Row],[BalanceType]]=1,_xlfn.XLOOKUP(TrialBalance[[#This Row],[AcctNo]],BalanceRef[AccountNo.],BalanceRef[Balance]),"")</f>
        <v>0</v>
      </c>
      <c r="M11" t="str">
        <f>IF(TrialBalance[[#This Row],[BalanceType]]=2,_xlfn.XLOOKUP(TrialBalance[[#This Row],[AcctNo]],BalanceRef[AccountNo.],BalanceRef[Balance]),"")</f>
        <v/>
      </c>
    </row>
    <row r="12" spans="2:18" x14ac:dyDescent="0.25">
      <c r="E12" t="str">
        <f>_xlfn.XLOOKUP($F12,acct_ref[AcctNo],acct_ref[AccountName],"missing",0)</f>
        <v>Salary Over/Under</v>
      </c>
      <c r="F12">
        <v>1005</v>
      </c>
      <c r="G12">
        <f>IF(E12=TrialBalance[[#This Row],[AccountName]],1,0)</f>
        <v>1</v>
      </c>
      <c r="H12" t="str">
        <f>_xlfn.XLOOKUP(TrialBalance[[#This Row],[AccountName]],acct_ref[AccountName],acct_ref[AcctType],"Missing",0)</f>
        <v>Asset</v>
      </c>
      <c r="I12" t="str">
        <f>_xlfn.XLOOKUP(TrialBalance[[#This Row],[AcctNo]],acct_ref[AcctNo],acct_ref[AccountName],"Error/Missing Info",0)</f>
        <v>Salary Over/Under</v>
      </c>
      <c r="J12" s="11">
        <v>1005</v>
      </c>
      <c r="K12" s="11">
        <f>_xlfn.XLOOKUP(TrialBalance[[#This Row],[AcctNo]],acct_ref[AcctNo],acct_ref[BalanceID],"",0)</f>
        <v>1</v>
      </c>
      <c r="L12">
        <f>IF(TrialBalance[[#This Row],[BalanceType]]=1,_xlfn.XLOOKUP(TrialBalance[[#This Row],[AcctNo]],BalanceRef[AccountNo.],BalanceRef[Balance]),"")</f>
        <v>0</v>
      </c>
      <c r="M12" t="str">
        <f>IF(TrialBalance[[#This Row],[BalanceType]]=2,_xlfn.XLOOKUP(TrialBalance[[#This Row],[AcctNo]],BalanceRef[AccountNo.],BalanceRef[Balance]),"")</f>
        <v/>
      </c>
    </row>
    <row r="13" spans="2:18" x14ac:dyDescent="0.25">
      <c r="E13" t="str">
        <f>_xlfn.XLOOKUP($F13,acct_ref[AcctNo],acct_ref[AccountName],"missing",0)</f>
        <v>Gift Card - Amazon</v>
      </c>
      <c r="F13">
        <v>1006</v>
      </c>
      <c r="G13">
        <f>IF(E13=TrialBalance[[#This Row],[AccountName]],1,0)</f>
        <v>1</v>
      </c>
      <c r="H13" t="str">
        <f>_xlfn.XLOOKUP(TrialBalance[[#This Row],[AccountName]],acct_ref[AccountName],acct_ref[AcctType],"Missing",0)</f>
        <v>Asset</v>
      </c>
      <c r="I13" t="str">
        <f>_xlfn.XLOOKUP(TrialBalance[[#This Row],[AcctNo]],acct_ref[AcctNo],acct_ref[AccountName],"Error/Missing Info",0)</f>
        <v>Gift Card - Amazon</v>
      </c>
      <c r="J13" s="11">
        <v>1006</v>
      </c>
      <c r="K13" s="11">
        <f>_xlfn.XLOOKUP(TrialBalance[[#This Row],[AcctNo]],acct_ref[AcctNo],acct_ref[BalanceID],"",0)</f>
        <v>1</v>
      </c>
      <c r="L13">
        <f>IF(TrialBalance[[#This Row],[BalanceType]]=1,_xlfn.XLOOKUP(TrialBalance[[#This Row],[AcctNo]],BalanceRef[AccountNo.],BalanceRef[Balance]),"")</f>
        <v>0</v>
      </c>
      <c r="M13" t="str">
        <f>IF(TrialBalance[[#This Row],[BalanceType]]=2,_xlfn.XLOOKUP(TrialBalance[[#This Row],[AcctNo]],BalanceRef[AccountNo.],BalanceRef[Balance]),"")</f>
        <v/>
      </c>
    </row>
    <row r="14" spans="2:18" x14ac:dyDescent="0.25">
      <c r="E14" t="str">
        <f>_xlfn.XLOOKUP($F14,acct_ref[AcctNo],acct_ref[AccountName],"missing",0)</f>
        <v>Home</v>
      </c>
      <c r="F14">
        <v>1007</v>
      </c>
      <c r="G14">
        <f>IF(E14=TrialBalance[[#This Row],[AccountName]],1,0)</f>
        <v>1</v>
      </c>
      <c r="H14" t="str">
        <f>_xlfn.XLOOKUP(TrialBalance[[#This Row],[AccountName]],acct_ref[AccountName],acct_ref[AcctType],"Missing",0)</f>
        <v>Asset</v>
      </c>
      <c r="I14" t="str">
        <f>_xlfn.XLOOKUP(TrialBalance[[#This Row],[AcctNo]],acct_ref[AcctNo],acct_ref[AccountName],"Error/Missing Info",0)</f>
        <v>Home</v>
      </c>
      <c r="J14" s="11">
        <v>1007</v>
      </c>
      <c r="K14" s="11">
        <f>_xlfn.XLOOKUP(TrialBalance[[#This Row],[AcctNo]],acct_ref[AcctNo],acct_ref[BalanceID],"",0)</f>
        <v>1</v>
      </c>
      <c r="L14">
        <f>IF(TrialBalance[[#This Row],[BalanceType]]=1,_xlfn.XLOOKUP(TrialBalance[[#This Row],[AcctNo]],BalanceRef[AccountNo.],BalanceRef[Balance]),"")</f>
        <v>0</v>
      </c>
      <c r="M14" t="str">
        <f>IF(TrialBalance[[#This Row],[BalanceType]]=2,_xlfn.XLOOKUP(TrialBalance[[#This Row],[AcctNo]],BalanceRef[AccountNo.],BalanceRef[Balance]),"")</f>
        <v/>
      </c>
    </row>
    <row r="15" spans="2:18" x14ac:dyDescent="0.25">
      <c r="E15" t="str">
        <f>_xlfn.XLOOKUP($F15,acct_ref[AcctNo],acct_ref[AccountName],"missing",0)</f>
        <v>Asset - Computer</v>
      </c>
      <c r="F15">
        <v>1008</v>
      </c>
      <c r="G15">
        <f>IF(E15=TrialBalance[[#This Row],[AccountName]],1,0)</f>
        <v>1</v>
      </c>
      <c r="H15" t="str">
        <f>_xlfn.XLOOKUP(TrialBalance[[#This Row],[AccountName]],acct_ref[AccountName],acct_ref[AcctType],"Missing",0)</f>
        <v>Asset</v>
      </c>
      <c r="I15" t="str">
        <f>_xlfn.XLOOKUP(TrialBalance[[#This Row],[AcctNo]],acct_ref[AcctNo],acct_ref[AccountName],"Error/Missing Info",0)</f>
        <v>Asset - Computer</v>
      </c>
      <c r="J15" s="11">
        <v>1008</v>
      </c>
      <c r="K15" s="11">
        <f>_xlfn.XLOOKUP(TrialBalance[[#This Row],[AcctNo]],acct_ref[AcctNo],acct_ref[BalanceID],"",0)</f>
        <v>1</v>
      </c>
      <c r="L15">
        <f>IF(TrialBalance[[#This Row],[BalanceType]]=1,_xlfn.XLOOKUP(TrialBalance[[#This Row],[AcctNo]],BalanceRef[AccountNo.],BalanceRef[Balance]),"")</f>
        <v>0</v>
      </c>
      <c r="M15" t="str">
        <f>IF(TrialBalance[[#This Row],[BalanceType]]=2,_xlfn.XLOOKUP(TrialBalance[[#This Row],[AcctNo]],BalanceRef[AccountNo.],BalanceRef[Balance]),"")</f>
        <v/>
      </c>
    </row>
    <row r="16" spans="2:18" x14ac:dyDescent="0.25">
      <c r="E16" t="str">
        <f>_xlfn.XLOOKUP($F16,acct_ref[AcctNo],acct_ref[AccountName],"missing",0)</f>
        <v>Asset - Office</v>
      </c>
      <c r="F16">
        <v>1009</v>
      </c>
      <c r="G16">
        <f>IF(E16=TrialBalance[[#This Row],[AccountName]],1,0)</f>
        <v>1</v>
      </c>
      <c r="H16" t="str">
        <f>_xlfn.XLOOKUP(TrialBalance[[#This Row],[AccountName]],acct_ref[AccountName],acct_ref[AcctType],"Missing",0)</f>
        <v>Asset</v>
      </c>
      <c r="I16" t="str">
        <f>_xlfn.XLOOKUP(TrialBalance[[#This Row],[AcctNo]],acct_ref[AcctNo],acct_ref[AccountName],"Error/Missing Info",0)</f>
        <v>Asset - Office</v>
      </c>
      <c r="J16" s="11">
        <v>1009</v>
      </c>
      <c r="K16" s="11">
        <f>_xlfn.XLOOKUP(TrialBalance[[#This Row],[AcctNo]],acct_ref[AcctNo],acct_ref[BalanceID],"",0)</f>
        <v>1</v>
      </c>
      <c r="L16">
        <f>IF(TrialBalance[[#This Row],[BalanceType]]=1,_xlfn.XLOOKUP(TrialBalance[[#This Row],[AcctNo]],BalanceRef[AccountNo.],BalanceRef[Balance]),"")</f>
        <v>0</v>
      </c>
      <c r="M16" t="str">
        <f>IF(TrialBalance[[#This Row],[BalanceType]]=2,_xlfn.XLOOKUP(TrialBalance[[#This Row],[AcctNo]],BalanceRef[AccountNo.],BalanceRef[Balance]),"")</f>
        <v/>
      </c>
    </row>
    <row r="17" spans="5:13" x14ac:dyDescent="0.25">
      <c r="E17" t="str">
        <f>_xlfn.XLOOKUP($F17,acct_ref[AcctNo],acct_ref[AccountName],"missing",0)</f>
        <v>Asset - Shop Tools</v>
      </c>
      <c r="F17">
        <v>1010</v>
      </c>
      <c r="G17">
        <f>IF(E17=TrialBalance[[#This Row],[AccountName]],1,0)</f>
        <v>1</v>
      </c>
      <c r="H17" t="str">
        <f>_xlfn.XLOOKUP(TrialBalance[[#This Row],[AccountName]],acct_ref[AccountName],acct_ref[AcctType],"Missing",0)</f>
        <v>Asset</v>
      </c>
      <c r="I17" t="str">
        <f>_xlfn.XLOOKUP(TrialBalance[[#This Row],[AcctNo]],acct_ref[AcctNo],acct_ref[AccountName],"Error/Missing Info",0)</f>
        <v>Asset - Shop Tools</v>
      </c>
      <c r="J17" s="11">
        <v>1010</v>
      </c>
      <c r="K17" s="11">
        <f>_xlfn.XLOOKUP(TrialBalance[[#This Row],[AcctNo]],acct_ref[AcctNo],acct_ref[BalanceID],"",0)</f>
        <v>1</v>
      </c>
      <c r="L17">
        <f>IF(TrialBalance[[#This Row],[BalanceType]]=1,_xlfn.XLOOKUP(TrialBalance[[#This Row],[AcctNo]],BalanceRef[AccountNo.],BalanceRef[Balance]),"")</f>
        <v>0</v>
      </c>
      <c r="M17" t="str">
        <f>IF(TrialBalance[[#This Row],[BalanceType]]=2,_xlfn.XLOOKUP(TrialBalance[[#This Row],[AcctNo]],BalanceRef[AccountNo.],BalanceRef[Balance]),"")</f>
        <v/>
      </c>
    </row>
    <row r="18" spans="5:13" x14ac:dyDescent="0.25">
      <c r="E18" t="str">
        <f>_xlfn.XLOOKUP($F18,acct_ref[AcctNo],acct_ref[AccountName],"missing",0)</f>
        <v>Prepaid Expense - Life Insurance</v>
      </c>
      <c r="F18">
        <v>1011</v>
      </c>
      <c r="G18">
        <f>IF(E18=TrialBalance[[#This Row],[AccountName]],1,0)</f>
        <v>1</v>
      </c>
      <c r="H18" t="str">
        <f>_xlfn.XLOOKUP(TrialBalance[[#This Row],[AccountName]],acct_ref[AccountName],acct_ref[AcctType],"Missing",0)</f>
        <v>Asset</v>
      </c>
      <c r="I18" t="str">
        <f>_xlfn.XLOOKUP(TrialBalance[[#This Row],[AcctNo]],acct_ref[AcctNo],acct_ref[AccountName],"Error/Missing Info",0)</f>
        <v>Prepaid Expense - Life Insurance</v>
      </c>
      <c r="J18" s="11">
        <v>1011</v>
      </c>
      <c r="K18" s="11">
        <f>_xlfn.XLOOKUP(TrialBalance[[#This Row],[AcctNo]],acct_ref[AcctNo],acct_ref[BalanceID],"",0)</f>
        <v>1</v>
      </c>
      <c r="L18">
        <f>IF(TrialBalance[[#This Row],[BalanceType]]=1,_xlfn.XLOOKUP(TrialBalance[[#This Row],[AcctNo]],BalanceRef[AccountNo.],BalanceRef[Balance]),"")</f>
        <v>0</v>
      </c>
      <c r="M18" t="str">
        <f>IF(TrialBalance[[#This Row],[BalanceType]]=2,_xlfn.XLOOKUP(TrialBalance[[#This Row],[AcctNo]],BalanceRef[AccountNo.],BalanceRef[Balance]),"")</f>
        <v/>
      </c>
    </row>
    <row r="19" spans="5:13" x14ac:dyDescent="0.25">
      <c r="E19" t="str">
        <f>_xlfn.XLOOKUP($F19,acct_ref[AcctNo],acct_ref[AccountName],"missing",0)</f>
        <v>Prepaid Expense - Self-Care</v>
      </c>
      <c r="F19">
        <v>1012</v>
      </c>
      <c r="G19">
        <f>IF(E19=TrialBalance[[#This Row],[AccountName]],1,0)</f>
        <v>1</v>
      </c>
      <c r="H19" t="str">
        <f>_xlfn.XLOOKUP(TrialBalance[[#This Row],[AccountName]],acct_ref[AccountName],acct_ref[AcctType],"Missing",0)</f>
        <v>Asset</v>
      </c>
      <c r="I19" t="str">
        <f>_xlfn.XLOOKUP(TrialBalance[[#This Row],[AcctNo]],acct_ref[AcctNo],acct_ref[AccountName],"Error/Missing Info",0)</f>
        <v>Prepaid Expense - Self-Care</v>
      </c>
      <c r="J19" s="11">
        <v>1012</v>
      </c>
      <c r="K19" s="11">
        <f>_xlfn.XLOOKUP(TrialBalance[[#This Row],[AcctNo]],acct_ref[AcctNo],acct_ref[BalanceID],"",0)</f>
        <v>1</v>
      </c>
      <c r="L19">
        <f>IF(TrialBalance[[#This Row],[BalanceType]]=1,_xlfn.XLOOKUP(TrialBalance[[#This Row],[AcctNo]],BalanceRef[AccountNo.],BalanceRef[Balance]),"")</f>
        <v>0</v>
      </c>
      <c r="M19" t="str">
        <f>IF(TrialBalance[[#This Row],[BalanceType]]=2,_xlfn.XLOOKUP(TrialBalance[[#This Row],[AcctNo]],BalanceRef[AccountNo.],BalanceRef[Balance]),"")</f>
        <v/>
      </c>
    </row>
    <row r="20" spans="5:13" x14ac:dyDescent="0.25">
      <c r="E20" t="str">
        <f>_xlfn.XLOOKUP($F20,acct_ref[AcctNo],acct_ref[AccountName],"missing",0)</f>
        <v xml:space="preserve">Prepaid Expense - Office </v>
      </c>
      <c r="F20">
        <v>1013</v>
      </c>
      <c r="G20">
        <f>IF(E20=TrialBalance[[#This Row],[AccountName]],1,0)</f>
        <v>1</v>
      </c>
      <c r="H20" t="str">
        <f>_xlfn.XLOOKUP(TrialBalance[[#This Row],[AccountName]],acct_ref[AccountName],acct_ref[AcctType],"Missing",0)</f>
        <v>Asset</v>
      </c>
      <c r="I20" t="str">
        <f>_xlfn.XLOOKUP(TrialBalance[[#This Row],[AcctNo]],acct_ref[AcctNo],acct_ref[AccountName],"Error/Missing Info",0)</f>
        <v xml:space="preserve">Prepaid Expense - Office </v>
      </c>
      <c r="J20" s="11">
        <v>1013</v>
      </c>
      <c r="K20" s="11">
        <f>_xlfn.XLOOKUP(TrialBalance[[#This Row],[AcctNo]],acct_ref[AcctNo],acct_ref[BalanceID],"",0)</f>
        <v>1</v>
      </c>
      <c r="L20">
        <f>IF(TrialBalance[[#This Row],[BalanceType]]=1,_xlfn.XLOOKUP(TrialBalance[[#This Row],[AcctNo]],BalanceRef[AccountNo.],BalanceRef[Balance]),"")</f>
        <v>0</v>
      </c>
      <c r="M20" t="str">
        <f>IF(TrialBalance[[#This Row],[BalanceType]]=2,_xlfn.XLOOKUP(TrialBalance[[#This Row],[AcctNo]],BalanceRef[AccountNo.],BalanceRef[Balance]),"")</f>
        <v/>
      </c>
    </row>
    <row r="21" spans="5:13" x14ac:dyDescent="0.25">
      <c r="E21" t="str">
        <f>_xlfn.XLOOKUP($F21,acct_ref[AcctNo],acct_ref[AccountName],"missing",0)</f>
        <v>Prepaid Expense - Transportation</v>
      </c>
      <c r="F21">
        <v>1014</v>
      </c>
      <c r="G21">
        <f>IF(E21=TrialBalance[[#This Row],[AccountName]],1,0)</f>
        <v>1</v>
      </c>
      <c r="H21" t="str">
        <f>_xlfn.XLOOKUP(TrialBalance[[#This Row],[AccountName]],acct_ref[AccountName],acct_ref[AcctType],"Missing",0)</f>
        <v>Asset</v>
      </c>
      <c r="I21" t="str">
        <f>_xlfn.XLOOKUP(TrialBalance[[#This Row],[AcctNo]],acct_ref[AcctNo],acct_ref[AccountName],"Error/Missing Info",0)</f>
        <v>Prepaid Expense - Transportation</v>
      </c>
      <c r="J21" s="11">
        <v>1014</v>
      </c>
      <c r="K21" s="11">
        <f>_xlfn.XLOOKUP(TrialBalance[[#This Row],[AcctNo]],acct_ref[AcctNo],acct_ref[BalanceID],"",0)</f>
        <v>1</v>
      </c>
      <c r="L21">
        <f>IF(TrialBalance[[#This Row],[BalanceType]]=1,_xlfn.XLOOKUP(TrialBalance[[#This Row],[AcctNo]],BalanceRef[AccountNo.],BalanceRef[Balance]),"")</f>
        <v>0</v>
      </c>
      <c r="M21" t="str">
        <f>IF(TrialBalance[[#This Row],[BalanceType]]=2,_xlfn.XLOOKUP(TrialBalance[[#This Row],[AcctNo]],BalanceRef[AccountNo.],BalanceRef[Balance]),"")</f>
        <v/>
      </c>
    </row>
    <row r="22" spans="5:13" x14ac:dyDescent="0.25">
      <c r="E22" t="str">
        <f>_xlfn.XLOOKUP($F22,acct_ref[AcctNo],acct_ref[AccountName],"missing",0)</f>
        <v>RRSP</v>
      </c>
      <c r="F22">
        <v>1015</v>
      </c>
      <c r="G22">
        <f>IF(E22=TrialBalance[[#This Row],[AccountName]],1,0)</f>
        <v>1</v>
      </c>
      <c r="H22" t="str">
        <f>_xlfn.XLOOKUP(TrialBalance[[#This Row],[AccountName]],acct_ref[AccountName],acct_ref[AcctType],"Missing",0)</f>
        <v>Asset</v>
      </c>
      <c r="I22" t="str">
        <f>_xlfn.XLOOKUP(TrialBalance[[#This Row],[AcctNo]],acct_ref[AcctNo],acct_ref[AccountName],"Error/Missing Info",0)</f>
        <v>RRSP</v>
      </c>
      <c r="J22" s="11">
        <v>1015</v>
      </c>
      <c r="K22" s="11">
        <f>_xlfn.XLOOKUP(TrialBalance[[#This Row],[AcctNo]],acct_ref[AcctNo],acct_ref[BalanceID],"",0)</f>
        <v>1</v>
      </c>
      <c r="L22">
        <f>IF(TrialBalance[[#This Row],[BalanceType]]=1,_xlfn.XLOOKUP(TrialBalance[[#This Row],[AcctNo]],BalanceRef[AccountNo.],BalanceRef[Balance]),"")</f>
        <v>0</v>
      </c>
      <c r="M22" t="str">
        <f>IF(TrialBalance[[#This Row],[BalanceType]]=2,_xlfn.XLOOKUP(TrialBalance[[#This Row],[AcctNo]],BalanceRef[AccountNo.],BalanceRef[Balance]),"")</f>
        <v/>
      </c>
    </row>
    <row r="23" spans="5:13" x14ac:dyDescent="0.25">
      <c r="E23" t="str">
        <f>_xlfn.XLOOKUP($F23,acct_ref[AcctNo],acct_ref[AccountName],"missing",0)</f>
        <v>TFSA Investia</v>
      </c>
      <c r="F23">
        <v>1016</v>
      </c>
      <c r="G23">
        <f>IF(E23=TrialBalance[[#This Row],[AccountName]],1,0)</f>
        <v>1</v>
      </c>
      <c r="H23" t="str">
        <f>_xlfn.XLOOKUP(TrialBalance[[#This Row],[AccountName]],acct_ref[AccountName],acct_ref[AcctType],"Missing",0)</f>
        <v>Asset</v>
      </c>
      <c r="I23" t="str">
        <f>_xlfn.XLOOKUP(TrialBalance[[#This Row],[AcctNo]],acct_ref[AcctNo],acct_ref[AccountName],"Error/Missing Info",0)</f>
        <v>TFSA Investia</v>
      </c>
      <c r="J23" s="11">
        <v>1016</v>
      </c>
      <c r="K23" s="11">
        <f>_xlfn.XLOOKUP(TrialBalance[[#This Row],[AcctNo]],acct_ref[AcctNo],acct_ref[BalanceID],"",0)</f>
        <v>1</v>
      </c>
      <c r="L23">
        <f>IF(TrialBalance[[#This Row],[BalanceType]]=1,_xlfn.XLOOKUP(TrialBalance[[#This Row],[AcctNo]],BalanceRef[AccountNo.],BalanceRef[Balance]),"")</f>
        <v>0</v>
      </c>
      <c r="M23" t="str">
        <f>IF(TrialBalance[[#This Row],[BalanceType]]=2,_xlfn.XLOOKUP(TrialBalance[[#This Row],[AcctNo]],BalanceRef[AccountNo.],BalanceRef[Balance]),"")</f>
        <v/>
      </c>
    </row>
    <row r="24" spans="5:13" x14ac:dyDescent="0.25">
      <c r="E24" t="str">
        <f>_xlfn.XLOOKUP($F24,acct_ref[AcctNo],acct_ref[AccountName],"missing",0)</f>
        <v>Prepaid Expense - Rent</v>
      </c>
      <c r="F24">
        <v>1017</v>
      </c>
      <c r="G24">
        <f>IF(E24=TrialBalance[[#This Row],[AccountName]],1,0)</f>
        <v>1</v>
      </c>
      <c r="H24" t="str">
        <f>_xlfn.XLOOKUP(TrialBalance[[#This Row],[AccountName]],acct_ref[AccountName],acct_ref[AcctType],"Missing",0)</f>
        <v>Asset</v>
      </c>
      <c r="I24" t="str">
        <f>_xlfn.XLOOKUP(TrialBalance[[#This Row],[AcctNo]],acct_ref[AcctNo],acct_ref[AccountName],"Error/Missing Info",0)</f>
        <v>Prepaid Expense - Rent</v>
      </c>
      <c r="J24" s="11">
        <v>1017</v>
      </c>
      <c r="K24" s="11">
        <f>_xlfn.XLOOKUP(TrialBalance[[#This Row],[AcctNo]],acct_ref[AcctNo],acct_ref[BalanceID],"",0)</f>
        <v>1</v>
      </c>
      <c r="L24">
        <f>IF(TrialBalance[[#This Row],[BalanceType]]=1,_xlfn.XLOOKUP(TrialBalance[[#This Row],[AcctNo]],BalanceRef[AccountNo.],BalanceRef[Balance]),"")</f>
        <v>0</v>
      </c>
      <c r="M24" t="str">
        <f>IF(TrialBalance[[#This Row],[BalanceType]]=2,_xlfn.XLOOKUP(TrialBalance[[#This Row],[AcctNo]],BalanceRef[AccountNo.],BalanceRef[Balance]),"")</f>
        <v/>
      </c>
    </row>
    <row r="25" spans="5:13" x14ac:dyDescent="0.25">
      <c r="E25" t="str">
        <f>_xlfn.XLOOKUP($F25,acct_ref[AcctNo],acct_ref[AccountName],"missing",0)</f>
        <v>Account Payable - CC 8524</v>
      </c>
      <c r="F25">
        <v>2001</v>
      </c>
      <c r="G25">
        <f>IF(E25=TrialBalance[[#This Row],[AccountName]],1,0)</f>
        <v>1</v>
      </c>
      <c r="H25" t="str">
        <f>_xlfn.XLOOKUP(TrialBalance[[#This Row],[AccountName]],acct_ref[AccountName],acct_ref[AcctType],"Missing",0)</f>
        <v>Liability</v>
      </c>
      <c r="I25" t="str">
        <f>_xlfn.XLOOKUP(TrialBalance[[#This Row],[AcctNo]],acct_ref[AcctNo],acct_ref[AccountName],"Error/Missing Info",0)</f>
        <v>Account Payable - CC 8524</v>
      </c>
      <c r="J25" s="11">
        <v>2001</v>
      </c>
      <c r="K25" s="11">
        <f>_xlfn.XLOOKUP(TrialBalance[[#This Row],[AcctNo]],acct_ref[AcctNo],acct_ref[BalanceID],"",0)</f>
        <v>2</v>
      </c>
      <c r="L25" t="str">
        <f>IF(TrialBalance[[#This Row],[BalanceType]]=1,_xlfn.XLOOKUP(TrialBalance[[#This Row],[AcctNo]],BalanceRef[AccountNo.],BalanceRef[Balance]),"")</f>
        <v/>
      </c>
      <c r="M25">
        <f>IF(TrialBalance[[#This Row],[BalanceType]]=2,_xlfn.XLOOKUP(TrialBalance[[#This Row],[AcctNo]],BalanceRef[AccountNo.],BalanceRef[Balance]),"")</f>
        <v>0</v>
      </c>
    </row>
    <row r="26" spans="5:13" x14ac:dyDescent="0.25">
      <c r="E26" t="str">
        <f>_xlfn.XLOOKUP($F26,acct_ref[AcctNo],acct_ref[AccountName],"missing",0)</f>
        <v>Account Payable - CC 1739</v>
      </c>
      <c r="F26">
        <v>2002</v>
      </c>
      <c r="G26">
        <f>IF(E26=TrialBalance[[#This Row],[AccountName]],1,0)</f>
        <v>1</v>
      </c>
      <c r="H26" t="str">
        <f>_xlfn.XLOOKUP(TrialBalance[[#This Row],[AccountName]],acct_ref[AccountName],acct_ref[AcctType],"Missing",0)</f>
        <v>Liability</v>
      </c>
      <c r="I26" t="str">
        <f>_xlfn.XLOOKUP(TrialBalance[[#This Row],[AcctNo]],acct_ref[AcctNo],acct_ref[AccountName],"Error/Missing Info",0)</f>
        <v>Account Payable - CC 1739</v>
      </c>
      <c r="J26" s="11">
        <v>2002</v>
      </c>
      <c r="K26" s="11">
        <f>_xlfn.XLOOKUP(TrialBalance[[#This Row],[AcctNo]],acct_ref[AcctNo],acct_ref[BalanceID],"",0)</f>
        <v>2</v>
      </c>
      <c r="L26" t="str">
        <f>IF(TrialBalance[[#This Row],[BalanceType]]=1,_xlfn.XLOOKUP(TrialBalance[[#This Row],[AcctNo]],BalanceRef[AccountNo.],BalanceRef[Balance]),"")</f>
        <v/>
      </c>
      <c r="M26">
        <f>IF(TrialBalance[[#This Row],[BalanceType]]=2,_xlfn.XLOOKUP(TrialBalance[[#This Row],[AcctNo]],BalanceRef[AccountNo.],BalanceRef[Balance]),"")</f>
        <v>0</v>
      </c>
    </row>
    <row r="27" spans="5:13" x14ac:dyDescent="0.25">
      <c r="E27" t="str">
        <f>_xlfn.XLOOKUP($F27,acct_ref[AcctNo],acct_ref[AccountName],"missing",0)</f>
        <v>Account Payable - Personal</v>
      </c>
      <c r="F27">
        <v>2003</v>
      </c>
      <c r="G27">
        <f>IF(E27=TrialBalance[[#This Row],[AccountName]],1,0)</f>
        <v>1</v>
      </c>
      <c r="H27" t="str">
        <f>_xlfn.XLOOKUP(TrialBalance[[#This Row],[AccountName]],acct_ref[AccountName],acct_ref[AcctType],"Missing",0)</f>
        <v>Liability</v>
      </c>
      <c r="I27" t="str">
        <f>_xlfn.XLOOKUP(TrialBalance[[#This Row],[AcctNo]],acct_ref[AcctNo],acct_ref[AccountName],"Error/Missing Info",0)</f>
        <v>Account Payable - Personal</v>
      </c>
      <c r="J27" s="11">
        <v>2003</v>
      </c>
      <c r="K27" s="11">
        <f>_xlfn.XLOOKUP(TrialBalance[[#This Row],[AcctNo]],acct_ref[AcctNo],acct_ref[BalanceID],"",0)</f>
        <v>2</v>
      </c>
      <c r="L27" t="str">
        <f>IF(TrialBalance[[#This Row],[BalanceType]]=1,_xlfn.XLOOKUP(TrialBalance[[#This Row],[AcctNo]],BalanceRef[AccountNo.],BalanceRef[Balance]),"")</f>
        <v/>
      </c>
      <c r="M27">
        <f>IF(TrialBalance[[#This Row],[BalanceType]]=2,_xlfn.XLOOKUP(TrialBalance[[#This Row],[AcctNo]],BalanceRef[AccountNo.],BalanceRef[Balance]),"")</f>
        <v>0</v>
      </c>
    </row>
    <row r="28" spans="5:13" x14ac:dyDescent="0.25">
      <c r="E28" t="str">
        <f>_xlfn.XLOOKUP($F28,acct_ref[AcctNo],acct_ref[AccountName],"missing",0)</f>
        <v>Loans - OSAP</v>
      </c>
      <c r="F28">
        <v>2004</v>
      </c>
      <c r="G28">
        <f>IF(E28=TrialBalance[[#This Row],[AccountName]],1,0)</f>
        <v>1</v>
      </c>
      <c r="H28" t="str">
        <f>_xlfn.XLOOKUP(TrialBalance[[#This Row],[AccountName]],acct_ref[AccountName],acct_ref[AcctType],"Missing",0)</f>
        <v>Liability</v>
      </c>
      <c r="I28" t="str">
        <f>_xlfn.XLOOKUP(TrialBalance[[#This Row],[AcctNo]],acct_ref[AcctNo],acct_ref[AccountName],"Error/Missing Info",0)</f>
        <v>Loans - OSAP</v>
      </c>
      <c r="J28" s="11">
        <v>2004</v>
      </c>
      <c r="K28" s="11">
        <f>_xlfn.XLOOKUP(TrialBalance[[#This Row],[AcctNo]],acct_ref[AcctNo],acct_ref[BalanceID],"",0)</f>
        <v>2</v>
      </c>
      <c r="L28" t="str">
        <f>IF(TrialBalance[[#This Row],[BalanceType]]=1,_xlfn.XLOOKUP(TrialBalance[[#This Row],[AcctNo]],BalanceRef[AccountNo.],BalanceRef[Balance]),"")</f>
        <v/>
      </c>
      <c r="M28">
        <f>IF(TrialBalance[[#This Row],[BalanceType]]=2,_xlfn.XLOOKUP(TrialBalance[[#This Row],[AcctNo]],BalanceRef[AccountNo.],BalanceRef[Balance]),"")</f>
        <v>0</v>
      </c>
    </row>
    <row r="29" spans="5:13" x14ac:dyDescent="0.25">
      <c r="E29" t="str">
        <f>_xlfn.XLOOKUP($F29,acct_ref[AcctNo],acct_ref[AccountName],"missing",0)</f>
        <v>Account Payable - Home Depot</v>
      </c>
      <c r="F29">
        <v>2005</v>
      </c>
      <c r="G29">
        <f>IF(E29=TrialBalance[[#This Row],[AccountName]],1,0)</f>
        <v>1</v>
      </c>
      <c r="H29" t="str">
        <f>_xlfn.XLOOKUP(TrialBalance[[#This Row],[AccountName]],acct_ref[AccountName],acct_ref[AcctType],"Missing",0)</f>
        <v>Liability</v>
      </c>
      <c r="I29" t="str">
        <f>_xlfn.XLOOKUP(TrialBalance[[#This Row],[AcctNo]],acct_ref[AcctNo],acct_ref[AccountName],"Error/Missing Info",0)</f>
        <v>Account Payable - Home Depot</v>
      </c>
      <c r="J29" s="11">
        <v>2005</v>
      </c>
      <c r="K29" s="11">
        <f>_xlfn.XLOOKUP(TrialBalance[[#This Row],[AcctNo]],acct_ref[AcctNo],acct_ref[BalanceID],"",0)</f>
        <v>2</v>
      </c>
      <c r="L29" t="str">
        <f>IF(TrialBalance[[#This Row],[BalanceType]]=1,_xlfn.XLOOKUP(TrialBalance[[#This Row],[AcctNo]],BalanceRef[AccountNo.],BalanceRef[Balance]),"")</f>
        <v/>
      </c>
      <c r="M29">
        <f>IF(TrialBalance[[#This Row],[BalanceType]]=2,_xlfn.XLOOKUP(TrialBalance[[#This Row],[AcctNo]],BalanceRef[AccountNo.],BalanceRef[Balance]),"")</f>
        <v>0</v>
      </c>
    </row>
    <row r="30" spans="5:13" x14ac:dyDescent="0.25">
      <c r="E30" t="str">
        <f>_xlfn.XLOOKUP($F30,acct_ref[AcctNo],acct_ref[AccountName],"missing",0)</f>
        <v>Account Payable - School</v>
      </c>
      <c r="F30">
        <v>2006</v>
      </c>
      <c r="G30">
        <f>IF(E30=TrialBalance[[#This Row],[AccountName]],1,0)</f>
        <v>1</v>
      </c>
      <c r="H30" t="str">
        <f>_xlfn.XLOOKUP(TrialBalance[[#This Row],[AccountName]],acct_ref[AccountName],acct_ref[AcctType],"Missing",0)</f>
        <v>Liability</v>
      </c>
      <c r="I30" t="str">
        <f>_xlfn.XLOOKUP(TrialBalance[[#This Row],[AcctNo]],acct_ref[AcctNo],acct_ref[AccountName],"Error/Missing Info",0)</f>
        <v>Account Payable - School</v>
      </c>
      <c r="J30" s="11">
        <v>2006</v>
      </c>
      <c r="K30" s="11">
        <f>_xlfn.XLOOKUP(TrialBalance[[#This Row],[AcctNo]],acct_ref[AcctNo],acct_ref[BalanceID],"",0)</f>
        <v>2</v>
      </c>
      <c r="L30" t="str">
        <f>IF(TrialBalance[[#This Row],[BalanceType]]=1,_xlfn.XLOOKUP(TrialBalance[[#This Row],[AcctNo]],BalanceRef[AccountNo.],BalanceRef[Balance]),"")</f>
        <v/>
      </c>
      <c r="M30">
        <f>IF(TrialBalance[[#This Row],[BalanceType]]=2,_xlfn.XLOOKUP(TrialBalance[[#This Row],[AcctNo]],BalanceRef[AccountNo.],BalanceRef[Balance]),"")</f>
        <v>0</v>
      </c>
    </row>
    <row r="31" spans="5:13" x14ac:dyDescent="0.25">
      <c r="E31" t="str">
        <f>_xlfn.XLOOKUP($F31,acct_ref[AcctNo],acct_ref[AccountName],"missing",0)</f>
        <v>MK - Capital</v>
      </c>
      <c r="F31">
        <v>3001</v>
      </c>
      <c r="G31">
        <f>IF(E31=TrialBalance[[#This Row],[AccountName]],1,0)</f>
        <v>1</v>
      </c>
      <c r="H31" t="str">
        <f>_xlfn.XLOOKUP(TrialBalance[[#This Row],[AccountName]],acct_ref[AccountName],acct_ref[AcctType],"Missing",0)</f>
        <v>Capital</v>
      </c>
      <c r="I31" t="str">
        <f>_xlfn.XLOOKUP(TrialBalance[[#This Row],[AcctNo]],acct_ref[AcctNo],acct_ref[AccountName],"Error/Missing Info",0)</f>
        <v>MK - Capital</v>
      </c>
      <c r="J31" s="11">
        <v>3001</v>
      </c>
      <c r="K31" s="11">
        <f>_xlfn.XLOOKUP(TrialBalance[[#This Row],[AcctNo]],acct_ref[AcctNo],acct_ref[BalanceID],"",0)</f>
        <v>2</v>
      </c>
      <c r="L31" t="str">
        <f>IF(TrialBalance[[#This Row],[BalanceType]]=1,_xlfn.XLOOKUP(TrialBalance[[#This Row],[AcctNo]],BalanceRef[AccountNo.],BalanceRef[Balance]),"")</f>
        <v/>
      </c>
      <c r="M31">
        <f>IF(TrialBalance[[#This Row],[BalanceType]]=2,_xlfn.XLOOKUP(TrialBalance[[#This Row],[AcctNo]],BalanceRef[AccountNo.],BalanceRef[Balance]),"")</f>
        <v>0</v>
      </c>
    </row>
    <row r="32" spans="5:13" x14ac:dyDescent="0.25">
      <c r="E32" t="str">
        <f>_xlfn.XLOOKUP($F32,acct_ref[AcctNo],acct_ref[AccountName],"missing",0)</f>
        <v>Income Summary 2024</v>
      </c>
      <c r="F32">
        <v>3002</v>
      </c>
      <c r="G32">
        <f>IF(E32=TrialBalance[[#This Row],[AccountName]],1,0)</f>
        <v>1</v>
      </c>
      <c r="H32" t="str">
        <f>_xlfn.XLOOKUP(TrialBalance[[#This Row],[AccountName]],acct_ref[AccountName],acct_ref[AcctType],"Missing",0)</f>
        <v>Capital</v>
      </c>
      <c r="I32" t="str">
        <f>_xlfn.XLOOKUP(TrialBalance[[#This Row],[AcctNo]],acct_ref[AcctNo],acct_ref[AccountName],"Error/Missing Info",0)</f>
        <v>Income Summary 2024</v>
      </c>
      <c r="J32" s="11">
        <v>3002</v>
      </c>
      <c r="K32" s="11">
        <f>_xlfn.XLOOKUP(TrialBalance[[#This Row],[AcctNo]],acct_ref[AcctNo],acct_ref[BalanceID],"",0)</f>
        <v>2</v>
      </c>
      <c r="L32" t="str">
        <f>IF(TrialBalance[[#This Row],[BalanceType]]=1,_xlfn.XLOOKUP(TrialBalance[[#This Row],[AcctNo]],BalanceRef[AccountNo.],BalanceRef[Balance]),"")</f>
        <v/>
      </c>
      <c r="M32">
        <f>IF(TrialBalance[[#This Row],[BalanceType]]=2,_xlfn.XLOOKUP(TrialBalance[[#This Row],[AcctNo]],BalanceRef[AccountNo.],BalanceRef[Balance]),"")</f>
        <v>0</v>
      </c>
    </row>
    <row r="33" spans="5:17" x14ac:dyDescent="0.25">
      <c r="E33" t="str">
        <f>_xlfn.XLOOKUP($F33,acct_ref[AcctNo],acct_ref[AccountName],"missing",0)</f>
        <v>Salary Revenue</v>
      </c>
      <c r="F33">
        <v>4001</v>
      </c>
      <c r="G33">
        <f>IF(E33=TrialBalance[[#This Row],[AccountName]],1,0)</f>
        <v>1</v>
      </c>
      <c r="H33" t="str">
        <f>_xlfn.XLOOKUP(TrialBalance[[#This Row],[AccountName]],acct_ref[AccountName],acct_ref[AcctType],"Missing",0)</f>
        <v>Revenue</v>
      </c>
      <c r="I33" t="str">
        <f>_xlfn.XLOOKUP(TrialBalance[[#This Row],[AcctNo]],acct_ref[AcctNo],acct_ref[AccountName],"Error/Missing Info",0)</f>
        <v>Salary Revenue</v>
      </c>
      <c r="J33" s="11">
        <v>4001</v>
      </c>
      <c r="K33" s="11">
        <f>_xlfn.XLOOKUP(TrialBalance[[#This Row],[AcctNo]],acct_ref[AcctNo],acct_ref[BalanceID],"",0)</f>
        <v>2</v>
      </c>
      <c r="L33" t="str">
        <f>IF(TrialBalance[[#This Row],[BalanceType]]=1,_xlfn.XLOOKUP(TrialBalance[[#This Row],[AcctNo]],BalanceRef[AccountNo.],BalanceRef[Balance]),"")</f>
        <v/>
      </c>
      <c r="M33">
        <f>IF(TrialBalance[[#This Row],[BalanceType]]=2,_xlfn.XLOOKUP(TrialBalance[[#This Row],[AcctNo]],BalanceRef[AccountNo.],BalanceRef[Balance]),"")</f>
        <v>3750</v>
      </c>
      <c r="O33">
        <f>TrialBalance[[#This Row],[Credit Balance]]</f>
        <v>3750</v>
      </c>
    </row>
    <row r="34" spans="5:17" x14ac:dyDescent="0.25">
      <c r="E34" t="str">
        <f>_xlfn.XLOOKUP($F34,acct_ref[AcctNo],acct_ref[AccountName],"missing",0)</f>
        <v>Government Revenue</v>
      </c>
      <c r="F34">
        <v>4002</v>
      </c>
      <c r="G34">
        <f>IF(E34=TrialBalance[[#This Row],[AccountName]],1,0)</f>
        <v>1</v>
      </c>
      <c r="H34" t="str">
        <f>_xlfn.XLOOKUP(TrialBalance[[#This Row],[AccountName]],acct_ref[AccountName],acct_ref[AcctType],"Missing",0)</f>
        <v>Revenue</v>
      </c>
      <c r="I34" t="str">
        <f>_xlfn.XLOOKUP(TrialBalance[[#This Row],[AcctNo]],acct_ref[AcctNo],acct_ref[AccountName],"Error/Missing Info",0)</f>
        <v>Government Revenue</v>
      </c>
      <c r="J34" s="11">
        <v>4002</v>
      </c>
      <c r="K34" s="11">
        <f>_xlfn.XLOOKUP(TrialBalance[[#This Row],[AcctNo]],acct_ref[AcctNo],acct_ref[BalanceID],"",0)</f>
        <v>2</v>
      </c>
      <c r="L34" t="str">
        <f>IF(TrialBalance[[#This Row],[BalanceType]]=1,_xlfn.XLOOKUP(TrialBalance[[#This Row],[AcctNo]],BalanceRef[AccountNo.],BalanceRef[Balance]),"")</f>
        <v/>
      </c>
      <c r="M34">
        <f>IF(TrialBalance[[#This Row],[BalanceType]]=2,_xlfn.XLOOKUP(TrialBalance[[#This Row],[AcctNo]],BalanceRef[AccountNo.],BalanceRef[Balance]),"")</f>
        <v>0</v>
      </c>
      <c r="O34">
        <f>TrialBalance[[#This Row],[Credit Balance]]</f>
        <v>0</v>
      </c>
    </row>
    <row r="35" spans="5:17" x14ac:dyDescent="0.25">
      <c r="E35" t="str">
        <f>_xlfn.XLOOKUP($F35,acct_ref[AcctNo],acct_ref[AccountName],"missing",0)</f>
        <v>Gift Revenue</v>
      </c>
      <c r="F35">
        <v>4003</v>
      </c>
      <c r="G35">
        <f>IF(E35=TrialBalance[[#This Row],[AccountName]],1,0)</f>
        <v>1</v>
      </c>
      <c r="H35" t="str">
        <f>_xlfn.XLOOKUP(TrialBalance[[#This Row],[AccountName]],acct_ref[AccountName],acct_ref[AcctType],"Missing",0)</f>
        <v>Revenue</v>
      </c>
      <c r="I35" t="str">
        <f>_xlfn.XLOOKUP(TrialBalance[[#This Row],[AcctNo]],acct_ref[AcctNo],acct_ref[AccountName],"Error/Missing Info",0)</f>
        <v>Gift Revenue</v>
      </c>
      <c r="J35" s="11">
        <v>4003</v>
      </c>
      <c r="K35" s="11">
        <f>_xlfn.XLOOKUP(TrialBalance[[#This Row],[AcctNo]],acct_ref[AcctNo],acct_ref[BalanceID],"",0)</f>
        <v>2</v>
      </c>
      <c r="L35" t="str">
        <f>IF(TrialBalance[[#This Row],[BalanceType]]=1,_xlfn.XLOOKUP(TrialBalance[[#This Row],[AcctNo]],BalanceRef[AccountNo.],BalanceRef[Balance]),"")</f>
        <v/>
      </c>
      <c r="M35">
        <f>IF(TrialBalance[[#This Row],[BalanceType]]=2,_xlfn.XLOOKUP(TrialBalance[[#This Row],[AcctNo]],BalanceRef[AccountNo.],BalanceRef[Balance]),"")</f>
        <v>0</v>
      </c>
      <c r="O35">
        <f>TrialBalance[[#This Row],[Credit Balance]]</f>
        <v>0</v>
      </c>
    </row>
    <row r="36" spans="5:17" x14ac:dyDescent="0.25">
      <c r="E36" t="str">
        <f>_xlfn.XLOOKUP($F36,acct_ref[AcctNo],acct_ref[AccountName],"missing",0)</f>
        <v>Revenue Other</v>
      </c>
      <c r="F36">
        <v>4004</v>
      </c>
      <c r="G36">
        <f>IF(E36=TrialBalance[[#This Row],[AccountName]],1,0)</f>
        <v>1</v>
      </c>
      <c r="H36" t="str">
        <f>_xlfn.XLOOKUP(TrialBalance[[#This Row],[AccountName]],acct_ref[AccountName],acct_ref[AcctType],"Missing",0)</f>
        <v>Revenue</v>
      </c>
      <c r="I36" t="str">
        <f>_xlfn.XLOOKUP(TrialBalance[[#This Row],[AcctNo]],acct_ref[AcctNo],acct_ref[AccountName],"Error/Missing Info",0)</f>
        <v>Revenue Other</v>
      </c>
      <c r="J36" s="11">
        <v>4004</v>
      </c>
      <c r="K36" s="11">
        <f>_xlfn.XLOOKUP(TrialBalance[[#This Row],[AcctNo]],acct_ref[AcctNo],acct_ref[BalanceID],"",0)</f>
        <v>2</v>
      </c>
      <c r="L36" t="str">
        <f>IF(TrialBalance[[#This Row],[BalanceType]]=1,_xlfn.XLOOKUP(TrialBalance[[#This Row],[AcctNo]],BalanceRef[AccountNo.],BalanceRef[Balance]),"")</f>
        <v/>
      </c>
      <c r="M36">
        <f>IF(TrialBalance[[#This Row],[BalanceType]]=2,_xlfn.XLOOKUP(TrialBalance[[#This Row],[AcctNo]],BalanceRef[AccountNo.],BalanceRef[Balance]),"")</f>
        <v>0</v>
      </c>
      <c r="O36">
        <f>TrialBalance[[#This Row],[Credit Balance]]</f>
        <v>0</v>
      </c>
    </row>
    <row r="37" spans="5:17" x14ac:dyDescent="0.25">
      <c r="E37" t="str">
        <f>_xlfn.XLOOKUP($F37,acct_ref[AcctNo],acct_ref[AccountName],"missing",0)</f>
        <v>Purchase Returns</v>
      </c>
      <c r="F37">
        <v>4005</v>
      </c>
      <c r="G37">
        <f>IF(E37=TrialBalance[[#This Row],[AccountName]],1,0)</f>
        <v>1</v>
      </c>
      <c r="H37" t="str">
        <f>_xlfn.XLOOKUP(TrialBalance[[#This Row],[AccountName]],acct_ref[AccountName],acct_ref[AcctType],"Missing",0)</f>
        <v>Revenue</v>
      </c>
      <c r="I37" t="str">
        <f>_xlfn.XLOOKUP(TrialBalance[[#This Row],[AcctNo]],acct_ref[AcctNo],acct_ref[AccountName],"Error/Missing Info",0)</f>
        <v>Purchase Returns</v>
      </c>
      <c r="J37" s="11">
        <v>4005</v>
      </c>
      <c r="K37" s="11">
        <f>_xlfn.XLOOKUP(TrialBalance[[#This Row],[AcctNo]],acct_ref[AcctNo],acct_ref[BalanceID],"",0)</f>
        <v>2</v>
      </c>
      <c r="L37" t="str">
        <f>IF(TrialBalance[[#This Row],[BalanceType]]=1,_xlfn.XLOOKUP(TrialBalance[[#This Row],[AcctNo]],BalanceRef[AccountNo.],BalanceRef[Balance]),"")</f>
        <v/>
      </c>
      <c r="M37">
        <f>IF(TrialBalance[[#This Row],[BalanceType]]=2,_xlfn.XLOOKUP(TrialBalance[[#This Row],[AcctNo]],BalanceRef[AccountNo.],BalanceRef[Balance]),"")</f>
        <v>0</v>
      </c>
      <c r="O37">
        <f>TrialBalance[[#This Row],[Credit Balance]]</f>
        <v>0</v>
      </c>
      <c r="Q37">
        <f>SUMIFS(TrialBalance[IncStat Credit Balance],TrialBalance[Type],"Revenue")</f>
        <v>3750</v>
      </c>
    </row>
    <row r="38" spans="5:17" x14ac:dyDescent="0.25">
      <c r="E38" t="str">
        <f>_xlfn.XLOOKUP($F38,acct_ref[AcctNo],acct_ref[AccountName],"missing",0)</f>
        <v>Unknown Revenue</v>
      </c>
      <c r="F38">
        <v>4006</v>
      </c>
      <c r="G38">
        <f>IF(E38=TrialBalance[[#This Row],[AccountName]],1,0)</f>
        <v>1</v>
      </c>
      <c r="H38" t="str">
        <f>_xlfn.XLOOKUP(TrialBalance[[#This Row],[AccountName]],acct_ref[AccountName],acct_ref[AcctType],"Missing",0)</f>
        <v>Revenue</v>
      </c>
      <c r="I38" t="str">
        <f>_xlfn.XLOOKUP(TrialBalance[[#This Row],[AcctNo]],acct_ref[AcctNo],acct_ref[AccountName],"Error/Missing Info",0)</f>
        <v>Unknown Revenue</v>
      </c>
      <c r="J38" s="11">
        <v>4006</v>
      </c>
      <c r="K38" s="11">
        <f>_xlfn.XLOOKUP(TrialBalance[[#This Row],[AcctNo]],acct_ref[AcctNo],acct_ref[BalanceID],"",0)</f>
        <v>2</v>
      </c>
      <c r="L38" t="str">
        <f>IF(TrialBalance[[#This Row],[BalanceType]]=1,_xlfn.XLOOKUP(TrialBalance[[#This Row],[AcctNo]],BalanceRef[AccountNo.],BalanceRef[Balance]),"")</f>
        <v/>
      </c>
      <c r="M38">
        <f>IF(TrialBalance[[#This Row],[BalanceType]]=2,_xlfn.XLOOKUP(TrialBalance[[#This Row],[AcctNo]],BalanceRef[AccountNo.],BalanceRef[Balance]),"")</f>
        <v>0</v>
      </c>
    </row>
    <row r="39" spans="5:17" x14ac:dyDescent="0.25">
      <c r="E39" t="str">
        <f>_xlfn.XLOOKUP($F39,acct_ref[AcctNo],acct_ref[AccountName],"missing",0)</f>
        <v>Unknown Expense</v>
      </c>
      <c r="F39">
        <v>5000</v>
      </c>
      <c r="G39">
        <f>IF(E39=TrialBalance[[#This Row],[AccountName]],1,0)</f>
        <v>1</v>
      </c>
      <c r="H39" t="str">
        <f>_xlfn.XLOOKUP(TrialBalance[[#This Row],[AccountName]],acct_ref[AccountName],acct_ref[AcctType],"Missing",0)</f>
        <v>Expense</v>
      </c>
      <c r="I39" t="str">
        <f>_xlfn.XLOOKUP(TrialBalance[[#This Row],[AcctNo]],acct_ref[AcctNo],acct_ref[AccountName],"Error/Missing Info",0)</f>
        <v>Unknown Expense</v>
      </c>
      <c r="J39" s="11">
        <v>5000</v>
      </c>
      <c r="K39" s="11">
        <f>_xlfn.XLOOKUP(TrialBalance[[#This Row],[AcctNo]],acct_ref[AcctNo],acct_ref[BalanceID],"",0)</f>
        <v>1</v>
      </c>
      <c r="L39">
        <f>IF(TrialBalance[[#This Row],[BalanceType]]=1,_xlfn.XLOOKUP(TrialBalance[[#This Row],[AcctNo]],BalanceRef[AccountNo.],BalanceRef[Balance]),"")</f>
        <v>0</v>
      </c>
      <c r="M39" t="str">
        <f>IF(TrialBalance[[#This Row],[BalanceType]]=2,_xlfn.XLOOKUP(TrialBalance[[#This Row],[AcctNo]],BalanceRef[AccountNo.],BalanceRef[Balance]),"")</f>
        <v/>
      </c>
      <c r="N39">
        <f>TrialBalance[[#This Row],[Debit Balance]]</f>
        <v>0</v>
      </c>
    </row>
    <row r="40" spans="5:17" x14ac:dyDescent="0.25">
      <c r="E40" t="str">
        <f>_xlfn.XLOOKUP($F40,acct_ref[AcctNo],acct_ref[AccountName],"missing",0)</f>
        <v>Home Expense</v>
      </c>
      <c r="F40">
        <v>5001</v>
      </c>
      <c r="G40">
        <f>IF(E40=TrialBalance[[#This Row],[AccountName]],1,0)</f>
        <v>1</v>
      </c>
      <c r="H40" t="str">
        <f>_xlfn.XLOOKUP(TrialBalance[[#This Row],[AccountName]],acct_ref[AccountName],acct_ref[AcctType],"Missing",0)</f>
        <v>Expense</v>
      </c>
      <c r="I40" t="str">
        <f>_xlfn.XLOOKUP(TrialBalance[[#This Row],[AcctNo]],acct_ref[AcctNo],acct_ref[AccountName],"Error/Missing Info",0)</f>
        <v>Home Expense</v>
      </c>
      <c r="J40" s="11">
        <v>5001</v>
      </c>
      <c r="K40" s="11">
        <f>_xlfn.XLOOKUP(TrialBalance[[#This Row],[AcctNo]],acct_ref[AcctNo],acct_ref[BalanceID],"",0)</f>
        <v>1</v>
      </c>
      <c r="L40">
        <f>IF(TrialBalance[[#This Row],[BalanceType]]=1,_xlfn.XLOOKUP(TrialBalance[[#This Row],[AcctNo]],BalanceRef[AccountNo.],BalanceRef[Balance]),"")</f>
        <v>74.7</v>
      </c>
      <c r="M40" t="str">
        <f>IF(TrialBalance[[#This Row],[BalanceType]]=2,_xlfn.XLOOKUP(TrialBalance[[#This Row],[AcctNo]],BalanceRef[AccountNo.],BalanceRef[Balance]),"")</f>
        <v/>
      </c>
      <c r="N40">
        <f>TrialBalance[[#This Row],[Debit Balance]]</f>
        <v>74.7</v>
      </c>
    </row>
    <row r="41" spans="5:17" x14ac:dyDescent="0.25">
      <c r="E41" t="str">
        <f>_xlfn.XLOOKUP($F41,acct_ref[AcctNo],acct_ref[AccountName],"missing",0)</f>
        <v>Rent Expense</v>
      </c>
      <c r="F41">
        <v>5002</v>
      </c>
      <c r="G41">
        <f>IF(E41=TrialBalance[[#This Row],[AccountName]],1,0)</f>
        <v>1</v>
      </c>
      <c r="H41" t="str">
        <f>_xlfn.XLOOKUP(TrialBalance[[#This Row],[AccountName]],acct_ref[AccountName],acct_ref[AcctType],"Missing",0)</f>
        <v>Expense</v>
      </c>
      <c r="I41" t="str">
        <f>_xlfn.XLOOKUP(TrialBalance[[#This Row],[AcctNo]],acct_ref[AcctNo],acct_ref[AccountName],"Error/Missing Info",0)</f>
        <v>Rent Expense</v>
      </c>
      <c r="J41" s="11">
        <v>5002</v>
      </c>
      <c r="K41" s="11">
        <f>_xlfn.XLOOKUP(TrialBalance[[#This Row],[AcctNo]],acct_ref[AcctNo],acct_ref[BalanceID],"",0)</f>
        <v>1</v>
      </c>
      <c r="L41">
        <f>IF(TrialBalance[[#This Row],[BalanceType]]=1,_xlfn.XLOOKUP(TrialBalance[[#This Row],[AcctNo]],BalanceRef[AccountNo.],BalanceRef[Balance]),"")</f>
        <v>1350</v>
      </c>
      <c r="M41" t="str">
        <f>IF(TrialBalance[[#This Row],[BalanceType]]=2,_xlfn.XLOOKUP(TrialBalance[[#This Row],[AcctNo]],BalanceRef[AccountNo.],BalanceRef[Balance]),"")</f>
        <v/>
      </c>
      <c r="N41">
        <f>TrialBalance[[#This Row],[Debit Balance]]</f>
        <v>1350</v>
      </c>
    </row>
    <row r="42" spans="5:17" x14ac:dyDescent="0.25">
      <c r="E42" t="str">
        <f>_xlfn.XLOOKUP($F42,acct_ref[AcctNo],acct_ref[AccountName],"missing",0)</f>
        <v>Utilities Expense</v>
      </c>
      <c r="F42">
        <v>5003</v>
      </c>
      <c r="G42">
        <f>IF(E42=TrialBalance[[#This Row],[AccountName]],1,0)</f>
        <v>1</v>
      </c>
      <c r="H42" t="str">
        <f>_xlfn.XLOOKUP(TrialBalance[[#This Row],[AccountName]],acct_ref[AccountName],acct_ref[AcctType],"Missing",0)</f>
        <v>Expense</v>
      </c>
      <c r="I42" t="str">
        <f>_xlfn.XLOOKUP(TrialBalance[[#This Row],[AcctNo]],acct_ref[AcctNo],acct_ref[AccountName],"Error/Missing Info",0)</f>
        <v>Utilities Expense</v>
      </c>
      <c r="J42" s="11">
        <v>5003</v>
      </c>
      <c r="K42" s="11">
        <f>_xlfn.XLOOKUP(TrialBalance[[#This Row],[AcctNo]],acct_ref[AcctNo],acct_ref[BalanceID],"",0)</f>
        <v>1</v>
      </c>
      <c r="L42">
        <f>IF(TrialBalance[[#This Row],[BalanceType]]=1,_xlfn.XLOOKUP(TrialBalance[[#This Row],[AcctNo]],BalanceRef[AccountNo.],BalanceRef[Balance]),"")</f>
        <v>0</v>
      </c>
      <c r="M42" t="str">
        <f>IF(TrialBalance[[#This Row],[BalanceType]]=2,_xlfn.XLOOKUP(TrialBalance[[#This Row],[AcctNo]],BalanceRef[AccountNo.],BalanceRef[Balance]),"")</f>
        <v/>
      </c>
      <c r="N42">
        <f>TrialBalance[[#This Row],[Debit Balance]]</f>
        <v>0</v>
      </c>
    </row>
    <row r="43" spans="5:17" x14ac:dyDescent="0.25">
      <c r="E43" t="str">
        <f>_xlfn.XLOOKUP($F43,acct_ref[AcctNo],acct_ref[AccountName],"missing",0)</f>
        <v>Life Insurance Expense</v>
      </c>
      <c r="F43">
        <v>5004</v>
      </c>
      <c r="G43">
        <f>IF(E43=TrialBalance[[#This Row],[AccountName]],1,0)</f>
        <v>1</v>
      </c>
      <c r="H43" t="str">
        <f>_xlfn.XLOOKUP(TrialBalance[[#This Row],[AccountName]],acct_ref[AccountName],acct_ref[AcctType],"Missing",0)</f>
        <v>Expense</v>
      </c>
      <c r="I43" t="str">
        <f>_xlfn.XLOOKUP(TrialBalance[[#This Row],[AcctNo]],acct_ref[AcctNo],acct_ref[AccountName],"Error/Missing Info",0)</f>
        <v>Life Insurance Expense</v>
      </c>
      <c r="J43" s="11">
        <v>5004</v>
      </c>
      <c r="K43" s="11">
        <f>_xlfn.XLOOKUP(TrialBalance[[#This Row],[AcctNo]],acct_ref[AcctNo],acct_ref[BalanceID],"",0)</f>
        <v>1</v>
      </c>
      <c r="L43">
        <f>IF(TrialBalance[[#This Row],[BalanceType]]=1,_xlfn.XLOOKUP(TrialBalance[[#This Row],[AcctNo]],BalanceRef[AccountNo.],BalanceRef[Balance]),"")</f>
        <v>0</v>
      </c>
      <c r="M43" t="str">
        <f>IF(TrialBalance[[#This Row],[BalanceType]]=2,_xlfn.XLOOKUP(TrialBalance[[#This Row],[AcctNo]],BalanceRef[AccountNo.],BalanceRef[Balance]),"")</f>
        <v/>
      </c>
      <c r="N43">
        <f>TrialBalance[[#This Row],[Debit Balance]]</f>
        <v>0</v>
      </c>
    </row>
    <row r="44" spans="5:17" x14ac:dyDescent="0.25">
      <c r="E44" t="str">
        <f>_xlfn.XLOOKUP($F44,acct_ref[AcctNo],acct_ref[AccountName],"missing",0)</f>
        <v>Phone Expense</v>
      </c>
      <c r="F44">
        <v>5005</v>
      </c>
      <c r="G44">
        <f>IF(E44=TrialBalance[[#This Row],[AccountName]],1,0)</f>
        <v>1</v>
      </c>
      <c r="H44" t="str">
        <f>_xlfn.XLOOKUP(TrialBalance[[#This Row],[AccountName]],acct_ref[AccountName],acct_ref[AcctType],"Missing",0)</f>
        <v>Expense</v>
      </c>
      <c r="I44" t="str">
        <f>_xlfn.XLOOKUP(TrialBalance[[#This Row],[AcctNo]],acct_ref[AcctNo],acct_ref[AccountName],"Error/Missing Info",0)</f>
        <v>Phone Expense</v>
      </c>
      <c r="J44" s="11">
        <v>5005</v>
      </c>
      <c r="K44" s="11">
        <f>_xlfn.XLOOKUP(TrialBalance[[#This Row],[AcctNo]],acct_ref[AcctNo],acct_ref[BalanceID],"",0)</f>
        <v>1</v>
      </c>
      <c r="L44">
        <f>IF(TrialBalance[[#This Row],[BalanceType]]=1,_xlfn.XLOOKUP(TrialBalance[[#This Row],[AcctNo]],BalanceRef[AccountNo.],BalanceRef[Balance]),"")</f>
        <v>55</v>
      </c>
      <c r="M44" t="str">
        <f>IF(TrialBalance[[#This Row],[BalanceType]]=2,_xlfn.XLOOKUP(TrialBalance[[#This Row],[AcctNo]],BalanceRef[AccountNo.],BalanceRef[Balance]),"")</f>
        <v/>
      </c>
      <c r="N44">
        <f>TrialBalance[[#This Row],[Debit Balance]]</f>
        <v>55</v>
      </c>
    </row>
    <row r="45" spans="5:17" x14ac:dyDescent="0.25">
      <c r="E45" t="str">
        <f>_xlfn.XLOOKUP($F45,acct_ref[AcctNo],acct_ref[AccountName],"missing",0)</f>
        <v>TV/Internet Expense</v>
      </c>
      <c r="F45">
        <v>5006</v>
      </c>
      <c r="G45">
        <f>IF(E45=TrialBalance[[#This Row],[AccountName]],1,0)</f>
        <v>1</v>
      </c>
      <c r="H45" t="str">
        <f>_xlfn.XLOOKUP(TrialBalance[[#This Row],[AccountName]],acct_ref[AccountName],acct_ref[AcctType],"Missing",0)</f>
        <v>Expense</v>
      </c>
      <c r="I45" t="str">
        <f>_xlfn.XLOOKUP(TrialBalance[[#This Row],[AcctNo]],acct_ref[AcctNo],acct_ref[AccountName],"Error/Missing Info",0)</f>
        <v>TV/Internet Expense</v>
      </c>
      <c r="J45" s="11">
        <v>5006</v>
      </c>
      <c r="K45" s="11">
        <f>_xlfn.XLOOKUP(TrialBalance[[#This Row],[AcctNo]],acct_ref[AcctNo],acct_ref[BalanceID],"",0)</f>
        <v>1</v>
      </c>
      <c r="L45">
        <f>IF(TrialBalance[[#This Row],[BalanceType]]=1,_xlfn.XLOOKUP(TrialBalance[[#This Row],[AcctNo]],BalanceRef[AccountNo.],BalanceRef[Balance]),"")</f>
        <v>112.97</v>
      </c>
      <c r="M45" t="str">
        <f>IF(TrialBalance[[#This Row],[BalanceType]]=2,_xlfn.XLOOKUP(TrialBalance[[#This Row],[AcctNo]],BalanceRef[AccountNo.],BalanceRef[Balance]),"")</f>
        <v/>
      </c>
      <c r="N45">
        <f>TrialBalance[[#This Row],[Debit Balance]]</f>
        <v>112.97</v>
      </c>
    </row>
    <row r="46" spans="5:17" x14ac:dyDescent="0.25">
      <c r="E46" t="str">
        <f>_xlfn.XLOOKUP($F46,acct_ref[AcctNo],acct_ref[AccountName],"missing",0)</f>
        <v>Transportation Expense</v>
      </c>
      <c r="F46">
        <v>5007</v>
      </c>
      <c r="G46">
        <f>IF(E46=TrialBalance[[#This Row],[AccountName]],1,0)</f>
        <v>1</v>
      </c>
      <c r="H46" t="str">
        <f>_xlfn.XLOOKUP(TrialBalance[[#This Row],[AccountName]],acct_ref[AccountName],acct_ref[AcctType],"Missing",0)</f>
        <v>Expense</v>
      </c>
      <c r="I46" t="str">
        <f>_xlfn.XLOOKUP(TrialBalance[[#This Row],[AcctNo]],acct_ref[AcctNo],acct_ref[AccountName],"Error/Missing Info",0)</f>
        <v>Transportation Expense</v>
      </c>
      <c r="J46" s="11">
        <v>5007</v>
      </c>
      <c r="K46" s="11">
        <f>_xlfn.XLOOKUP(TrialBalance[[#This Row],[AcctNo]],acct_ref[AcctNo],acct_ref[BalanceID],"",0)</f>
        <v>1</v>
      </c>
      <c r="L46">
        <f>IF(TrialBalance[[#This Row],[BalanceType]]=1,_xlfn.XLOOKUP(TrialBalance[[#This Row],[AcctNo]],BalanceRef[AccountNo.],BalanceRef[Balance]),"")</f>
        <v>368.1</v>
      </c>
      <c r="M46" t="str">
        <f>IF(TrialBalance[[#This Row],[BalanceType]]=2,_xlfn.XLOOKUP(TrialBalance[[#This Row],[AcctNo]],BalanceRef[AccountNo.],BalanceRef[Balance]),"")</f>
        <v/>
      </c>
      <c r="N46">
        <f>TrialBalance[[#This Row],[Debit Balance]]</f>
        <v>368.1</v>
      </c>
    </row>
    <row r="47" spans="5:17" x14ac:dyDescent="0.25">
      <c r="E47" t="str">
        <f>_xlfn.XLOOKUP($F47,acct_ref[AcctNo],acct_ref[AccountName],"missing",0)</f>
        <v>Medical Expense</v>
      </c>
      <c r="F47">
        <v>5008</v>
      </c>
      <c r="G47">
        <f>IF(E47=TrialBalance[[#This Row],[AccountName]],1,0)</f>
        <v>1</v>
      </c>
      <c r="H47" t="str">
        <f>_xlfn.XLOOKUP(TrialBalance[[#This Row],[AccountName]],acct_ref[AccountName],acct_ref[AcctType],"Missing",0)</f>
        <v>Expense</v>
      </c>
      <c r="I47" t="str">
        <f>_xlfn.XLOOKUP(TrialBalance[[#This Row],[AcctNo]],acct_ref[AcctNo],acct_ref[AccountName],"Error/Missing Info",0)</f>
        <v>Medical Expense</v>
      </c>
      <c r="J47" s="11">
        <v>5008</v>
      </c>
      <c r="K47" s="11">
        <f>_xlfn.XLOOKUP(TrialBalance[[#This Row],[AcctNo]],acct_ref[AcctNo],acct_ref[BalanceID],"",0)</f>
        <v>1</v>
      </c>
      <c r="L47">
        <f>IF(TrialBalance[[#This Row],[BalanceType]]=1,_xlfn.XLOOKUP(TrialBalance[[#This Row],[AcctNo]],BalanceRef[AccountNo.],BalanceRef[Balance]),"")</f>
        <v>0</v>
      </c>
      <c r="M47" t="str">
        <f>IF(TrialBalance[[#This Row],[BalanceType]]=2,_xlfn.XLOOKUP(TrialBalance[[#This Row],[AcctNo]],BalanceRef[AccountNo.],BalanceRef[Balance]),"")</f>
        <v/>
      </c>
      <c r="N47">
        <f>TrialBalance[[#This Row],[Debit Balance]]</f>
        <v>0</v>
      </c>
    </row>
    <row r="48" spans="5:17" x14ac:dyDescent="0.25">
      <c r="E48" t="str">
        <f>_xlfn.XLOOKUP($F48,acct_ref[AcctNo],acct_ref[AccountName],"missing",0)</f>
        <v>Act Out Expense</v>
      </c>
      <c r="F48">
        <v>5009</v>
      </c>
      <c r="G48">
        <f>IF(E48=TrialBalance[[#This Row],[AccountName]],1,0)</f>
        <v>1</v>
      </c>
      <c r="H48" t="str">
        <f>_xlfn.XLOOKUP(TrialBalance[[#This Row],[AccountName]],acct_ref[AccountName],acct_ref[AcctType],"Missing",0)</f>
        <v>Expense</v>
      </c>
      <c r="I48" t="str">
        <f>_xlfn.XLOOKUP(TrialBalance[[#This Row],[AcctNo]],acct_ref[AcctNo],acct_ref[AccountName],"Error/Missing Info",0)</f>
        <v>Act Out Expense</v>
      </c>
      <c r="J48" s="11">
        <v>5009</v>
      </c>
      <c r="K48" s="11">
        <f>_xlfn.XLOOKUP(TrialBalance[[#This Row],[AcctNo]],acct_ref[AcctNo],acct_ref[BalanceID],"",0)</f>
        <v>1</v>
      </c>
      <c r="L48">
        <f>IF(TrialBalance[[#This Row],[BalanceType]]=1,_xlfn.XLOOKUP(TrialBalance[[#This Row],[AcctNo]],BalanceRef[AccountNo.],BalanceRef[Balance]),"")</f>
        <v>0</v>
      </c>
      <c r="M48" t="str">
        <f>IF(TrialBalance[[#This Row],[BalanceType]]=2,_xlfn.XLOOKUP(TrialBalance[[#This Row],[AcctNo]],BalanceRef[AccountNo.],BalanceRef[Balance]),"")</f>
        <v/>
      </c>
      <c r="N48">
        <f>TrialBalance[[#This Row],[Debit Balance]]</f>
        <v>0</v>
      </c>
    </row>
    <row r="49" spans="5:17" x14ac:dyDescent="0.25">
      <c r="E49" t="str">
        <f>_xlfn.XLOOKUP($F49,acct_ref[AcctNo],acct_ref[AccountName],"missing",0)</f>
        <v>Nutrition Expense</v>
      </c>
      <c r="F49">
        <v>5010</v>
      </c>
      <c r="G49">
        <f>IF(E49=TrialBalance[[#This Row],[AccountName]],1,0)</f>
        <v>1</v>
      </c>
      <c r="H49" t="str">
        <f>_xlfn.XLOOKUP(TrialBalance[[#This Row],[AccountName]],acct_ref[AccountName],acct_ref[AcctType],"Missing",0)</f>
        <v>Expense</v>
      </c>
      <c r="I49" t="str">
        <f>_xlfn.XLOOKUP(TrialBalance[[#This Row],[AcctNo]],acct_ref[AcctNo],acct_ref[AccountName],"Error/Missing Info",0)</f>
        <v>Nutrition Expense</v>
      </c>
      <c r="J49" s="11">
        <v>5010</v>
      </c>
      <c r="K49" s="11">
        <f>_xlfn.XLOOKUP(TrialBalance[[#This Row],[AcctNo]],acct_ref[AcctNo],acct_ref[BalanceID],"",0)</f>
        <v>1</v>
      </c>
      <c r="L49">
        <f>IF(TrialBalance[[#This Row],[BalanceType]]=1,_xlfn.XLOOKUP(TrialBalance[[#This Row],[AcctNo]],BalanceRef[AccountNo.],BalanceRef[Balance]),"")</f>
        <v>1020</v>
      </c>
      <c r="M49" t="str">
        <f>IF(TrialBalance[[#This Row],[BalanceType]]=2,_xlfn.XLOOKUP(TrialBalance[[#This Row],[AcctNo]],BalanceRef[AccountNo.],BalanceRef[Balance]),"")</f>
        <v/>
      </c>
      <c r="N49">
        <f>TrialBalance[[#This Row],[Debit Balance]]</f>
        <v>1020</v>
      </c>
    </row>
    <row r="50" spans="5:17" x14ac:dyDescent="0.25">
      <c r="E50" t="str">
        <f>_xlfn.XLOOKUP($F50,acct_ref[AcctNo],acct_ref[AccountName],"missing",0)</f>
        <v>Shop Expense</v>
      </c>
      <c r="F50">
        <v>5013</v>
      </c>
      <c r="G50">
        <f>IF(E50=TrialBalance[[#This Row],[AccountName]],1,0)</f>
        <v>1</v>
      </c>
      <c r="H50" t="str">
        <f>_xlfn.XLOOKUP(TrialBalance[[#This Row],[AccountName]],acct_ref[AccountName],acct_ref[AcctType],"Missing",0)</f>
        <v>Expense</v>
      </c>
      <c r="I50" t="str">
        <f>_xlfn.XLOOKUP(TrialBalance[[#This Row],[AcctNo]],acct_ref[AcctNo],acct_ref[AccountName],"Error/Missing Info",0)</f>
        <v>Shop Expense</v>
      </c>
      <c r="J50" s="11">
        <v>5013</v>
      </c>
      <c r="K50" s="11">
        <f>_xlfn.XLOOKUP(TrialBalance[[#This Row],[AcctNo]],acct_ref[AcctNo],acct_ref[BalanceID],"",0)</f>
        <v>1</v>
      </c>
      <c r="L50">
        <f>IF(TrialBalance[[#This Row],[BalanceType]]=1,_xlfn.XLOOKUP(TrialBalance[[#This Row],[AcctNo]],BalanceRef[AccountNo.],BalanceRef[Balance]),"")</f>
        <v>0</v>
      </c>
      <c r="M50" t="str">
        <f>IF(TrialBalance[[#This Row],[BalanceType]]=2,_xlfn.XLOOKUP(TrialBalance[[#This Row],[AcctNo]],BalanceRef[AccountNo.],BalanceRef[Balance]),"")</f>
        <v/>
      </c>
      <c r="N50">
        <f>TrialBalance[[#This Row],[Debit Balance]]</f>
        <v>0</v>
      </c>
    </row>
    <row r="51" spans="5:17" x14ac:dyDescent="0.25">
      <c r="E51" t="str">
        <f>_xlfn.XLOOKUP($F51,acct_ref[AcctNo],acct_ref[AccountName],"missing",0)</f>
        <v>Office &amp; Computer Expense</v>
      </c>
      <c r="F51">
        <v>5014</v>
      </c>
      <c r="G51">
        <f>IF(E51=TrialBalance[[#This Row],[AccountName]],1,0)</f>
        <v>1</v>
      </c>
      <c r="H51" t="str">
        <f>_xlfn.XLOOKUP(TrialBalance[[#This Row],[AccountName]],acct_ref[AccountName],acct_ref[AcctType],"Missing",0)</f>
        <v>Expense</v>
      </c>
      <c r="I51" t="str">
        <f>_xlfn.XLOOKUP(TrialBalance[[#This Row],[AcctNo]],acct_ref[AcctNo],acct_ref[AccountName],"Error/Missing Info",0)</f>
        <v>Office &amp; Computer Expense</v>
      </c>
      <c r="J51" s="11">
        <v>5014</v>
      </c>
      <c r="K51" s="11">
        <f>_xlfn.XLOOKUP(TrialBalance[[#This Row],[AcctNo]],acct_ref[AcctNo],acct_ref[BalanceID],"",0)</f>
        <v>1</v>
      </c>
      <c r="L51">
        <f>IF(TrialBalance[[#This Row],[BalanceType]]=1,_xlfn.XLOOKUP(TrialBalance[[#This Row],[AcctNo]],BalanceRef[AccountNo.],BalanceRef[Balance]),"")</f>
        <v>38</v>
      </c>
      <c r="M51" t="str">
        <f>IF(TrialBalance[[#This Row],[BalanceType]]=2,_xlfn.XLOOKUP(TrialBalance[[#This Row],[AcctNo]],BalanceRef[AccountNo.],BalanceRef[Balance]),"")</f>
        <v/>
      </c>
      <c r="N51">
        <f>TrialBalance[[#This Row],[Debit Balance]]</f>
        <v>38</v>
      </c>
    </row>
    <row r="52" spans="5:17" x14ac:dyDescent="0.25">
      <c r="E52" t="str">
        <f>_xlfn.XLOOKUP($F52,acct_ref[AcctNo],acct_ref[AccountName],"missing",0)</f>
        <v>Self-Care Expense</v>
      </c>
      <c r="F52">
        <v>5015</v>
      </c>
      <c r="G52">
        <f>IF(E52=TrialBalance[[#This Row],[AccountName]],1,0)</f>
        <v>1</v>
      </c>
      <c r="H52" t="str">
        <f>_xlfn.XLOOKUP(TrialBalance[[#This Row],[AccountName]],acct_ref[AccountName],acct_ref[AcctType],"Missing",0)</f>
        <v>Expense</v>
      </c>
      <c r="I52" t="str">
        <f>_xlfn.XLOOKUP(TrialBalance[[#This Row],[AcctNo]],acct_ref[AcctNo],acct_ref[AccountName],"Error/Missing Info",0)</f>
        <v>Self-Care Expense</v>
      </c>
      <c r="J52" s="11">
        <v>5015</v>
      </c>
      <c r="K52" s="11">
        <f>_xlfn.XLOOKUP(TrialBalance[[#This Row],[AcctNo]],acct_ref[AcctNo],acct_ref[BalanceID],"",0)</f>
        <v>1</v>
      </c>
      <c r="L52">
        <f>IF(TrialBalance[[#This Row],[BalanceType]]=1,_xlfn.XLOOKUP(TrialBalance[[#This Row],[AcctNo]],BalanceRef[AccountNo.],BalanceRef[Balance]),"")</f>
        <v>24.8</v>
      </c>
      <c r="M52" t="str">
        <f>IF(TrialBalance[[#This Row],[BalanceType]]=2,_xlfn.XLOOKUP(TrialBalance[[#This Row],[AcctNo]],BalanceRef[AccountNo.],BalanceRef[Balance]),"")</f>
        <v/>
      </c>
      <c r="N52">
        <f>TrialBalance[[#This Row],[Debit Balance]]</f>
        <v>24.8</v>
      </c>
    </row>
    <row r="53" spans="5:17" x14ac:dyDescent="0.25">
      <c r="E53" t="str">
        <f>_xlfn.XLOOKUP($F53,acct_ref[AcctNo],acct_ref[AccountName],"missing",0)</f>
        <v>Travel Expense</v>
      </c>
      <c r="F53">
        <v>5016</v>
      </c>
      <c r="G53">
        <f>IF(E53=TrialBalance[[#This Row],[AccountName]],1,0)</f>
        <v>1</v>
      </c>
      <c r="H53" t="str">
        <f>_xlfn.XLOOKUP(TrialBalance[[#This Row],[AccountName]],acct_ref[AccountName],acct_ref[AcctType],"Missing",0)</f>
        <v>Expense</v>
      </c>
      <c r="I53" t="str">
        <f>_xlfn.XLOOKUP(TrialBalance[[#This Row],[AcctNo]],acct_ref[AcctNo],acct_ref[AccountName],"Error/Missing Info",0)</f>
        <v>Travel Expense</v>
      </c>
      <c r="J53" s="11">
        <v>5016</v>
      </c>
      <c r="K53" s="11">
        <f>_xlfn.XLOOKUP(TrialBalance[[#This Row],[AcctNo]],acct_ref[AcctNo],acct_ref[BalanceID],"",0)</f>
        <v>1</v>
      </c>
      <c r="L53">
        <f>IF(TrialBalance[[#This Row],[BalanceType]]=1,_xlfn.XLOOKUP(TrialBalance[[#This Row],[AcctNo]],BalanceRef[AccountNo.],BalanceRef[Balance]),"")</f>
        <v>0</v>
      </c>
      <c r="M53" t="str">
        <f>IF(TrialBalance[[#This Row],[BalanceType]]=2,_xlfn.XLOOKUP(TrialBalance[[#This Row],[AcctNo]],BalanceRef[AccountNo.],BalanceRef[Balance]),"")</f>
        <v/>
      </c>
      <c r="N53">
        <f>TrialBalance[[#This Row],[Debit Balance]]</f>
        <v>0</v>
      </c>
    </row>
    <row r="54" spans="5:17" x14ac:dyDescent="0.25">
      <c r="E54" t="str">
        <f>_xlfn.XLOOKUP($F54,acct_ref[AcctNo],acct_ref[AccountName],"missing",0)</f>
        <v>Education Expense</v>
      </c>
      <c r="F54">
        <v>5017</v>
      </c>
      <c r="G54">
        <f>IF(E54=TrialBalance[[#This Row],[AccountName]],1,0)</f>
        <v>1</v>
      </c>
      <c r="H54" t="str">
        <f>_xlfn.XLOOKUP(TrialBalance[[#This Row],[AccountName]],acct_ref[AccountName],acct_ref[AcctType],"Missing",0)</f>
        <v>Expense</v>
      </c>
      <c r="I54" t="str">
        <f>_xlfn.XLOOKUP(TrialBalance[[#This Row],[AcctNo]],acct_ref[AcctNo],acct_ref[AccountName],"Error/Missing Info",0)</f>
        <v>Education Expense</v>
      </c>
      <c r="J54" s="11">
        <v>5017</v>
      </c>
      <c r="K54" s="11">
        <f>_xlfn.XLOOKUP(TrialBalance[[#This Row],[AcctNo]],acct_ref[AcctNo],acct_ref[BalanceID],"",0)</f>
        <v>1</v>
      </c>
      <c r="L54">
        <f>IF(TrialBalance[[#This Row],[BalanceType]]=1,_xlfn.XLOOKUP(TrialBalance[[#This Row],[AcctNo]],BalanceRef[AccountNo.],BalanceRef[Balance]),"")</f>
        <v>0</v>
      </c>
      <c r="M54" t="str">
        <f>IF(TrialBalance[[#This Row],[BalanceType]]=2,_xlfn.XLOOKUP(TrialBalance[[#This Row],[AcctNo]],BalanceRef[AccountNo.],BalanceRef[Balance]),"")</f>
        <v/>
      </c>
      <c r="N54">
        <f>TrialBalance[[#This Row],[Debit Balance]]</f>
        <v>0</v>
      </c>
    </row>
    <row r="55" spans="5:17" x14ac:dyDescent="0.25">
      <c r="E55" t="str">
        <f>_xlfn.XLOOKUP($F55,acct_ref[AcctNo],acct_ref[AccountName],"missing",0)</f>
        <v>Connect Expense</v>
      </c>
      <c r="F55">
        <v>5018</v>
      </c>
      <c r="G55">
        <f>IF(E55=TrialBalance[[#This Row],[AccountName]],1,0)</f>
        <v>1</v>
      </c>
      <c r="H55" t="str">
        <f>_xlfn.XLOOKUP(TrialBalance[[#This Row],[AccountName]],acct_ref[AccountName],acct_ref[AcctType],"Missing",0)</f>
        <v>Expense</v>
      </c>
      <c r="I55" t="str">
        <f>_xlfn.XLOOKUP(TrialBalance[[#This Row],[AcctNo]],acct_ref[AcctNo],acct_ref[AccountName],"Error/Missing Info",0)</f>
        <v>Connect Expense</v>
      </c>
      <c r="J55" s="11">
        <v>5018</v>
      </c>
      <c r="K55" s="11">
        <f>_xlfn.XLOOKUP(TrialBalance[[#This Row],[AcctNo]],acct_ref[AcctNo],acct_ref[BalanceID],"",0)</f>
        <v>1</v>
      </c>
      <c r="L55">
        <f>IF(TrialBalance[[#This Row],[BalanceType]]=1,_xlfn.XLOOKUP(TrialBalance[[#This Row],[AcctNo]],BalanceRef[AccountNo.],BalanceRef[Balance]),"")</f>
        <v>0</v>
      </c>
      <c r="M55" t="str">
        <f>IF(TrialBalance[[#This Row],[BalanceType]]=2,_xlfn.XLOOKUP(TrialBalance[[#This Row],[AcctNo]],BalanceRef[AccountNo.],BalanceRef[Balance]),"")</f>
        <v/>
      </c>
      <c r="N55">
        <f>TrialBalance[[#This Row],[Debit Balance]]</f>
        <v>0</v>
      </c>
    </row>
    <row r="56" spans="5:17" x14ac:dyDescent="0.25">
      <c r="E56" t="str">
        <f>_xlfn.XLOOKUP($F56,acct_ref[AcctNo],acct_ref[AccountName],"missing",0)</f>
        <v>Receivable Expense</v>
      </c>
      <c r="F56">
        <v>5019</v>
      </c>
      <c r="G56">
        <f>IF(E56=TrialBalance[[#This Row],[AccountName]],1,0)</f>
        <v>1</v>
      </c>
      <c r="H56" t="str">
        <f>_xlfn.XLOOKUP(TrialBalance[[#This Row],[AccountName]],acct_ref[AccountName],acct_ref[AcctType],"Missing",0)</f>
        <v>Expense</v>
      </c>
      <c r="I56" t="str">
        <f>_xlfn.XLOOKUP(TrialBalance[[#This Row],[AcctNo]],acct_ref[AcctNo],acct_ref[AccountName],"Error/Missing Info",0)</f>
        <v>Receivable Expense</v>
      </c>
      <c r="J56" s="11">
        <v>5019</v>
      </c>
      <c r="K56" s="11">
        <f>_xlfn.XLOOKUP(TrialBalance[[#This Row],[AcctNo]],acct_ref[AcctNo],acct_ref[BalanceID],"",0)</f>
        <v>1</v>
      </c>
      <c r="L56">
        <f>IF(TrialBalance[[#This Row],[BalanceType]]=1,_xlfn.XLOOKUP(TrialBalance[[#This Row],[AcctNo]],BalanceRef[AccountNo.],BalanceRef[Balance]),"")</f>
        <v>0</v>
      </c>
      <c r="M56" t="str">
        <f>IF(TrialBalance[[#This Row],[BalanceType]]=2,_xlfn.XLOOKUP(TrialBalance[[#This Row],[AcctNo]],BalanceRef[AccountNo.],BalanceRef[Balance]),"")</f>
        <v/>
      </c>
    </row>
    <row r="57" spans="5:17" x14ac:dyDescent="0.25">
      <c r="E57" t="str">
        <f>_xlfn.XLOOKUP($F57,acct_ref[AcctNo],acct_ref[AccountName],"missing",0)</f>
        <v>Tax Sales</v>
      </c>
      <c r="F57">
        <v>5025</v>
      </c>
      <c r="G57">
        <f>IF(E57=TrialBalance[[#This Row],[AccountName]],1,0)</f>
        <v>1</v>
      </c>
      <c r="H57" t="str">
        <f>_xlfn.XLOOKUP(TrialBalance[[#This Row],[AccountName]],acct_ref[AccountName],acct_ref[AcctType],"Missing",0)</f>
        <v>Expense</v>
      </c>
      <c r="I57" t="str">
        <f>_xlfn.XLOOKUP(TrialBalance[[#This Row],[AcctNo]],acct_ref[AcctNo],acct_ref[AccountName],"Error/Missing Info",0)</f>
        <v>Tax Sales</v>
      </c>
      <c r="J57" s="11">
        <v>5025</v>
      </c>
      <c r="K57" s="11">
        <f>_xlfn.XLOOKUP(TrialBalance[[#This Row],[AcctNo]],acct_ref[AcctNo],acct_ref[BalanceID],"",0)</f>
        <v>1</v>
      </c>
      <c r="L57">
        <f>IF(TrialBalance[[#This Row],[BalanceType]]=1,_xlfn.XLOOKUP(TrialBalance[[#This Row],[AcctNo]],BalanceRef[AccountNo.],BalanceRef[Balance]),"")</f>
        <v>0</v>
      </c>
      <c r="M57" t="str">
        <f>IF(TrialBalance[[#This Row],[BalanceType]]=2,_xlfn.XLOOKUP(TrialBalance[[#This Row],[AcctNo]],BalanceRef[AccountNo.],BalanceRef[Balance]),"")</f>
        <v/>
      </c>
    </row>
    <row r="58" spans="5:17" x14ac:dyDescent="0.25">
      <c r="E58" t="str">
        <f>_xlfn.XLOOKUP($F58,acct_ref[AcctNo],acct_ref[AccountName],"missing",0)</f>
        <v>Misc Expense</v>
      </c>
      <c r="F58">
        <v>5050</v>
      </c>
      <c r="G58">
        <f>IF(E58=TrialBalance[[#This Row],[AccountName]],1,0)</f>
        <v>1</v>
      </c>
      <c r="H58" t="str">
        <f>_xlfn.XLOOKUP(TrialBalance[[#This Row],[AccountName]],acct_ref[AccountName],acct_ref[AcctType],"Missing",0)</f>
        <v>Expense</v>
      </c>
      <c r="I58" t="str">
        <f>_xlfn.XLOOKUP(TrialBalance[[#This Row],[AcctNo]],acct_ref[AcctNo],acct_ref[AccountName],"Error/Missing Info",0)</f>
        <v>Misc Expense</v>
      </c>
      <c r="J58" s="11">
        <v>5050</v>
      </c>
      <c r="K58" s="11">
        <f>_xlfn.XLOOKUP(TrialBalance[[#This Row],[AcctNo]],acct_ref[AcctNo],acct_ref[BalanceID],"",0)</f>
        <v>1</v>
      </c>
      <c r="L58">
        <f>IF(TrialBalance[[#This Row],[BalanceType]]=1,_xlfn.XLOOKUP(TrialBalance[[#This Row],[AcctNo]],BalanceRef[AccountNo.],BalanceRef[Balance]),"")</f>
        <v>8.9499999999999993</v>
      </c>
      <c r="M58" t="str">
        <f>IF(TrialBalance[[#This Row],[BalanceType]]=2,_xlfn.XLOOKUP(TrialBalance[[#This Row],[AcctNo]],BalanceRef[AccountNo.],BalanceRef[Balance]),"")</f>
        <v/>
      </c>
      <c r="Q58">
        <f>SUMIFS(TrialBalance[Debit Balance],TrialBalance[Type],"Expense")</f>
        <v>3052.52</v>
      </c>
    </row>
    <row r="59" spans="5:17" x14ac:dyDescent="0.25">
      <c r="I59" t="s">
        <v>18</v>
      </c>
      <c r="L59">
        <f>SUBTOTAL(109,TrialBalance[Debit Balance])</f>
        <v>3643.5099999999998</v>
      </c>
      <c r="M59">
        <f>SUBTOTAL(109,TrialBalance[Credit Balance])</f>
        <v>3750</v>
      </c>
      <c r="N59">
        <f>SUBTOTAL(109,TrialBalance[IncStat Debit Balance])</f>
        <v>3043.57</v>
      </c>
      <c r="O59">
        <f>SUBTOTAL(109,TrialBalance[IncStat Credit Balance])</f>
        <v>3750</v>
      </c>
    </row>
  </sheetData>
  <mergeCells count="1">
    <mergeCell ref="L5:M5"/>
  </mergeCells>
  <conditionalFormatting sqref="H6">
    <cfRule type="containsText" dxfId="37" priority="5" operator="containsText" text="Correct">
      <formula>NOT(ISERROR(SEARCH("Correct",H6)))</formula>
    </cfRule>
    <cfRule type="cellIs" dxfId="36" priority="6" operator="lessThan">
      <formula>0</formula>
    </cfRule>
  </conditionalFormatting>
  <conditionalFormatting sqref="L6:M6">
    <cfRule type="containsText" dxfId="35" priority="3" operator="containsText" text="Balanced">
      <formula>NOT(ISERROR(SEARCH("Balanced",L6)))</formula>
    </cfRule>
    <cfRule type="cellIs" dxfId="34" priority="4" operator="greaterThan">
      <formula>0</formula>
    </cfRule>
  </conditionalFormatting>
  <conditionalFormatting sqref="G8:G58">
    <cfRule type="cellIs" dxfId="33" priority="1" operator="equal">
      <formula>0</formula>
    </cfRule>
    <cfRule type="cellIs" dxfId="32" priority="2" operator="equal">
      <formula>1</formula>
    </cfRule>
  </conditionalFormatting>
  <dataValidations count="3">
    <dataValidation type="list" allowBlank="1" showInputMessage="1" showErrorMessage="1" sqref="I8:I58" xr:uid="{2311D351-B2DA-4858-BC7A-94C124C57582}">
      <formula1>list_acct_name</formula1>
    </dataValidation>
    <dataValidation type="list" allowBlank="1" showInputMessage="1" showErrorMessage="1" sqref="H8:H58" xr:uid="{63648718-1F8A-42CF-8016-855EDFBFE350}">
      <formula1>list_acct_type</formula1>
    </dataValidation>
    <dataValidation type="list" allowBlank="1" showInputMessage="1" showErrorMessage="1" sqref="K8:K58" xr:uid="{27C86292-1E40-4BFD-9364-D67FBFE30EC4}">
      <formula1>list_acct_bal_type</formula1>
    </dataValidation>
  </dataValidations>
  <pageMargins left="0.7" right="0.7" top="0.75" bottom="0.75" header="0.3" footer="0.3"/>
  <pageSetup orientation="portrait" horizontalDpi="0" verticalDpi="0" r:id="rId1"/>
  <drawing r:id="rId2"/>
  <legacyDrawing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B6D77-7D6A-4015-9585-87EF2E5644B1}">
  <sheetPr codeName="Sheet21">
    <tabColor theme="7" tint="-0.249977111117893"/>
  </sheetPr>
  <dimension ref="A1:AA190"/>
  <sheetViews>
    <sheetView showGridLines="0" workbookViewId="0"/>
  </sheetViews>
  <sheetFormatPr defaultRowHeight="15" outlineLevelCol="1" x14ac:dyDescent="0.25"/>
  <cols>
    <col min="1" max="1" width="3.7109375" customWidth="1"/>
    <col min="2" max="2" width="23" style="11" customWidth="1"/>
    <col min="3" max="3" width="13.7109375" style="110" customWidth="1"/>
    <col min="4" max="4" width="27.7109375" customWidth="1"/>
    <col min="5" max="5" width="12.7109375" customWidth="1"/>
    <col min="6" max="6" width="17.7109375" customWidth="1"/>
    <col min="7" max="7" width="31.7109375" style="21" hidden="1" customWidth="1" outlineLevel="1"/>
    <col min="8" max="8" width="10.7109375" customWidth="1" collapsed="1"/>
    <col min="9" max="9" width="9.7109375" style="23" customWidth="1"/>
    <col min="10" max="10" width="13.7109375" style="79" customWidth="1"/>
    <col min="11" max="11" width="27.7109375" customWidth="1"/>
    <col min="12" max="12" width="12.7109375" style="40" customWidth="1"/>
    <col min="13" max="13" width="17.7109375" style="40" customWidth="1"/>
    <col min="14" max="14" width="17.7109375" customWidth="1"/>
    <col min="15" max="15" width="10.7109375" customWidth="1"/>
    <col min="16" max="16" width="9.7109375" customWidth="1"/>
    <col min="17" max="17" width="13.7109375" customWidth="1"/>
    <col min="18" max="18" width="27.7109375" style="23" customWidth="1"/>
    <col min="19" max="19" width="12.7109375" customWidth="1"/>
    <col min="20" max="21" width="17.7109375" customWidth="1"/>
    <col min="22" max="22" width="10.7109375" customWidth="1"/>
    <col min="23" max="23" width="9.7109375" customWidth="1"/>
    <col min="24" max="24" width="13.7109375" customWidth="1"/>
    <col min="25" max="25" width="27.7109375" customWidth="1"/>
    <col min="26" max="26" width="12.7109375" customWidth="1"/>
    <col min="27" max="28" width="17.7109375" customWidth="1"/>
    <col min="29" max="29" width="10.7109375" customWidth="1"/>
    <col min="30" max="30" width="9.7109375" customWidth="1"/>
    <col min="31" max="31" width="13.7109375" customWidth="1"/>
    <col min="32" max="32" width="27.7109375" customWidth="1"/>
    <col min="33" max="33" width="12.7109375" customWidth="1"/>
    <col min="34" max="35" width="17.7109375" customWidth="1"/>
    <col min="36" max="36" width="10.7109375" customWidth="1"/>
    <col min="37" max="37" width="9.7109375" customWidth="1"/>
    <col min="38" max="38" width="13.7109375" customWidth="1"/>
    <col min="39" max="39" width="27.7109375" customWidth="1"/>
    <col min="40" max="40" width="12.7109375" customWidth="1"/>
    <col min="41" max="42" width="17.7109375" customWidth="1"/>
    <col min="43" max="43" width="10.7109375" customWidth="1"/>
    <col min="44" max="44" width="12.7109375" customWidth="1"/>
    <col min="45" max="46" width="17.7109375" customWidth="1"/>
    <col min="47" max="47" width="10.7109375" customWidth="1"/>
  </cols>
  <sheetData>
    <row r="1" spans="2:18" x14ac:dyDescent="0.25">
      <c r="B1" s="142"/>
      <c r="C1" s="143"/>
      <c r="D1" s="144"/>
      <c r="E1" s="144"/>
      <c r="F1" s="144"/>
      <c r="G1" s="145"/>
      <c r="H1" s="144"/>
      <c r="I1" s="142"/>
      <c r="J1" s="146"/>
      <c r="K1" s="144"/>
      <c r="L1" s="147"/>
      <c r="M1" s="147"/>
      <c r="N1" s="144"/>
      <c r="O1" s="144"/>
      <c r="P1" s="144"/>
      <c r="Q1" s="144"/>
      <c r="R1"/>
    </row>
    <row r="2" spans="2:18" ht="60" customHeight="1" x14ac:dyDescent="0.25">
      <c r="B2" s="321" t="s">
        <v>73</v>
      </c>
      <c r="C2" s="143"/>
      <c r="D2" s="144"/>
      <c r="E2" s="144"/>
      <c r="F2" s="144"/>
      <c r="G2" s="145"/>
      <c r="H2" s="144"/>
      <c r="I2" s="142"/>
      <c r="J2" s="146"/>
      <c r="K2" s="148"/>
      <c r="L2" s="149"/>
      <c r="M2" s="149"/>
      <c r="N2" s="144"/>
      <c r="O2" s="144"/>
      <c r="P2" s="144"/>
      <c r="Q2" s="144"/>
      <c r="R2"/>
    </row>
    <row r="3" spans="2:18" ht="9" customHeight="1" x14ac:dyDescent="0.4">
      <c r="B3" s="293"/>
      <c r="C3" s="143"/>
      <c r="D3" s="144"/>
      <c r="E3" s="144"/>
      <c r="F3" s="144"/>
      <c r="G3" s="145"/>
      <c r="H3" s="144"/>
      <c r="I3" s="142"/>
      <c r="J3" s="146"/>
      <c r="K3" s="148"/>
      <c r="L3" s="149"/>
      <c r="M3" s="149"/>
      <c r="N3" s="144"/>
      <c r="O3" s="144"/>
      <c r="P3" s="144"/>
      <c r="Q3" s="144"/>
      <c r="R3"/>
    </row>
    <row r="4" spans="2:18" ht="9" customHeight="1" x14ac:dyDescent="0.4">
      <c r="B4" s="78"/>
      <c r="C4" s="41"/>
      <c r="I4" s="11"/>
      <c r="L4" s="82"/>
      <c r="M4" s="80"/>
      <c r="R4"/>
    </row>
    <row r="5" spans="2:18" ht="16.5" customHeight="1" x14ac:dyDescent="0.25">
      <c r="C5" s="150" t="s">
        <v>40</v>
      </c>
      <c r="D5" s="151"/>
      <c r="E5" s="151"/>
      <c r="F5" s="152" t="s">
        <v>60</v>
      </c>
      <c r="I5" s="11"/>
      <c r="L5" s="82"/>
      <c r="M5" s="80"/>
      <c r="R5"/>
    </row>
    <row r="6" spans="2:18" ht="15" customHeight="1" x14ac:dyDescent="0.25">
      <c r="B6" s="11" t="s">
        <v>61</v>
      </c>
      <c r="C6" s="153" t="s">
        <v>42</v>
      </c>
      <c r="D6" s="18"/>
      <c r="E6" s="18"/>
      <c r="F6" s="154"/>
      <c r="G6" s="109"/>
      <c r="I6" s="11"/>
      <c r="L6" s="82"/>
      <c r="M6" s="81"/>
      <c r="R6"/>
    </row>
    <row r="7" spans="2:18" ht="15" customHeight="1" x14ac:dyDescent="0.25">
      <c r="C7" s="155" t="s">
        <v>20</v>
      </c>
      <c r="D7" s="156"/>
      <c r="E7" s="156"/>
      <c r="F7" s="157"/>
      <c r="G7" s="109"/>
      <c r="I7" s="11"/>
      <c r="L7" s="82"/>
      <c r="M7" s="81"/>
      <c r="R7"/>
    </row>
    <row r="8" spans="2:18" ht="8.1" customHeight="1" x14ac:dyDescent="0.25">
      <c r="C8" s="48"/>
      <c r="D8" s="18"/>
      <c r="E8" s="18"/>
      <c r="F8" s="18"/>
      <c r="G8" s="109"/>
      <c r="I8" s="11"/>
      <c r="L8" s="82"/>
      <c r="M8" s="81"/>
      <c r="R8"/>
    </row>
    <row r="9" spans="2:18" ht="23.25" customHeight="1" x14ac:dyDescent="0.25">
      <c r="C9" s="41"/>
      <c r="H9" s="5"/>
      <c r="I9" s="84"/>
      <c r="J9" s="85"/>
      <c r="R9"/>
    </row>
    <row r="10" spans="2:18" ht="8.1" customHeight="1" thickBot="1" x14ac:dyDescent="0.3">
      <c r="C10" s="41"/>
      <c r="H10" s="5"/>
      <c r="I10" s="84"/>
      <c r="J10" s="85"/>
      <c r="R10"/>
    </row>
    <row r="11" spans="2:18" ht="20.100000000000001" customHeight="1" x14ac:dyDescent="0.25">
      <c r="B11" s="126" t="s">
        <v>259</v>
      </c>
      <c r="C11" s="134" t="s">
        <v>258</v>
      </c>
      <c r="D11" s="76"/>
      <c r="E11" s="77" t="s">
        <v>261</v>
      </c>
      <c r="F11" s="127"/>
      <c r="I11" s="11"/>
      <c r="R11"/>
    </row>
    <row r="12" spans="2:18" ht="19.5" customHeight="1" thickBot="1" x14ac:dyDescent="0.3">
      <c r="B12" s="128">
        <f>_xlfn.XLOOKUP(C12,acct_ref[AccountName],acct_ref[AcctNo],"missing",0)</f>
        <v>5010</v>
      </c>
      <c r="C12" s="138" t="s">
        <v>211</v>
      </c>
      <c r="D12" s="139"/>
      <c r="E12" s="140" t="s">
        <v>260</v>
      </c>
      <c r="F12" s="141"/>
      <c r="I12" s="11"/>
      <c r="R12"/>
    </row>
    <row r="13" spans="2:18" ht="19.5" customHeight="1" x14ac:dyDescent="0.25">
      <c r="B13" s="129"/>
      <c r="C13" s="136" t="s">
        <v>174</v>
      </c>
      <c r="D13" s="124"/>
      <c r="E13" s="125"/>
      <c r="F13" s="137"/>
      <c r="I13" s="11"/>
      <c r="R13"/>
    </row>
    <row r="14" spans="2:18" ht="19.5" customHeight="1" thickBot="1" x14ac:dyDescent="0.3">
      <c r="B14" s="130"/>
      <c r="C14" s="135"/>
      <c r="D14" s="131"/>
      <c r="E14" s="132"/>
      <c r="F14" s="133"/>
      <c r="I14" s="11"/>
      <c r="R14"/>
    </row>
    <row r="15" spans="2:18" ht="8.1" customHeight="1" x14ac:dyDescent="0.25">
      <c r="C15" s="41"/>
      <c r="I15" s="11"/>
      <c r="R15"/>
    </row>
    <row r="16" spans="2:18" ht="26.25" customHeight="1" x14ac:dyDescent="0.25">
      <c r="C16" s="41"/>
      <c r="D16" s="113" t="s">
        <v>330</v>
      </c>
      <c r="E16" s="111">
        <f ca="1">IF(_xlfn.XLOOKUP($B$12,acct_ref[AcctNo],acct_ref[BalanceID])=1,SUM(E19:E5003)-SUM(F19:F5003),"")</f>
        <v>-725</v>
      </c>
      <c r="F16" s="112" t="str">
        <f>IF(_xlfn.XLOOKUP($B$12,acct_ref[AcctNo],acct_ref[BalanceID])=1,"",SUM(F19:F5003)-SUM(E19:E5003))</f>
        <v/>
      </c>
      <c r="I16" s="11"/>
      <c r="R16"/>
    </row>
    <row r="17" spans="2:20" ht="9.9499999999999993" customHeight="1" x14ac:dyDescent="0.25">
      <c r="I17" s="11"/>
      <c r="R17"/>
      <c r="S17" s="6"/>
      <c r="T17" s="5"/>
    </row>
    <row r="18" spans="2:20" x14ac:dyDescent="0.25">
      <c r="B18" s="11" t="s">
        <v>263</v>
      </c>
      <c r="C18" s="79" t="s">
        <v>12</v>
      </c>
      <c r="D18" s="11" t="s">
        <v>174</v>
      </c>
      <c r="E18" s="83" t="s">
        <v>264</v>
      </c>
      <c r="F18" s="83" t="s">
        <v>1</v>
      </c>
      <c r="G18" s="21" t="s">
        <v>184</v>
      </c>
    </row>
    <row r="19" spans="2:20" x14ac:dyDescent="0.25">
      <c r="B19" s="11" t="str" cm="1">
        <f t="array" aca="1" ref="B19:G32" ca="1">IFERROR(IF($C$14="",_xlfn.CHOOSECOLS(_xlfn._xlws.SORT(_xlfn._xlws.FILTER(Journal[],(Journal[AccountName]=$C$12),""),5,-1),5,1,3,6,7,8),_xlfn.CHOOSECOLS(_xlfn._xlws.SORT(_xlfn._xlws.FILTER(Journal[],(Journal[AccountName]=$C$12)*(Journal[Item]=$C$14),""),5,-1),5,1,3,6,7,8)),"no accounts associated with your request")</f>
        <v>Nutrition Expense</v>
      </c>
      <c r="C19" s="110">
        <f ca="1"/>
        <v>3</v>
      </c>
      <c r="D19" t="str">
        <f ca="1"/>
        <v>Debit</v>
      </c>
      <c r="E19" s="40">
        <f ca="1"/>
        <v>2</v>
      </c>
      <c r="F19" s="40">
        <f ca="1"/>
        <v>62.15</v>
      </c>
      <c r="G19" s="21">
        <f ca="1"/>
        <v>0</v>
      </c>
      <c r="T19" s="44"/>
    </row>
    <row r="20" spans="2:20" x14ac:dyDescent="0.25">
      <c r="B20" s="11" t="str">
        <f ca="1"/>
        <v>Nutrition Expense</v>
      </c>
      <c r="C20" s="110">
        <f ca="1"/>
        <v>9</v>
      </c>
      <c r="D20" t="str">
        <f ca="1"/>
        <v>Debit</v>
      </c>
      <c r="E20" s="40">
        <f ca="1"/>
        <v>5</v>
      </c>
      <c r="F20" s="40">
        <f ca="1"/>
        <v>62.6</v>
      </c>
      <c r="G20" s="21">
        <f ca="1"/>
        <v>0</v>
      </c>
      <c r="K20">
        <v>990</v>
      </c>
      <c r="T20" s="44"/>
    </row>
    <row r="21" spans="2:20" x14ac:dyDescent="0.25">
      <c r="B21" s="11" t="str">
        <f ca="1"/>
        <v>Nutrition Expense</v>
      </c>
      <c r="C21" s="110">
        <f ca="1"/>
        <v>15</v>
      </c>
      <c r="D21" t="str">
        <f ca="1"/>
        <v>Debit</v>
      </c>
      <c r="E21" s="40">
        <f ca="1"/>
        <v>8</v>
      </c>
      <c r="F21" s="40">
        <f ca="1"/>
        <v>56.25</v>
      </c>
      <c r="G21" s="21">
        <f ca="1"/>
        <v>0</v>
      </c>
      <c r="K21">
        <v>4138</v>
      </c>
      <c r="T21" s="44"/>
    </row>
    <row r="22" spans="2:20" x14ac:dyDescent="0.25">
      <c r="B22" s="11" t="str">
        <f ca="1"/>
        <v>Nutrition Expense</v>
      </c>
      <c r="C22" s="110">
        <f ca="1"/>
        <v>17</v>
      </c>
      <c r="D22" t="str">
        <f ca="1"/>
        <v>Debit</v>
      </c>
      <c r="E22" s="40">
        <f ca="1"/>
        <v>9</v>
      </c>
      <c r="F22" s="40">
        <f ca="1"/>
        <v>74.83</v>
      </c>
      <c r="G22" s="21">
        <f ca="1"/>
        <v>0</v>
      </c>
      <c r="K22">
        <v>2200</v>
      </c>
      <c r="M22" s="40">
        <v>6970</v>
      </c>
      <c r="T22" s="44"/>
    </row>
    <row r="23" spans="2:20" x14ac:dyDescent="0.25">
      <c r="B23" s="11" t="str">
        <f ca="1"/>
        <v>Nutrition Expense</v>
      </c>
      <c r="C23" s="110">
        <f ca="1"/>
        <v>27</v>
      </c>
      <c r="D23" t="str">
        <f ca="1"/>
        <v>Debit</v>
      </c>
      <c r="E23" s="40">
        <f ca="1"/>
        <v>14</v>
      </c>
      <c r="F23" s="40">
        <f ca="1"/>
        <v>78.900000000000006</v>
      </c>
      <c r="G23" s="21">
        <f ca="1"/>
        <v>0</v>
      </c>
      <c r="K23">
        <v>1800</v>
      </c>
      <c r="M23" s="40">
        <v>3428</v>
      </c>
    </row>
    <row r="24" spans="2:20" x14ac:dyDescent="0.25">
      <c r="B24" s="11" t="str">
        <f ca="1"/>
        <v>Nutrition Expense</v>
      </c>
      <c r="C24" s="110">
        <f ca="1"/>
        <v>31</v>
      </c>
      <c r="D24" t="str">
        <f ca="1"/>
        <v>Debit</v>
      </c>
      <c r="E24" s="40">
        <f ca="1"/>
        <v>16</v>
      </c>
      <c r="F24" s="40">
        <f ca="1"/>
        <v>51.2</v>
      </c>
      <c r="G24" s="21">
        <f ca="1"/>
        <v>0</v>
      </c>
      <c r="K24">
        <v>-500</v>
      </c>
      <c r="M24" s="40">
        <f>SUM(M22:M23)</f>
        <v>10398</v>
      </c>
    </row>
    <row r="25" spans="2:20" x14ac:dyDescent="0.25">
      <c r="B25" s="11" t="str">
        <f ca="1"/>
        <v>Nutrition Expense</v>
      </c>
      <c r="C25" s="110">
        <f ca="1"/>
        <v>39</v>
      </c>
      <c r="D25" t="str">
        <f ca="1"/>
        <v>Debit</v>
      </c>
      <c r="E25">
        <f ca="1"/>
        <v>20</v>
      </c>
      <c r="F25">
        <f ca="1"/>
        <v>71.349999999999994</v>
      </c>
      <c r="G25" s="21">
        <f ca="1"/>
        <v>0</v>
      </c>
      <c r="K25">
        <v>-600</v>
      </c>
    </row>
    <row r="26" spans="2:20" x14ac:dyDescent="0.25">
      <c r="B26" s="11" t="str">
        <f ca="1"/>
        <v>Nutrition Expense</v>
      </c>
      <c r="C26" s="110">
        <f ca="1"/>
        <v>47</v>
      </c>
      <c r="D26" t="str">
        <f ca="1"/>
        <v>Debit</v>
      </c>
      <c r="E26">
        <f ca="1"/>
        <v>24</v>
      </c>
      <c r="F26">
        <f ca="1"/>
        <v>69.45</v>
      </c>
      <c r="G26" s="21">
        <f ca="1"/>
        <v>0</v>
      </c>
      <c r="K26">
        <v>-65</v>
      </c>
    </row>
    <row r="27" spans="2:20" x14ac:dyDescent="0.25">
      <c r="B27" s="11" t="str">
        <f ca="1"/>
        <v>Nutrition Expense</v>
      </c>
      <c r="C27" s="110">
        <f ca="1"/>
        <v>53</v>
      </c>
      <c r="D27" t="str">
        <f ca="1"/>
        <v>Debit</v>
      </c>
      <c r="E27">
        <f ca="1"/>
        <v>27</v>
      </c>
      <c r="F27">
        <f ca="1"/>
        <v>69.8</v>
      </c>
      <c r="G27" s="21">
        <f ca="1"/>
        <v>0</v>
      </c>
      <c r="K27">
        <v>-26</v>
      </c>
    </row>
    <row r="28" spans="2:20" x14ac:dyDescent="0.25">
      <c r="B28" s="11" t="str">
        <f ca="1"/>
        <v>Nutrition Expense</v>
      </c>
      <c r="C28" s="110">
        <f ca="1"/>
        <v>57</v>
      </c>
      <c r="D28" t="str">
        <f ca="1"/>
        <v>Debit</v>
      </c>
      <c r="E28">
        <f ca="1"/>
        <v>29</v>
      </c>
      <c r="F28">
        <f ca="1"/>
        <v>88.1</v>
      </c>
      <c r="G28" s="21">
        <f ca="1"/>
        <v>0</v>
      </c>
      <c r="K28">
        <f>SUM(K20:K27)</f>
        <v>7937</v>
      </c>
    </row>
    <row r="29" spans="2:20" x14ac:dyDescent="0.25">
      <c r="B29" s="11" t="str">
        <f ca="1"/>
        <v>Nutrition Expense</v>
      </c>
      <c r="C29" s="110">
        <f ca="1"/>
        <v>61</v>
      </c>
      <c r="D29" t="str">
        <f ca="1"/>
        <v>Debit</v>
      </c>
      <c r="E29">
        <f ca="1"/>
        <v>31</v>
      </c>
      <c r="F29">
        <f ca="1"/>
        <v>84.1</v>
      </c>
      <c r="G29" s="21">
        <f ca="1"/>
        <v>0</v>
      </c>
    </row>
    <row r="30" spans="2:20" x14ac:dyDescent="0.25">
      <c r="B30" s="11" t="str">
        <f ca="1"/>
        <v>Nutrition Expense</v>
      </c>
      <c r="C30" s="110">
        <f ca="1"/>
        <v>63</v>
      </c>
      <c r="D30" t="str">
        <f ca="1"/>
        <v>Debit</v>
      </c>
      <c r="E30">
        <f ca="1"/>
        <v>32</v>
      </c>
      <c r="F30">
        <f ca="1"/>
        <v>72.3</v>
      </c>
      <c r="G30" s="21">
        <f ca="1"/>
        <v>0</v>
      </c>
    </row>
    <row r="31" spans="2:20" x14ac:dyDescent="0.25">
      <c r="B31" s="11" t="str">
        <f ca="1"/>
        <v>Nutrition Expense</v>
      </c>
      <c r="C31" s="110">
        <f ca="1"/>
        <v>75</v>
      </c>
      <c r="D31" t="str">
        <f ca="1"/>
        <v>Debit</v>
      </c>
      <c r="E31">
        <f ca="1"/>
        <v>38</v>
      </c>
      <c r="F31">
        <f ca="1"/>
        <v>81.97</v>
      </c>
      <c r="G31" s="21">
        <f ca="1"/>
        <v>0</v>
      </c>
    </row>
    <row r="32" spans="2:20" x14ac:dyDescent="0.25">
      <c r="B32" s="11" t="str">
        <f ca="1"/>
        <v>Nutrition Expense</v>
      </c>
      <c r="C32" s="110">
        <f ca="1"/>
        <v>79</v>
      </c>
      <c r="D32" t="str">
        <f ca="1"/>
        <v>Debit</v>
      </c>
      <c r="E32">
        <f ca="1"/>
        <v>40</v>
      </c>
      <c r="F32">
        <f ca="1"/>
        <v>97</v>
      </c>
      <c r="G32" s="21">
        <f ca="1"/>
        <v>0</v>
      </c>
    </row>
    <row r="71" spans="1:27" s="23" customFormat="1" x14ac:dyDescent="0.25">
      <c r="A71"/>
      <c r="B71" s="11"/>
      <c r="C71" s="110"/>
      <c r="D71"/>
      <c r="E71"/>
      <c r="F71"/>
      <c r="G71" s="21"/>
      <c r="H71"/>
      <c r="J71" s="79"/>
      <c r="K71"/>
      <c r="L71" s="40"/>
      <c r="M71" s="40"/>
      <c r="N71"/>
      <c r="O71"/>
      <c r="P71"/>
      <c r="Q71"/>
      <c r="S71"/>
      <c r="T71"/>
      <c r="U71"/>
      <c r="V71"/>
      <c r="W71"/>
      <c r="X71"/>
      <c r="Y71"/>
      <c r="Z71"/>
      <c r="AA71"/>
    </row>
    <row r="72" spans="1:27" s="23" customFormat="1" x14ac:dyDescent="0.25">
      <c r="A72"/>
      <c r="B72" s="11"/>
      <c r="C72" s="110"/>
      <c r="D72"/>
      <c r="E72"/>
      <c r="F72"/>
      <c r="G72" s="21"/>
      <c r="H72"/>
      <c r="J72" s="79"/>
      <c r="K72"/>
      <c r="L72" s="40"/>
      <c r="M72" s="40"/>
      <c r="N72"/>
      <c r="O72"/>
      <c r="P72"/>
      <c r="Q72"/>
      <c r="S72"/>
      <c r="T72"/>
      <c r="U72"/>
      <c r="V72"/>
      <c r="W72"/>
      <c r="X72"/>
      <c r="Y72"/>
      <c r="Z72"/>
      <c r="AA72"/>
    </row>
    <row r="73" spans="1:27" s="23" customFormat="1" x14ac:dyDescent="0.25">
      <c r="A73"/>
      <c r="B73" s="11"/>
      <c r="C73" s="110"/>
      <c r="D73"/>
      <c r="E73"/>
      <c r="F73"/>
      <c r="G73" s="21"/>
      <c r="H73"/>
      <c r="J73" s="79"/>
      <c r="K73"/>
      <c r="L73" s="40"/>
      <c r="M73" s="40"/>
      <c r="N73"/>
      <c r="O73"/>
      <c r="P73"/>
      <c r="Q73"/>
      <c r="S73"/>
      <c r="T73"/>
      <c r="U73"/>
      <c r="V73"/>
      <c r="W73"/>
      <c r="X73"/>
      <c r="Y73"/>
      <c r="Z73"/>
      <c r="AA73"/>
    </row>
    <row r="74" spans="1:27" s="23" customFormat="1" x14ac:dyDescent="0.25">
      <c r="A74"/>
      <c r="B74" s="11"/>
      <c r="C74" s="110"/>
      <c r="D74"/>
      <c r="E74"/>
      <c r="F74"/>
      <c r="G74" s="21"/>
      <c r="H74"/>
      <c r="J74" s="79"/>
      <c r="K74"/>
      <c r="L74" s="40"/>
      <c r="M74" s="40"/>
      <c r="N74"/>
      <c r="O74"/>
      <c r="P74"/>
      <c r="Q74"/>
      <c r="S74"/>
      <c r="T74"/>
      <c r="U74"/>
      <c r="V74"/>
      <c r="W74"/>
      <c r="X74"/>
      <c r="Y74"/>
      <c r="Z74"/>
      <c r="AA74"/>
    </row>
    <row r="75" spans="1:27" s="23" customFormat="1" x14ac:dyDescent="0.25">
      <c r="A75"/>
      <c r="B75" s="11"/>
      <c r="C75" s="110"/>
      <c r="D75"/>
      <c r="E75"/>
      <c r="F75"/>
      <c r="G75" s="21"/>
      <c r="H75"/>
      <c r="J75" s="79"/>
      <c r="K75"/>
      <c r="L75" s="40"/>
      <c r="M75" s="40"/>
      <c r="N75"/>
      <c r="O75"/>
      <c r="P75"/>
      <c r="Q75"/>
      <c r="S75"/>
      <c r="T75"/>
      <c r="U75"/>
      <c r="V75"/>
      <c r="W75"/>
      <c r="X75"/>
      <c r="Y75"/>
      <c r="Z75"/>
      <c r="AA75"/>
    </row>
    <row r="76" spans="1:27" s="23" customFormat="1" x14ac:dyDescent="0.25">
      <c r="A76"/>
      <c r="B76" s="11"/>
      <c r="C76" s="110"/>
      <c r="D76"/>
      <c r="E76"/>
      <c r="F76"/>
      <c r="G76" s="21"/>
      <c r="H76"/>
      <c r="J76" s="79"/>
      <c r="K76"/>
      <c r="L76" s="40"/>
      <c r="M76" s="40"/>
      <c r="N76"/>
      <c r="O76"/>
      <c r="P76"/>
      <c r="Q76"/>
      <c r="S76"/>
      <c r="T76"/>
      <c r="U76"/>
      <c r="V76"/>
      <c r="W76"/>
      <c r="X76"/>
      <c r="Y76"/>
      <c r="Z76"/>
      <c r="AA76"/>
    </row>
    <row r="77" spans="1:27" s="23" customFormat="1" x14ac:dyDescent="0.25">
      <c r="A77"/>
      <c r="B77" s="11"/>
      <c r="C77" s="110"/>
      <c r="D77"/>
      <c r="E77"/>
      <c r="F77"/>
      <c r="G77" s="21"/>
      <c r="H77"/>
      <c r="J77" s="79"/>
      <c r="K77"/>
      <c r="L77" s="40"/>
      <c r="M77" s="40"/>
      <c r="N77"/>
      <c r="O77"/>
      <c r="P77"/>
      <c r="Q77"/>
      <c r="S77"/>
      <c r="T77"/>
      <c r="U77"/>
      <c r="V77"/>
      <c r="W77"/>
      <c r="X77"/>
      <c r="Y77"/>
      <c r="Z77"/>
      <c r="AA77"/>
    </row>
    <row r="78" spans="1:27" s="23" customFormat="1" x14ac:dyDescent="0.25">
      <c r="A78"/>
      <c r="B78" s="11"/>
      <c r="C78" s="110"/>
      <c r="D78"/>
      <c r="E78"/>
      <c r="F78"/>
      <c r="G78" s="21"/>
      <c r="H78"/>
      <c r="J78" s="79"/>
      <c r="K78"/>
      <c r="L78" s="40"/>
      <c r="M78" s="40"/>
      <c r="N78"/>
      <c r="O78"/>
      <c r="P78"/>
      <c r="Q78"/>
      <c r="S78"/>
      <c r="T78"/>
      <c r="U78"/>
      <c r="V78"/>
      <c r="W78"/>
      <c r="X78"/>
      <c r="Y78"/>
      <c r="Z78"/>
      <c r="AA78"/>
    </row>
    <row r="190" spans="5:6" x14ac:dyDescent="0.25">
      <c r="E190" s="40"/>
      <c r="F190" s="40"/>
    </row>
  </sheetData>
  <phoneticPr fontId="32" type="noConversion"/>
  <conditionalFormatting sqref="K25:K1048576 D19:D24">
    <cfRule type="containsText" dxfId="31" priority="1" operator="containsText" text="data missing">
      <formula>NOT(ISERROR(SEARCH("data missing",D19)))</formula>
    </cfRule>
  </conditionalFormatting>
  <dataValidations count="2">
    <dataValidation type="list" allowBlank="1" showInputMessage="1" showErrorMessage="1" sqref="C12" xr:uid="{BB787B27-9DBF-43BF-871E-7EBCC8464075}">
      <formula1>INDIRECT("AcctRef[AccountName]")</formula1>
    </dataValidation>
    <dataValidation type="list" allowBlank="1" showInputMessage="1" showErrorMessage="1" sqref="C14" xr:uid="{88D54E2A-C679-4C50-9A75-957BB944BA9E}">
      <formula1>INDIRECT("ItemRef[Item]")</formula1>
    </dataValidation>
  </dataValidations>
  <hyperlinks>
    <hyperlink ref="C5" location="TitlePage!A1" display="Title Page" xr:uid="{B3F5D141-F2D3-4221-A2BB-AB48EBDB3A0F}"/>
    <hyperlink ref="C6" location="Journal!A1" display="Journal" xr:uid="{A07F2849-1FDD-4895-B950-B31AB29C900A}"/>
    <hyperlink ref="C7" location="'Trial Balance'!A1" display="Trial Balance" xr:uid="{F3F87A9A-A022-444A-9C49-D34D5B755723}"/>
    <hyperlink ref="F5" location="AcctRef!A1" display="Account Reference" xr:uid="{2161F470-C60E-4812-8AD1-DD500BBCA273}"/>
  </hyperlink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AdjustColumnWidths">
                <anchor>
                  <from>
                    <xdr:col>3</xdr:col>
                    <xdr:colOff>1371600</xdr:colOff>
                    <xdr:row>5</xdr:row>
                    <xdr:rowOff>38100</xdr:rowOff>
                  </from>
                  <to>
                    <xdr:col>5</xdr:col>
                    <xdr:colOff>266700</xdr:colOff>
                    <xdr:row>6</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78943-AD72-4302-A8CC-1C84DA6FE2CB}">
  <sheetPr codeName="Sheet8"/>
  <dimension ref="B1:Y47"/>
  <sheetViews>
    <sheetView workbookViewId="0">
      <selection activeCell="G26" sqref="G26:M26"/>
    </sheetView>
  </sheetViews>
  <sheetFormatPr defaultColWidth="7.85546875" defaultRowHeight="16.5" customHeight="1" x14ac:dyDescent="0.25"/>
  <cols>
    <col min="1" max="1" width="5.140625" style="86" customWidth="1"/>
    <col min="2" max="2" width="24.140625" style="86" customWidth="1"/>
    <col min="3" max="3" width="10.5703125" style="86" customWidth="1"/>
    <col min="4" max="5" width="5.7109375" style="86" customWidth="1"/>
    <col min="6" max="6" width="6.5703125" style="86" customWidth="1"/>
    <col min="7" max="7" width="5.85546875" style="86" customWidth="1"/>
    <col min="8" max="9" width="7.85546875" style="86"/>
    <col min="10" max="10" width="2.85546875" style="87" customWidth="1"/>
    <col min="11" max="11" width="5.28515625" style="87" customWidth="1"/>
    <col min="12" max="14" width="7.28515625" style="86" customWidth="1"/>
    <col min="15" max="15" width="1.28515625" style="86" customWidth="1"/>
    <col min="16" max="16" width="10.140625" style="86" customWidth="1"/>
    <col min="17" max="17" width="2.42578125" style="86" customWidth="1"/>
    <col min="18" max="18" width="5.28515625" style="86" customWidth="1"/>
    <col min="19" max="22" width="7.7109375" style="86" customWidth="1"/>
    <col min="23" max="23" width="1.42578125" style="86" customWidth="1"/>
    <col min="24" max="24" width="10.140625" style="86" customWidth="1"/>
    <col min="25" max="16384" width="7.85546875" style="86"/>
  </cols>
  <sheetData>
    <row r="1" spans="2:25" ht="29.25" customHeight="1" x14ac:dyDescent="0.25">
      <c r="J1" s="123"/>
      <c r="K1" s="123"/>
      <c r="L1" s="123"/>
      <c r="M1" s="123"/>
      <c r="N1" s="123"/>
      <c r="O1" s="123"/>
      <c r="P1" s="123"/>
      <c r="Q1" s="123"/>
      <c r="R1" s="123"/>
      <c r="S1" s="123"/>
      <c r="T1" s="123"/>
      <c r="U1" s="123"/>
      <c r="V1" s="123"/>
      <c r="W1" s="123"/>
      <c r="X1" s="123"/>
    </row>
    <row r="2" spans="2:25" ht="16.5" customHeight="1" x14ac:dyDescent="0.25">
      <c r="J2" s="86"/>
      <c r="K2" s="122"/>
      <c r="L2" s="122"/>
      <c r="M2" s="122"/>
      <c r="N2" s="122"/>
      <c r="O2" s="122"/>
      <c r="P2" s="122"/>
      <c r="Q2" s="122"/>
      <c r="R2" s="122"/>
      <c r="S2" s="122"/>
      <c r="T2" s="122"/>
      <c r="U2" s="122"/>
      <c r="V2" s="122"/>
      <c r="W2" s="122"/>
      <c r="X2" s="122"/>
      <c r="Y2" s="122"/>
    </row>
    <row r="3" spans="2:25" ht="16.5" customHeight="1" x14ac:dyDescent="0.25">
      <c r="B3" s="86" t="str" cm="1">
        <f t="array" ref="B3:D22">_xlfn.CHOOSECOLS(Pers_State_Calc[],1,2,3)</f>
        <v>Cash, Chequing</v>
      </c>
      <c r="C3" s="86" t="str">
        <v>Asset</v>
      </c>
      <c r="D3" s="86">
        <v>1</v>
      </c>
      <c r="G3" s="348" t="s">
        <v>313</v>
      </c>
      <c r="H3" s="348"/>
      <c r="I3" s="348"/>
      <c r="J3" s="348"/>
      <c r="K3" s="348"/>
      <c r="L3" s="348"/>
      <c r="M3" s="348"/>
      <c r="N3" s="348"/>
      <c r="O3" s="348"/>
      <c r="P3" s="348"/>
      <c r="Q3" s="348"/>
      <c r="R3" s="348"/>
      <c r="S3" s="348"/>
      <c r="T3" s="348"/>
      <c r="U3" s="348"/>
      <c r="V3" s="116"/>
      <c r="W3" s="117"/>
      <c r="X3" s="117"/>
      <c r="Y3" s="117"/>
    </row>
    <row r="4" spans="2:25" ht="16.5" customHeight="1" x14ac:dyDescent="0.25">
      <c r="B4" s="86" t="str">
        <v>RRSP</v>
      </c>
      <c r="C4" s="86" t="str">
        <v>Asset</v>
      </c>
      <c r="D4" s="86">
        <v>2</v>
      </c>
      <c r="G4" s="349" t="s">
        <v>312</v>
      </c>
      <c r="H4" s="349"/>
      <c r="I4" s="349"/>
      <c r="J4" s="349"/>
      <c r="K4" s="349"/>
      <c r="L4" s="349"/>
      <c r="M4" s="349"/>
      <c r="N4" s="349"/>
      <c r="O4" s="349"/>
      <c r="P4" s="349"/>
      <c r="Q4" s="349"/>
      <c r="R4" s="349"/>
      <c r="S4" s="349"/>
      <c r="T4" s="349"/>
      <c r="U4" s="349"/>
      <c r="V4" s="116"/>
      <c r="W4" s="117"/>
      <c r="X4" s="117"/>
      <c r="Y4" s="117"/>
    </row>
    <row r="5" spans="2:25" ht="16.5" customHeight="1" x14ac:dyDescent="0.25">
      <c r="B5" s="86" t="str">
        <v>Savings</v>
      </c>
      <c r="C5" s="86" t="str">
        <v>Asset</v>
      </c>
      <c r="D5" s="86">
        <v>3</v>
      </c>
      <c r="G5" s="350" t="s">
        <v>311</v>
      </c>
      <c r="H5" s="350"/>
      <c r="I5" s="350"/>
      <c r="J5" s="351" t="s">
        <v>310</v>
      </c>
      <c r="K5" s="351"/>
      <c r="L5" s="351"/>
      <c r="M5" s="351"/>
      <c r="N5" s="351"/>
      <c r="O5" s="351"/>
      <c r="P5" s="104"/>
      <c r="Q5" s="353" t="s">
        <v>309</v>
      </c>
      <c r="R5" s="353"/>
      <c r="S5" s="354" t="s">
        <v>302</v>
      </c>
      <c r="T5" s="354"/>
      <c r="U5" s="354"/>
      <c r="V5" s="116"/>
      <c r="W5" s="117"/>
      <c r="X5" s="117"/>
      <c r="Y5" s="117"/>
    </row>
    <row r="6" spans="2:25" ht="16.5" customHeight="1" x14ac:dyDescent="0.25">
      <c r="B6" s="86" t="str">
        <v>Home</v>
      </c>
      <c r="C6" s="86" t="str">
        <v>Asset</v>
      </c>
      <c r="D6" s="86">
        <v>4</v>
      </c>
      <c r="G6" s="350" t="s">
        <v>308</v>
      </c>
      <c r="H6" s="350"/>
      <c r="I6" s="350"/>
      <c r="J6" s="355" t="s">
        <v>304</v>
      </c>
      <c r="K6" s="355"/>
      <c r="L6" s="355"/>
      <c r="M6" s="355"/>
      <c r="N6" s="355"/>
      <c r="O6" s="355"/>
      <c r="P6" s="104"/>
      <c r="Q6" s="353" t="s">
        <v>307</v>
      </c>
      <c r="R6" s="353"/>
      <c r="S6" s="356" t="s">
        <v>306</v>
      </c>
      <c r="T6" s="356"/>
      <c r="U6" s="356"/>
      <c r="V6" s="116"/>
      <c r="W6" s="117"/>
      <c r="X6" s="117"/>
      <c r="Y6" s="117"/>
    </row>
    <row r="7" spans="2:25" ht="16.5" customHeight="1" x14ac:dyDescent="0.25">
      <c r="B7" s="86" t="str">
        <v>Salary Over/Under</v>
      </c>
      <c r="C7" s="86" t="str">
        <v>Asset</v>
      </c>
      <c r="D7" s="86">
        <v>5</v>
      </c>
      <c r="G7" s="350" t="s">
        <v>305</v>
      </c>
      <c r="H7" s="350"/>
      <c r="I7" s="350"/>
      <c r="J7" s="355" t="s">
        <v>304</v>
      </c>
      <c r="K7" s="355"/>
      <c r="L7" s="355"/>
      <c r="M7" s="355"/>
      <c r="N7" s="355"/>
      <c r="O7" s="355"/>
      <c r="P7" s="104"/>
      <c r="Q7" s="353" t="s">
        <v>303</v>
      </c>
      <c r="R7" s="353"/>
      <c r="S7" s="356" t="s">
        <v>302</v>
      </c>
      <c r="T7" s="356"/>
      <c r="U7" s="356"/>
      <c r="V7" s="119"/>
      <c r="W7" s="119"/>
      <c r="X7" s="119"/>
      <c r="Y7" s="118"/>
    </row>
    <row r="8" spans="2:25" ht="16.5" customHeight="1" x14ac:dyDescent="0.25">
      <c r="B8" s="86" t="str">
        <v>Assets Misc.</v>
      </c>
      <c r="C8" s="86" t="str">
        <v>Asset</v>
      </c>
      <c r="D8" s="86">
        <v>10</v>
      </c>
      <c r="G8" s="89" t="s">
        <v>301</v>
      </c>
      <c r="H8" s="89"/>
      <c r="I8" s="89"/>
      <c r="J8" s="357" t="s">
        <v>300</v>
      </c>
      <c r="K8" s="357"/>
      <c r="L8" s="357"/>
      <c r="M8" s="357"/>
      <c r="N8" s="357"/>
      <c r="O8" s="357"/>
      <c r="P8" s="104"/>
      <c r="Q8" s="353" t="s">
        <v>299</v>
      </c>
      <c r="R8" s="353"/>
      <c r="S8" s="358" t="s">
        <v>298</v>
      </c>
      <c r="T8" s="358"/>
      <c r="U8" s="358"/>
      <c r="Y8" s="120"/>
    </row>
    <row r="9" spans="2:25" ht="16.5" customHeight="1" x14ac:dyDescent="0.25">
      <c r="B9" s="86" t="str">
        <v>Credit Card Payable</v>
      </c>
      <c r="C9" s="86" t="str">
        <v>Liability</v>
      </c>
      <c r="D9" s="86">
        <v>20</v>
      </c>
      <c r="G9" s="359" t="s">
        <v>297</v>
      </c>
      <c r="H9" s="359"/>
      <c r="I9" s="359"/>
      <c r="J9" s="94"/>
      <c r="K9" s="94"/>
      <c r="L9" s="94"/>
      <c r="M9" s="94" t="s">
        <v>295</v>
      </c>
      <c r="N9" s="93" t="s">
        <v>296</v>
      </c>
      <c r="O9" s="92"/>
      <c r="P9" s="92"/>
      <c r="Q9" s="92"/>
      <c r="R9" s="92"/>
      <c r="S9" s="92"/>
      <c r="T9" s="92"/>
      <c r="U9" s="94" t="s">
        <v>295</v>
      </c>
      <c r="Y9" s="120"/>
    </row>
    <row r="10" spans="2:25" ht="16.5" customHeight="1" x14ac:dyDescent="0.25">
      <c r="B10" s="86" t="str">
        <v>Notes Payable Personal</v>
      </c>
      <c r="C10" s="86" t="str">
        <v>Liability</v>
      </c>
      <c r="D10" s="86">
        <v>21</v>
      </c>
      <c r="G10" s="89"/>
      <c r="H10" s="89"/>
      <c r="I10" s="88"/>
      <c r="J10" s="88"/>
      <c r="K10" s="88"/>
      <c r="L10" s="88"/>
      <c r="M10" s="103"/>
      <c r="U10" s="91"/>
      <c r="Y10" s="120"/>
    </row>
    <row r="11" spans="2:25" ht="16.5" customHeight="1" x14ac:dyDescent="0.25">
      <c r="B11" s="86" t="str">
        <v>Loan OSAP</v>
      </c>
      <c r="C11" s="86" t="str">
        <v>Liability</v>
      </c>
      <c r="D11" s="86">
        <v>22</v>
      </c>
      <c r="G11" s="89"/>
      <c r="H11" s="89"/>
      <c r="I11" s="88"/>
      <c r="J11" s="88"/>
      <c r="K11" s="88"/>
      <c r="L11" s="88"/>
      <c r="M11" s="101"/>
      <c r="U11" s="90"/>
      <c r="Y11" s="120"/>
    </row>
    <row r="12" spans="2:25" ht="16.5" customHeight="1" x14ac:dyDescent="0.25">
      <c r="B12" s="86" t="str">
        <v>Revenue Salary</v>
      </c>
      <c r="C12" s="86" t="str">
        <v>Revenue</v>
      </c>
      <c r="D12" s="86">
        <v>40</v>
      </c>
      <c r="G12" s="89"/>
      <c r="H12" s="89"/>
      <c r="I12" s="88"/>
      <c r="J12" s="88"/>
      <c r="K12" s="88"/>
      <c r="L12" s="88"/>
      <c r="M12" s="101"/>
      <c r="U12" s="90"/>
      <c r="Y12" s="120"/>
    </row>
    <row r="13" spans="2:25" ht="16.5" customHeight="1" x14ac:dyDescent="0.25">
      <c r="B13" s="86" t="str">
        <v>Revenue Other</v>
      </c>
      <c r="C13" s="86" t="str">
        <v>Revenue</v>
      </c>
      <c r="D13" s="86">
        <v>41</v>
      </c>
      <c r="G13" s="89"/>
      <c r="H13" s="89"/>
      <c r="I13" s="88"/>
      <c r="J13" s="88"/>
      <c r="K13" s="88"/>
      <c r="L13" s="88"/>
      <c r="M13" s="101"/>
      <c r="U13" s="90"/>
      <c r="Y13" s="120"/>
    </row>
    <row r="14" spans="2:25" ht="16.5" customHeight="1" x14ac:dyDescent="0.25">
      <c r="B14" s="86" t="str">
        <v>Home Expenses</v>
      </c>
      <c r="C14" s="86" t="str">
        <v>Expense</v>
      </c>
      <c r="D14" s="86">
        <v>50</v>
      </c>
      <c r="G14" s="89"/>
      <c r="H14" s="89"/>
      <c r="I14" s="88"/>
      <c r="J14" s="88"/>
      <c r="K14" s="88"/>
      <c r="L14" s="88"/>
      <c r="M14" s="101"/>
      <c r="U14" s="90"/>
      <c r="Y14" s="120"/>
    </row>
    <row r="15" spans="2:25" ht="16.5" customHeight="1" x14ac:dyDescent="0.25">
      <c r="B15" s="86" t="str">
        <v>Rent Expense</v>
      </c>
      <c r="C15" s="86" t="str">
        <v>Expense</v>
      </c>
      <c r="D15" s="86">
        <v>51</v>
      </c>
      <c r="G15" s="357" t="s">
        <v>294</v>
      </c>
      <c r="H15" s="357"/>
      <c r="I15" s="357"/>
      <c r="J15" s="357"/>
      <c r="K15" s="357"/>
      <c r="L15" s="357"/>
      <c r="M15" s="357"/>
      <c r="U15" s="90"/>
      <c r="Y15" s="120"/>
    </row>
    <row r="16" spans="2:25" ht="16.5" customHeight="1" x14ac:dyDescent="0.25">
      <c r="B16" s="86" t="str">
        <v>Utilities, Network</v>
      </c>
      <c r="C16" s="86" t="str">
        <v>Expense</v>
      </c>
      <c r="D16" s="86">
        <v>52</v>
      </c>
      <c r="G16" s="89" t="s">
        <v>281</v>
      </c>
      <c r="H16" s="360" t="s">
        <v>280</v>
      </c>
      <c r="I16" s="360"/>
      <c r="J16" s="360"/>
      <c r="K16" s="360"/>
      <c r="L16" s="89"/>
      <c r="M16" s="103">
        <v>0</v>
      </c>
      <c r="U16" s="90"/>
      <c r="Y16" s="120"/>
    </row>
    <row r="17" spans="2:25" ht="16.5" customHeight="1" x14ac:dyDescent="0.25">
      <c r="B17" s="86" t="str">
        <v>Life Insurance</v>
      </c>
      <c r="C17" s="86" t="str">
        <v>Expense</v>
      </c>
      <c r="D17" s="86">
        <v>53</v>
      </c>
      <c r="G17" s="89" t="s">
        <v>278</v>
      </c>
      <c r="H17" s="361"/>
      <c r="I17" s="361"/>
      <c r="J17" s="361"/>
      <c r="K17" s="361"/>
      <c r="L17" s="89"/>
      <c r="M17" s="101"/>
      <c r="U17" s="90"/>
      <c r="V17" s="102"/>
      <c r="W17" s="102"/>
      <c r="X17" s="102"/>
      <c r="Y17" s="102"/>
    </row>
    <row r="18" spans="2:25" ht="16.5" customHeight="1" x14ac:dyDescent="0.25">
      <c r="B18" s="86" t="str">
        <v>Transportation Expense</v>
      </c>
      <c r="C18" s="86" t="str">
        <v>Expense</v>
      </c>
      <c r="D18" s="86">
        <v>54</v>
      </c>
      <c r="G18" s="89" t="s">
        <v>288</v>
      </c>
      <c r="H18" s="360"/>
      <c r="I18" s="360"/>
      <c r="J18" s="360"/>
      <c r="K18" s="360"/>
      <c r="L18" s="89"/>
      <c r="M18" s="101"/>
      <c r="U18" s="90"/>
      <c r="V18" s="87"/>
      <c r="W18" s="87"/>
      <c r="X18" s="87"/>
      <c r="Y18" s="120"/>
    </row>
    <row r="19" spans="2:25" ht="16.5" customHeight="1" x14ac:dyDescent="0.25">
      <c r="B19" s="86" t="str">
        <v>Self-Care Mix</v>
      </c>
      <c r="C19" s="86" t="str">
        <v>Expense</v>
      </c>
      <c r="D19" s="86">
        <v>55</v>
      </c>
      <c r="G19" s="357" t="s">
        <v>293</v>
      </c>
      <c r="H19" s="357"/>
      <c r="I19" s="357"/>
      <c r="J19" s="357"/>
      <c r="K19" s="357"/>
      <c r="L19" s="100"/>
      <c r="M19" s="108">
        <f>SUM(M10:M18)</f>
        <v>0</v>
      </c>
      <c r="N19" s="352" t="s">
        <v>292</v>
      </c>
      <c r="O19" s="352"/>
      <c r="P19" s="352"/>
      <c r="Q19" s="352"/>
      <c r="R19" s="352"/>
      <c r="S19" s="352"/>
      <c r="T19" s="352"/>
      <c r="U19" s="352"/>
      <c r="V19" s="87"/>
      <c r="W19" s="87"/>
      <c r="X19" s="87"/>
      <c r="Y19" s="120"/>
    </row>
    <row r="20" spans="2:25" ht="16.5" customHeight="1" x14ac:dyDescent="0.25">
      <c r="B20" s="86" t="str">
        <v>Nutrition Expense</v>
      </c>
      <c r="C20" s="86" t="str">
        <v>Expense</v>
      </c>
      <c r="D20" s="86">
        <v>57</v>
      </c>
      <c r="G20" s="89"/>
      <c r="H20" s="89"/>
      <c r="I20" s="88"/>
      <c r="J20" s="88"/>
      <c r="K20" s="88"/>
      <c r="L20" s="88"/>
      <c r="M20" s="103"/>
      <c r="N20" s="86" t="s">
        <v>281</v>
      </c>
      <c r="O20" s="362" t="s">
        <v>280</v>
      </c>
      <c r="P20" s="362"/>
      <c r="Q20" s="362"/>
      <c r="R20" s="362"/>
      <c r="S20" s="362"/>
      <c r="T20" s="87"/>
      <c r="U20" s="91">
        <v>0</v>
      </c>
      <c r="V20" s="102"/>
      <c r="W20" s="102"/>
      <c r="X20" s="102"/>
      <c r="Y20" s="97"/>
    </row>
    <row r="21" spans="2:25" ht="16.5" customHeight="1" x14ac:dyDescent="0.25">
      <c r="B21" s="86" t="str">
        <v>Education Expense</v>
      </c>
      <c r="C21" s="86" t="str">
        <v>Expense</v>
      </c>
      <c r="D21" s="86">
        <v>56</v>
      </c>
      <c r="G21" s="89"/>
      <c r="H21" s="89"/>
      <c r="I21" s="88"/>
      <c r="J21" s="88"/>
      <c r="K21" s="88"/>
      <c r="L21" s="88"/>
      <c r="M21" s="101"/>
      <c r="N21" s="86" t="s">
        <v>278</v>
      </c>
      <c r="O21" s="362"/>
      <c r="P21" s="362"/>
      <c r="Q21" s="362"/>
      <c r="R21" s="362"/>
      <c r="S21" s="362"/>
      <c r="T21" s="87"/>
      <c r="U21" s="90"/>
      <c r="Y21" s="120"/>
    </row>
    <row r="22" spans="2:25" ht="16.5" customHeight="1" x14ac:dyDescent="0.25">
      <c r="B22" s="86" t="str">
        <v>Act Out Expense</v>
      </c>
      <c r="C22" s="86" t="str">
        <v>Expense</v>
      </c>
      <c r="D22" s="86">
        <v>60</v>
      </c>
      <c r="G22" s="89"/>
      <c r="H22" s="89"/>
      <c r="I22" s="88"/>
      <c r="J22" s="88"/>
      <c r="K22" s="88"/>
      <c r="L22" s="88"/>
      <c r="M22" s="101"/>
      <c r="N22" s="352" t="s">
        <v>291</v>
      </c>
      <c r="O22" s="352"/>
      <c r="P22" s="352"/>
      <c r="Q22" s="352"/>
      <c r="R22" s="352"/>
      <c r="S22" s="352"/>
      <c r="T22" s="102"/>
      <c r="U22" s="107">
        <f>SUM(U10:U21)</f>
        <v>0</v>
      </c>
      <c r="Y22" s="120"/>
    </row>
    <row r="23" spans="2:25" ht="16.5" customHeight="1" x14ac:dyDescent="0.25">
      <c r="G23" s="89"/>
      <c r="H23" s="89"/>
      <c r="I23" s="88"/>
      <c r="J23" s="88"/>
      <c r="K23" s="88"/>
      <c r="L23" s="88"/>
      <c r="M23" s="101"/>
      <c r="U23" s="91">
        <v>0</v>
      </c>
      <c r="V23" s="102"/>
      <c r="W23" s="102"/>
      <c r="X23" s="102"/>
    </row>
    <row r="24" spans="2:25" ht="16.5" customHeight="1" x14ac:dyDescent="0.25">
      <c r="G24" s="89"/>
      <c r="H24" s="89"/>
      <c r="I24" s="88"/>
      <c r="J24" s="88"/>
      <c r="K24" s="88"/>
      <c r="L24" s="88"/>
      <c r="M24" s="101"/>
      <c r="U24" s="90">
        <v>0</v>
      </c>
      <c r="V24" s="87"/>
      <c r="W24" s="87"/>
      <c r="X24" s="120"/>
    </row>
    <row r="25" spans="2:25" ht="16.5" customHeight="1" x14ac:dyDescent="0.25">
      <c r="G25" s="89"/>
      <c r="H25" s="89"/>
      <c r="I25" s="88"/>
      <c r="J25" s="88"/>
      <c r="K25" s="88"/>
      <c r="L25" s="88"/>
      <c r="M25" s="101"/>
      <c r="N25" s="352" t="s">
        <v>290</v>
      </c>
      <c r="O25" s="352"/>
      <c r="P25" s="352"/>
      <c r="Q25" s="352"/>
      <c r="R25" s="352"/>
      <c r="S25" s="352"/>
      <c r="T25" s="352"/>
      <c r="U25" s="352"/>
      <c r="V25" s="87"/>
      <c r="W25" s="87"/>
      <c r="X25" s="120"/>
    </row>
    <row r="26" spans="2:25" ht="16.5" customHeight="1" x14ac:dyDescent="0.25">
      <c r="G26" s="357" t="s">
        <v>289</v>
      </c>
      <c r="H26" s="357"/>
      <c r="I26" s="357"/>
      <c r="J26" s="357"/>
      <c r="K26" s="357"/>
      <c r="L26" s="357"/>
      <c r="M26" s="357"/>
      <c r="N26" s="86" t="s">
        <v>281</v>
      </c>
      <c r="O26" s="364" t="s">
        <v>280</v>
      </c>
      <c r="P26" s="364"/>
      <c r="Q26" s="364"/>
      <c r="R26" s="364"/>
      <c r="S26" s="364"/>
      <c r="T26" s="87"/>
      <c r="U26" s="91">
        <v>0</v>
      </c>
      <c r="V26" s="87"/>
      <c r="W26" s="87"/>
      <c r="X26" s="120"/>
    </row>
    <row r="27" spans="2:25" ht="16.5" customHeight="1" x14ac:dyDescent="0.25">
      <c r="G27" s="89" t="s">
        <v>281</v>
      </c>
      <c r="H27" s="360" t="s">
        <v>280</v>
      </c>
      <c r="I27" s="360"/>
      <c r="J27" s="360"/>
      <c r="K27" s="360"/>
      <c r="L27" s="89"/>
      <c r="M27" s="103">
        <v>0</v>
      </c>
      <c r="N27" s="86" t="s">
        <v>278</v>
      </c>
      <c r="O27" s="363"/>
      <c r="P27" s="363"/>
      <c r="Q27" s="363"/>
      <c r="R27" s="363"/>
      <c r="S27" s="363"/>
      <c r="T27" s="87"/>
      <c r="U27" s="90"/>
      <c r="X27" s="97"/>
    </row>
    <row r="28" spans="2:25" ht="16.5" customHeight="1" x14ac:dyDescent="0.25">
      <c r="G28" s="89" t="s">
        <v>278</v>
      </c>
      <c r="H28" s="361"/>
      <c r="I28" s="361"/>
      <c r="J28" s="361"/>
      <c r="K28" s="361"/>
      <c r="L28" s="89"/>
      <c r="M28" s="101"/>
      <c r="N28" s="86" t="s">
        <v>288</v>
      </c>
      <c r="O28" s="363"/>
      <c r="P28" s="363"/>
      <c r="Q28" s="363"/>
      <c r="R28" s="363"/>
      <c r="S28" s="363"/>
      <c r="T28" s="87"/>
      <c r="U28" s="90"/>
      <c r="X28" s="97"/>
    </row>
    <row r="29" spans="2:25" ht="16.5" customHeight="1" x14ac:dyDescent="0.25">
      <c r="G29" s="89" t="s">
        <v>288</v>
      </c>
      <c r="H29" s="361"/>
      <c r="I29" s="361"/>
      <c r="J29" s="361"/>
      <c r="K29" s="361"/>
      <c r="L29" s="89"/>
      <c r="M29" s="101"/>
      <c r="N29" s="98" t="s">
        <v>126</v>
      </c>
      <c r="U29" s="105">
        <f>U22+SUM(U23:U24)+SUM(U26:U28)</f>
        <v>0</v>
      </c>
      <c r="X29" s="97"/>
    </row>
    <row r="30" spans="2:25" ht="16.5" customHeight="1" x14ac:dyDescent="0.25">
      <c r="G30" s="89" t="s">
        <v>282</v>
      </c>
      <c r="H30" s="361"/>
      <c r="I30" s="361"/>
      <c r="J30" s="361"/>
      <c r="K30" s="361"/>
      <c r="L30" s="89"/>
      <c r="M30" s="101"/>
      <c r="N30" s="98" t="s">
        <v>125</v>
      </c>
      <c r="U30" s="105">
        <f>M31-U29</f>
        <v>0</v>
      </c>
      <c r="V30" s="121"/>
      <c r="W30" s="121"/>
      <c r="X30" s="121"/>
    </row>
    <row r="31" spans="2:25" s="104" customFormat="1" ht="16.5" customHeight="1" x14ac:dyDescent="0.25">
      <c r="E31" s="86"/>
      <c r="F31" s="86"/>
      <c r="G31" s="100" t="s">
        <v>128</v>
      </c>
      <c r="H31" s="89"/>
      <c r="I31" s="88"/>
      <c r="J31" s="88"/>
      <c r="K31" s="88"/>
      <c r="L31" s="88"/>
      <c r="M31" s="106">
        <f>SUM(M19:M30)</f>
        <v>0</v>
      </c>
      <c r="N31" s="98" t="s">
        <v>287</v>
      </c>
      <c r="O31" s="86"/>
      <c r="P31" s="86"/>
      <c r="Q31" s="86"/>
      <c r="R31" s="86"/>
      <c r="S31" s="86"/>
      <c r="T31" s="86"/>
      <c r="U31" s="105">
        <f>U29+U30</f>
        <v>0</v>
      </c>
      <c r="V31" s="86"/>
      <c r="W31" s="86"/>
      <c r="X31" s="120"/>
    </row>
    <row r="32" spans="2:25" ht="16.5" customHeight="1" x14ac:dyDescent="0.25">
      <c r="E32" s="104"/>
      <c r="F32" s="104"/>
      <c r="G32" s="359" t="s">
        <v>286</v>
      </c>
      <c r="H32" s="359"/>
      <c r="I32" s="359"/>
      <c r="J32" s="359"/>
      <c r="K32" s="359"/>
      <c r="L32" s="359"/>
      <c r="M32" s="359"/>
      <c r="N32" s="359" t="s">
        <v>285</v>
      </c>
      <c r="O32" s="359"/>
      <c r="P32" s="359"/>
      <c r="Q32" s="359"/>
      <c r="R32" s="359"/>
      <c r="S32" s="359"/>
      <c r="T32" s="359"/>
      <c r="U32" s="359"/>
      <c r="X32" s="120"/>
    </row>
    <row r="33" spans="7:24" ht="16.5" customHeight="1" x14ac:dyDescent="0.25">
      <c r="G33" s="89"/>
      <c r="H33" s="89"/>
      <c r="I33" s="88"/>
      <c r="J33" s="88"/>
      <c r="K33" s="88"/>
      <c r="L33" s="88"/>
      <c r="M33" s="103"/>
      <c r="U33" s="91"/>
      <c r="X33" s="120"/>
    </row>
    <row r="34" spans="7:24" ht="16.5" customHeight="1" x14ac:dyDescent="0.25">
      <c r="G34" s="89"/>
      <c r="H34" s="89"/>
      <c r="I34" s="88"/>
      <c r="J34" s="88"/>
      <c r="K34" s="88"/>
      <c r="L34" s="88"/>
      <c r="M34" s="101">
        <v>0</v>
      </c>
      <c r="U34" s="90"/>
      <c r="X34" s="120"/>
    </row>
    <row r="35" spans="7:24" ht="16.5" customHeight="1" x14ac:dyDescent="0.25">
      <c r="G35" s="89"/>
      <c r="H35" s="89"/>
      <c r="I35" s="88"/>
      <c r="J35" s="88"/>
      <c r="K35" s="88"/>
      <c r="L35" s="88"/>
      <c r="M35" s="101">
        <v>0</v>
      </c>
      <c r="U35" s="90"/>
      <c r="X35" s="120"/>
    </row>
    <row r="36" spans="7:24" ht="16.5" customHeight="1" x14ac:dyDescent="0.25">
      <c r="G36" s="357" t="s">
        <v>284</v>
      </c>
      <c r="H36" s="357"/>
      <c r="I36" s="357"/>
      <c r="J36" s="357"/>
      <c r="K36" s="357"/>
      <c r="L36" s="357"/>
      <c r="M36" s="357"/>
      <c r="U36" s="90"/>
      <c r="V36" s="102"/>
      <c r="W36" s="102"/>
      <c r="X36" s="102"/>
    </row>
    <row r="37" spans="7:24" ht="16.5" customHeight="1" x14ac:dyDescent="0.25">
      <c r="G37" s="89" t="s">
        <v>281</v>
      </c>
      <c r="H37" s="360"/>
      <c r="I37" s="360"/>
      <c r="J37" s="360"/>
      <c r="K37" s="360"/>
      <c r="L37" s="89"/>
      <c r="M37" s="103"/>
      <c r="U37" s="90"/>
      <c r="V37" s="87"/>
      <c r="W37" s="87"/>
      <c r="X37" s="120"/>
    </row>
    <row r="38" spans="7:24" ht="16.5" customHeight="1" x14ac:dyDescent="0.25">
      <c r="G38" s="89" t="s">
        <v>278</v>
      </c>
      <c r="H38" s="361"/>
      <c r="I38" s="361"/>
      <c r="J38" s="361"/>
      <c r="K38" s="361"/>
      <c r="L38" s="89"/>
      <c r="M38" s="101"/>
      <c r="N38" s="352" t="s">
        <v>283</v>
      </c>
      <c r="O38" s="352"/>
      <c r="P38" s="352"/>
      <c r="Q38" s="352"/>
      <c r="R38" s="352"/>
      <c r="S38" s="352"/>
      <c r="T38" s="352"/>
      <c r="U38" s="352"/>
      <c r="V38" s="87"/>
      <c r="W38" s="87"/>
      <c r="X38" s="120"/>
    </row>
    <row r="39" spans="7:24" ht="16.5" customHeight="1" x14ac:dyDescent="0.25">
      <c r="G39" s="89" t="s">
        <v>282</v>
      </c>
      <c r="H39" s="361"/>
      <c r="I39" s="361"/>
      <c r="J39" s="361"/>
      <c r="K39" s="361"/>
      <c r="L39" s="89"/>
      <c r="M39" s="101"/>
      <c r="N39" s="86" t="s">
        <v>281</v>
      </c>
      <c r="O39" s="364" t="s">
        <v>280</v>
      </c>
      <c r="P39" s="364"/>
      <c r="Q39" s="364"/>
      <c r="R39" s="364"/>
      <c r="S39" s="364"/>
      <c r="T39" s="87"/>
      <c r="U39" s="91">
        <v>0</v>
      </c>
      <c r="X39" s="97"/>
    </row>
    <row r="40" spans="7:24" ht="16.5" customHeight="1" x14ac:dyDescent="0.25">
      <c r="G40" s="89" t="s">
        <v>279</v>
      </c>
      <c r="H40" s="361"/>
      <c r="I40" s="361"/>
      <c r="J40" s="361"/>
      <c r="K40" s="361"/>
      <c r="L40" s="89"/>
      <c r="M40" s="101"/>
      <c r="N40" s="86" t="s">
        <v>278</v>
      </c>
      <c r="O40" s="363"/>
      <c r="P40" s="363"/>
      <c r="Q40" s="363"/>
      <c r="R40" s="363"/>
      <c r="S40" s="363"/>
      <c r="T40" s="87"/>
      <c r="U40" s="90"/>
      <c r="V40" s="119"/>
      <c r="W40" s="119"/>
      <c r="X40" s="119"/>
    </row>
    <row r="41" spans="7:24" ht="16.5" customHeight="1" x14ac:dyDescent="0.25">
      <c r="G41" s="100" t="s">
        <v>277</v>
      </c>
      <c r="H41" s="89"/>
      <c r="I41" s="88"/>
      <c r="J41" s="88"/>
      <c r="K41" s="88"/>
      <c r="L41" s="88"/>
      <c r="M41" s="99">
        <f>SUM(M33:M40)</f>
        <v>0</v>
      </c>
      <c r="N41" s="98" t="s">
        <v>276</v>
      </c>
      <c r="O41" s="98"/>
      <c r="U41" s="97">
        <f>SUM(U33:U40)</f>
        <v>0</v>
      </c>
      <c r="X41" s="120"/>
    </row>
    <row r="42" spans="7:24" ht="16.5" customHeight="1" x14ac:dyDescent="0.25">
      <c r="G42" s="96" t="s">
        <v>275</v>
      </c>
      <c r="H42" s="95"/>
      <c r="I42" s="94"/>
      <c r="J42" s="94"/>
      <c r="K42" s="94"/>
      <c r="L42" s="94"/>
      <c r="M42" s="94"/>
      <c r="N42" s="93" t="s">
        <v>274</v>
      </c>
      <c r="O42" s="92"/>
      <c r="P42" s="92"/>
      <c r="Q42" s="92"/>
      <c r="R42" s="92"/>
      <c r="S42" s="92"/>
      <c r="T42" s="92"/>
      <c r="U42" s="92"/>
      <c r="X42" s="120"/>
    </row>
    <row r="43" spans="7:24" ht="16.5" customHeight="1" x14ac:dyDescent="0.25">
      <c r="G43" s="89" t="s">
        <v>273</v>
      </c>
      <c r="H43" s="89"/>
      <c r="I43" s="88"/>
      <c r="J43" s="88"/>
      <c r="K43" s="365" t="s">
        <v>267</v>
      </c>
      <c r="L43" s="365"/>
      <c r="M43" s="365"/>
      <c r="N43" s="86" t="s">
        <v>272</v>
      </c>
      <c r="U43" s="91">
        <v>0</v>
      </c>
      <c r="X43" s="120"/>
    </row>
    <row r="44" spans="7:24" ht="16.5" customHeight="1" x14ac:dyDescent="0.25">
      <c r="G44" s="89" t="s">
        <v>271</v>
      </c>
      <c r="H44" s="89"/>
      <c r="I44" s="88"/>
      <c r="J44" s="88"/>
      <c r="K44" s="365" t="s">
        <v>267</v>
      </c>
      <c r="L44" s="365"/>
      <c r="M44" s="365"/>
      <c r="N44" s="86" t="s">
        <v>270</v>
      </c>
      <c r="U44" s="90">
        <v>35000</v>
      </c>
      <c r="X44" s="120"/>
    </row>
    <row r="45" spans="7:24" ht="16.5" customHeight="1" x14ac:dyDescent="0.25">
      <c r="G45" s="360"/>
      <c r="H45" s="360"/>
      <c r="I45" s="360"/>
      <c r="J45" s="360"/>
      <c r="K45" s="360"/>
      <c r="L45" s="360"/>
      <c r="M45" s="360"/>
      <c r="N45" s="86" t="s">
        <v>269</v>
      </c>
      <c r="U45" s="90">
        <v>0</v>
      </c>
      <c r="X45" s="120"/>
    </row>
    <row r="46" spans="7:24" ht="16.5" customHeight="1" x14ac:dyDescent="0.25">
      <c r="G46" s="89" t="s">
        <v>268</v>
      </c>
      <c r="H46" s="89"/>
      <c r="I46" s="88"/>
      <c r="J46" s="88"/>
      <c r="K46" s="365" t="s">
        <v>267</v>
      </c>
      <c r="L46" s="365"/>
      <c r="M46" s="365"/>
      <c r="N46" s="86" t="s">
        <v>266</v>
      </c>
      <c r="U46" s="90">
        <v>0</v>
      </c>
    </row>
    <row r="47" spans="7:24" ht="16.5" customHeight="1" x14ac:dyDescent="0.25">
      <c r="G47" s="360"/>
      <c r="H47" s="360"/>
      <c r="I47" s="360"/>
      <c r="J47" s="360"/>
      <c r="K47" s="360"/>
      <c r="L47" s="360"/>
      <c r="M47" s="360"/>
      <c r="N47" s="86" t="s">
        <v>265</v>
      </c>
      <c r="U47" s="90">
        <v>0</v>
      </c>
    </row>
  </sheetData>
  <mergeCells count="51">
    <mergeCell ref="H39:K39"/>
    <mergeCell ref="O39:S39"/>
    <mergeCell ref="K46:M46"/>
    <mergeCell ref="G47:M47"/>
    <mergeCell ref="H40:K40"/>
    <mergeCell ref="O40:S40"/>
    <mergeCell ref="K43:M43"/>
    <mergeCell ref="K44:M44"/>
    <mergeCell ref="G45:M45"/>
    <mergeCell ref="G32:M32"/>
    <mergeCell ref="N32:U32"/>
    <mergeCell ref="G36:M36"/>
    <mergeCell ref="H37:K37"/>
    <mergeCell ref="H38:K38"/>
    <mergeCell ref="N38:U38"/>
    <mergeCell ref="O21:S21"/>
    <mergeCell ref="N22:S22"/>
    <mergeCell ref="H29:K29"/>
    <mergeCell ref="H30:K30"/>
    <mergeCell ref="H28:K28"/>
    <mergeCell ref="O28:S28"/>
    <mergeCell ref="G26:M26"/>
    <mergeCell ref="O26:S26"/>
    <mergeCell ref="H27:K27"/>
    <mergeCell ref="O27:S27"/>
    <mergeCell ref="H17:K17"/>
    <mergeCell ref="H18:K18"/>
    <mergeCell ref="G19:K19"/>
    <mergeCell ref="N19:U19"/>
    <mergeCell ref="O20:S20"/>
    <mergeCell ref="Q8:R8"/>
    <mergeCell ref="S8:U8"/>
    <mergeCell ref="G9:I9"/>
    <mergeCell ref="G15:M15"/>
    <mergeCell ref="H16:K16"/>
    <mergeCell ref="G3:U3"/>
    <mergeCell ref="G4:U4"/>
    <mergeCell ref="G5:I5"/>
    <mergeCell ref="J5:O5"/>
    <mergeCell ref="N25:U25"/>
    <mergeCell ref="Q5:R5"/>
    <mergeCell ref="S5:U5"/>
    <mergeCell ref="G6:I6"/>
    <mergeCell ref="J6:O6"/>
    <mergeCell ref="Q6:R6"/>
    <mergeCell ref="S6:U6"/>
    <mergeCell ref="G7:I7"/>
    <mergeCell ref="J7:O7"/>
    <mergeCell ref="Q7:R7"/>
    <mergeCell ref="S7:U7"/>
    <mergeCell ref="J8:O8"/>
  </mergeCells>
  <printOptions horizontalCentered="1" verticalCentered="1"/>
  <pageMargins left="0.5" right="0.5"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F8497-8F90-46FF-8EFF-95B5E22E0C79}">
  <sheetPr codeName="Sheet2"/>
  <dimension ref="B4:N45"/>
  <sheetViews>
    <sheetView workbookViewId="0">
      <selection activeCell="J13" sqref="J13"/>
    </sheetView>
  </sheetViews>
  <sheetFormatPr defaultRowHeight="15" x14ac:dyDescent="0.25"/>
  <sheetData>
    <row r="4" spans="2:14" x14ac:dyDescent="0.25">
      <c r="B4" t="s">
        <v>505</v>
      </c>
      <c r="H4" t="s">
        <v>5</v>
      </c>
      <c r="J4" t="s">
        <v>506</v>
      </c>
      <c r="L4" t="s">
        <v>507</v>
      </c>
      <c r="N4" t="s">
        <v>508</v>
      </c>
    </row>
    <row r="5" spans="2:14" x14ac:dyDescent="0.25">
      <c r="H5" t="s">
        <v>14</v>
      </c>
      <c r="J5" t="s">
        <v>214</v>
      </c>
      <c r="L5" t="s">
        <v>88</v>
      </c>
      <c r="N5" t="s">
        <v>2</v>
      </c>
    </row>
    <row r="6" spans="2:14" x14ac:dyDescent="0.25">
      <c r="B6" t="s">
        <v>509</v>
      </c>
      <c r="H6" t="s">
        <v>4</v>
      </c>
      <c r="J6" t="s">
        <v>215</v>
      </c>
      <c r="L6" t="s">
        <v>48</v>
      </c>
      <c r="N6" t="s">
        <v>27</v>
      </c>
    </row>
    <row r="7" spans="2:14" x14ac:dyDescent="0.25">
      <c r="H7" t="s">
        <v>15</v>
      </c>
      <c r="J7" t="s">
        <v>58</v>
      </c>
      <c r="L7" t="s">
        <v>34</v>
      </c>
      <c r="N7" t="s">
        <v>28</v>
      </c>
    </row>
    <row r="8" spans="2:14" x14ac:dyDescent="0.25">
      <c r="B8" t="s">
        <v>418</v>
      </c>
      <c r="H8" t="s">
        <v>16</v>
      </c>
      <c r="J8" t="s">
        <v>87</v>
      </c>
      <c r="L8" t="s">
        <v>49</v>
      </c>
      <c r="N8" t="s">
        <v>323</v>
      </c>
    </row>
    <row r="9" spans="2:14" x14ac:dyDescent="0.25">
      <c r="B9" t="s">
        <v>48</v>
      </c>
      <c r="H9" t="s">
        <v>3</v>
      </c>
      <c r="J9" t="s">
        <v>91</v>
      </c>
      <c r="L9" t="s">
        <v>35</v>
      </c>
      <c r="N9" t="s">
        <v>31</v>
      </c>
    </row>
    <row r="10" spans="2:14" x14ac:dyDescent="0.25">
      <c r="J10" t="s">
        <v>486</v>
      </c>
      <c r="L10" t="s">
        <v>36</v>
      </c>
      <c r="N10" t="s">
        <v>33</v>
      </c>
    </row>
    <row r="11" spans="2:14" x14ac:dyDescent="0.25">
      <c r="L11" t="s">
        <v>37</v>
      </c>
      <c r="N11" t="s">
        <v>30</v>
      </c>
    </row>
    <row r="12" spans="2:14" x14ac:dyDescent="0.25">
      <c r="L12" t="s">
        <v>50</v>
      </c>
      <c r="N12" t="s">
        <v>29</v>
      </c>
    </row>
    <row r="13" spans="2:14" x14ac:dyDescent="0.25">
      <c r="L13" t="s">
        <v>51</v>
      </c>
      <c r="N13" t="s">
        <v>46</v>
      </c>
    </row>
    <row r="14" spans="2:14" x14ac:dyDescent="0.25">
      <c r="L14" t="s">
        <v>8</v>
      </c>
      <c r="N14" t="s">
        <v>45</v>
      </c>
    </row>
    <row r="15" spans="2:14" x14ac:dyDescent="0.25">
      <c r="L15" t="s">
        <v>211</v>
      </c>
      <c r="N15" t="s">
        <v>32</v>
      </c>
    </row>
    <row r="16" spans="2:14" x14ac:dyDescent="0.25">
      <c r="L16" t="s">
        <v>52</v>
      </c>
      <c r="N16" t="s">
        <v>90</v>
      </c>
    </row>
    <row r="17" spans="2:14" x14ac:dyDescent="0.25">
      <c r="L17" t="s">
        <v>129</v>
      </c>
      <c r="N17" t="s">
        <v>92</v>
      </c>
    </row>
    <row r="18" spans="2:14" x14ac:dyDescent="0.25">
      <c r="L18" t="s">
        <v>54</v>
      </c>
      <c r="N18" t="s">
        <v>102</v>
      </c>
    </row>
    <row r="19" spans="2:14" x14ac:dyDescent="0.25">
      <c r="L19" t="s">
        <v>64</v>
      </c>
      <c r="N19" t="s">
        <v>103</v>
      </c>
    </row>
    <row r="20" spans="2:14" x14ac:dyDescent="0.25">
      <c r="L20" t="s">
        <v>53</v>
      </c>
      <c r="N20" t="s">
        <v>104</v>
      </c>
    </row>
    <row r="21" spans="2:14" x14ac:dyDescent="0.25">
      <c r="L21" t="s">
        <v>212</v>
      </c>
      <c r="N21" t="s">
        <v>182</v>
      </c>
    </row>
    <row r="22" spans="2:14" x14ac:dyDescent="0.25">
      <c r="L22" t="s">
        <v>501</v>
      </c>
    </row>
    <row r="23" spans="2:14" x14ac:dyDescent="0.25">
      <c r="L23" t="s">
        <v>120</v>
      </c>
    </row>
    <row r="24" spans="2:14" x14ac:dyDescent="0.25">
      <c r="L24" t="s">
        <v>503</v>
      </c>
    </row>
    <row r="28" spans="2:14" x14ac:dyDescent="0.25">
      <c r="B28" t="s">
        <v>510</v>
      </c>
    </row>
    <row r="30" spans="2:14" x14ac:dyDescent="0.25">
      <c r="B30" t="s">
        <v>511</v>
      </c>
    </row>
    <row r="31" spans="2:14" x14ac:dyDescent="0.25">
      <c r="B31" t="s">
        <v>512</v>
      </c>
    </row>
    <row r="32" spans="2:14" x14ac:dyDescent="0.25">
      <c r="B32" t="s">
        <v>293</v>
      </c>
    </row>
    <row r="33" spans="2:2" x14ac:dyDescent="0.25">
      <c r="B33" t="s">
        <v>513</v>
      </c>
    </row>
    <row r="34" spans="2:2" x14ac:dyDescent="0.25">
      <c r="B34" t="s">
        <v>514</v>
      </c>
    </row>
    <row r="35" spans="2:2" x14ac:dyDescent="0.25">
      <c r="B35" t="s">
        <v>515</v>
      </c>
    </row>
    <row r="36" spans="2:2" x14ac:dyDescent="0.25">
      <c r="B36" t="s">
        <v>516</v>
      </c>
    </row>
    <row r="37" spans="2:2" x14ac:dyDescent="0.25">
      <c r="B37" t="s">
        <v>517</v>
      </c>
    </row>
    <row r="38" spans="2:2" x14ac:dyDescent="0.25">
      <c r="B38" t="s">
        <v>291</v>
      </c>
    </row>
    <row r="39" spans="2:2" x14ac:dyDescent="0.25">
      <c r="B39" t="s">
        <v>518</v>
      </c>
    </row>
    <row r="40" spans="2:2" x14ac:dyDescent="0.25">
      <c r="B40" t="s">
        <v>126</v>
      </c>
    </row>
    <row r="41" spans="2:2" x14ac:dyDescent="0.25">
      <c r="B41" t="s">
        <v>519</v>
      </c>
    </row>
    <row r="42" spans="2:2" x14ac:dyDescent="0.25">
      <c r="B42" t="s">
        <v>15</v>
      </c>
    </row>
    <row r="43" spans="2:2" x14ac:dyDescent="0.25">
      <c r="B43" t="s">
        <v>520</v>
      </c>
    </row>
    <row r="44" spans="2:2" x14ac:dyDescent="0.25">
      <c r="B44" t="s">
        <v>521</v>
      </c>
    </row>
    <row r="45" spans="2:2" x14ac:dyDescent="0.25">
      <c r="B45" t="s">
        <v>522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D753A-4783-4AD0-BBDB-0E94CC2FCAB7}">
  <sheetPr codeName="Sheet4">
    <pageSetUpPr fitToPage="1"/>
  </sheetPr>
  <dimension ref="B1:BF110"/>
  <sheetViews>
    <sheetView showGridLines="0" workbookViewId="0">
      <pane xSplit="4" topLeftCell="AL1" activePane="topRight" state="frozen"/>
      <selection pane="topRight" activeCell="AP15" sqref="AP15"/>
    </sheetView>
  </sheetViews>
  <sheetFormatPr defaultColWidth="9.140625" defaultRowHeight="15" outlineLevelCol="1" x14ac:dyDescent="0.25"/>
  <cols>
    <col min="1" max="2" width="2.7109375" customWidth="1"/>
    <col min="3" max="3" width="21.140625" customWidth="1"/>
    <col min="4" max="4" width="13.85546875" customWidth="1"/>
    <col min="5" max="5" width="25.5703125" hidden="1" customWidth="1" outlineLevel="1"/>
    <col min="6" max="6" width="12.42578125" hidden="1" customWidth="1" outlineLevel="1"/>
    <col min="7" max="7" width="7.140625" hidden="1" customWidth="1" outlineLevel="1"/>
    <col min="8" max="8" width="18.140625" hidden="1" customWidth="1" outlineLevel="1"/>
    <col min="9" max="9" width="20.140625" hidden="1" customWidth="1" outlineLevel="1"/>
    <col min="10" max="10" width="15" hidden="1" customWidth="1" outlineLevel="1"/>
    <col min="11" max="11" width="13.28515625" hidden="1" customWidth="1" outlineLevel="1"/>
    <col min="12" max="12" width="3" hidden="1" customWidth="1" outlineLevel="1"/>
    <col min="13" max="13" width="18.85546875" hidden="1" customWidth="1" outlineLevel="1"/>
    <col min="14" max="15" width="21.85546875" hidden="1" customWidth="1" outlineLevel="1"/>
    <col min="16" max="16" width="15.28515625" hidden="1" customWidth="1" outlineLevel="1"/>
    <col min="17" max="17" width="14.5703125" hidden="1" customWidth="1" outlineLevel="1"/>
    <col min="18" max="18" width="5.7109375" style="174" customWidth="1" collapsed="1"/>
    <col min="19" max="19" width="2.7109375" customWidth="1"/>
    <col min="20" max="20" width="22.7109375" customWidth="1" outlineLevel="1"/>
    <col min="21" max="22" width="14.7109375" customWidth="1" outlineLevel="1"/>
    <col min="23" max="23" width="4.140625" customWidth="1" outlineLevel="1"/>
    <col min="24" max="24" width="22.28515625" customWidth="1" outlineLevel="1"/>
    <col min="25" max="25" width="1.7109375" customWidth="1" outlineLevel="1"/>
    <col min="26" max="26" width="3.7109375" customWidth="1" outlineLevel="1"/>
    <col min="27" max="27" width="18.7109375" customWidth="1" outlineLevel="1"/>
    <col min="28" max="28" width="16" customWidth="1" outlineLevel="1"/>
    <col min="29" max="29" width="3" customWidth="1"/>
    <col min="30" max="30" width="4.7109375" style="174" customWidth="1"/>
    <col min="31" max="31" width="1.7109375" customWidth="1"/>
    <col min="32" max="32" width="30.5703125" customWidth="1"/>
    <col min="33" max="33" width="30.7109375" customWidth="1"/>
    <col min="34" max="34" width="25.85546875" customWidth="1"/>
    <col min="35" max="35" width="26.28515625" customWidth="1"/>
    <col min="36" max="36" width="13.7109375" customWidth="1"/>
    <col min="37" max="37" width="18.85546875" customWidth="1"/>
    <col min="38" max="38" width="29.42578125" customWidth="1"/>
    <col min="39" max="39" width="18.7109375" customWidth="1"/>
    <col min="40" max="40" width="4.7109375" style="174" customWidth="1"/>
    <col min="41" max="41" width="1.85546875" customWidth="1"/>
    <col min="42" max="42" width="5.7109375" customWidth="1"/>
    <col min="43" max="43" width="7.85546875" customWidth="1"/>
    <col min="44" max="44" width="20" customWidth="1"/>
    <col min="45" max="45" width="21.85546875" customWidth="1"/>
    <col min="46" max="46" width="21.140625" customWidth="1"/>
    <col min="47" max="47" width="26.140625" customWidth="1"/>
    <col min="48" max="48" width="14.28515625" customWidth="1"/>
    <col min="49" max="49" width="15.42578125" bestFit="1" customWidth="1"/>
    <col min="50" max="50" width="12.28515625" bestFit="1" customWidth="1"/>
    <col min="51" max="51" width="15.42578125" bestFit="1" customWidth="1"/>
    <col min="52" max="52" width="12.28515625" bestFit="1" customWidth="1"/>
    <col min="53" max="53" width="15.42578125" bestFit="1" customWidth="1"/>
    <col min="54" max="54" width="12.28515625" bestFit="1" customWidth="1"/>
    <col min="55" max="55" width="15.42578125" bestFit="1" customWidth="1"/>
    <col min="56" max="56" width="12.28515625" bestFit="1" customWidth="1"/>
    <col min="57" max="57" width="15.42578125" bestFit="1" customWidth="1"/>
    <col min="58" max="58" width="12.28515625" bestFit="1" customWidth="1"/>
    <col min="59" max="59" width="15.42578125" bestFit="1" customWidth="1"/>
    <col min="60" max="60" width="12.28515625" bestFit="1" customWidth="1"/>
    <col min="61" max="61" width="15.42578125" bestFit="1" customWidth="1"/>
    <col min="62" max="62" width="12.28515625" bestFit="1" customWidth="1"/>
    <col min="63" max="63" width="15.42578125" bestFit="1" customWidth="1"/>
    <col min="64" max="64" width="12.28515625" bestFit="1" customWidth="1"/>
    <col min="65" max="65" width="15.42578125" bestFit="1" customWidth="1"/>
    <col min="66" max="66" width="12.28515625" bestFit="1" customWidth="1"/>
    <col min="67" max="67" width="15.42578125" bestFit="1" customWidth="1"/>
    <col min="68" max="68" width="12.28515625" bestFit="1" customWidth="1"/>
    <col min="69" max="69" width="15.42578125" bestFit="1" customWidth="1"/>
    <col min="70" max="70" width="12.28515625" bestFit="1" customWidth="1"/>
    <col min="71" max="71" width="15.42578125" bestFit="1" customWidth="1"/>
    <col min="72" max="72" width="12.28515625" bestFit="1" customWidth="1"/>
    <col min="73" max="73" width="15.42578125" bestFit="1" customWidth="1"/>
    <col min="74" max="74" width="12.28515625" bestFit="1" customWidth="1"/>
    <col min="75" max="75" width="15.42578125" bestFit="1" customWidth="1"/>
    <col min="76" max="76" width="12.28515625" bestFit="1" customWidth="1"/>
    <col min="77" max="77" width="15.42578125" bestFit="1" customWidth="1"/>
    <col min="78" max="78" width="12.28515625" bestFit="1" customWidth="1"/>
    <col min="79" max="79" width="15.42578125" bestFit="1" customWidth="1"/>
    <col min="80" max="80" width="12.28515625" bestFit="1" customWidth="1"/>
    <col min="81" max="81" width="15.42578125" bestFit="1" customWidth="1"/>
    <col min="82" max="82" width="12.28515625" bestFit="1" customWidth="1"/>
    <col min="83" max="83" width="15.42578125" bestFit="1" customWidth="1"/>
    <col min="84" max="84" width="12.28515625" bestFit="1" customWidth="1"/>
    <col min="85" max="85" width="15.42578125" bestFit="1" customWidth="1"/>
    <col min="86" max="86" width="12.28515625" bestFit="1" customWidth="1"/>
    <col min="87" max="87" width="15.42578125" bestFit="1" customWidth="1"/>
    <col min="88" max="88" width="12.28515625" bestFit="1" customWidth="1"/>
    <col min="89" max="89" width="15.42578125" bestFit="1" customWidth="1"/>
    <col min="90" max="90" width="12.28515625" bestFit="1" customWidth="1"/>
    <col min="91" max="91" width="15.42578125" bestFit="1" customWidth="1"/>
    <col min="92" max="92" width="12.28515625" bestFit="1" customWidth="1"/>
    <col min="93" max="93" width="15.42578125" bestFit="1" customWidth="1"/>
    <col min="94" max="94" width="12.28515625" bestFit="1" customWidth="1"/>
    <col min="95" max="95" width="15.42578125" bestFit="1" customWidth="1"/>
    <col min="96" max="96" width="12.28515625" bestFit="1" customWidth="1"/>
    <col min="97" max="97" width="15.42578125" bestFit="1" customWidth="1"/>
    <col min="98" max="98" width="12.28515625" bestFit="1" customWidth="1"/>
    <col min="99" max="99" width="15.42578125" bestFit="1" customWidth="1"/>
    <col min="100" max="100" width="12.28515625" bestFit="1" customWidth="1"/>
    <col min="101" max="101" width="15.42578125" bestFit="1" customWidth="1"/>
    <col min="102" max="102" width="12.28515625" bestFit="1" customWidth="1"/>
    <col min="103" max="103" width="15.42578125" bestFit="1" customWidth="1"/>
    <col min="104" max="104" width="12.28515625" bestFit="1" customWidth="1"/>
    <col min="105" max="105" width="15.42578125" bestFit="1" customWidth="1"/>
    <col min="106" max="106" width="12.28515625" bestFit="1" customWidth="1"/>
    <col min="107" max="107" width="15.42578125" bestFit="1" customWidth="1"/>
    <col min="108" max="108" width="12.28515625" bestFit="1" customWidth="1"/>
    <col min="109" max="109" width="15.42578125" bestFit="1" customWidth="1"/>
    <col min="110" max="110" width="12.28515625" bestFit="1" customWidth="1"/>
    <col min="111" max="111" width="15.42578125" bestFit="1" customWidth="1"/>
    <col min="112" max="112" width="12.28515625" bestFit="1" customWidth="1"/>
    <col min="113" max="113" width="15.42578125" bestFit="1" customWidth="1"/>
    <col min="114" max="114" width="12.28515625" bestFit="1" customWidth="1"/>
    <col min="115" max="115" width="15.42578125" bestFit="1" customWidth="1"/>
    <col min="116" max="116" width="12.28515625" bestFit="1" customWidth="1"/>
    <col min="117" max="117" width="15.42578125" bestFit="1" customWidth="1"/>
    <col min="118" max="118" width="12.28515625" bestFit="1" customWidth="1"/>
    <col min="119" max="119" width="15.42578125" bestFit="1" customWidth="1"/>
    <col min="120" max="120" width="12.28515625" bestFit="1" customWidth="1"/>
    <col min="121" max="121" width="15.42578125" bestFit="1" customWidth="1"/>
    <col min="122" max="122" width="12.28515625" bestFit="1" customWidth="1"/>
    <col min="123" max="123" width="15.42578125" bestFit="1" customWidth="1"/>
    <col min="124" max="124" width="12.28515625" bestFit="1" customWidth="1"/>
    <col min="125" max="125" width="15.42578125" bestFit="1" customWidth="1"/>
    <col min="126" max="126" width="12.28515625" bestFit="1" customWidth="1"/>
    <col min="127" max="127" width="15.42578125" bestFit="1" customWidth="1"/>
    <col min="128" max="128" width="12.28515625" bestFit="1" customWidth="1"/>
    <col min="129" max="129" width="15.42578125" bestFit="1" customWidth="1"/>
    <col min="130" max="130" width="12.28515625" bestFit="1" customWidth="1"/>
    <col min="131" max="131" width="15.42578125" bestFit="1" customWidth="1"/>
    <col min="132" max="132" width="12.28515625" bestFit="1" customWidth="1"/>
    <col min="133" max="133" width="15.42578125" bestFit="1" customWidth="1"/>
    <col min="134" max="134" width="12.28515625" bestFit="1" customWidth="1"/>
    <col min="135" max="135" width="15.42578125" bestFit="1" customWidth="1"/>
    <col min="136" max="136" width="12.28515625" bestFit="1" customWidth="1"/>
    <col min="137" max="137" width="15.42578125" bestFit="1" customWidth="1"/>
    <col min="138" max="138" width="12.28515625" bestFit="1" customWidth="1"/>
    <col min="139" max="139" width="15.42578125" bestFit="1" customWidth="1"/>
    <col min="140" max="140" width="12.28515625" bestFit="1" customWidth="1"/>
    <col min="141" max="141" width="15.42578125" bestFit="1" customWidth="1"/>
    <col min="142" max="142" width="12.28515625" bestFit="1" customWidth="1"/>
    <col min="143" max="143" width="15.42578125" bestFit="1" customWidth="1"/>
    <col min="144" max="144" width="12.28515625" bestFit="1" customWidth="1"/>
    <col min="145" max="145" width="15.42578125" bestFit="1" customWidth="1"/>
    <col min="146" max="146" width="12.28515625" bestFit="1" customWidth="1"/>
    <col min="147" max="147" width="15.42578125" bestFit="1" customWidth="1"/>
    <col min="148" max="148" width="12.28515625" bestFit="1" customWidth="1"/>
    <col min="149" max="149" width="15.42578125" bestFit="1" customWidth="1"/>
    <col min="150" max="150" width="12.28515625" bestFit="1" customWidth="1"/>
    <col min="151" max="151" width="15.42578125" bestFit="1" customWidth="1"/>
    <col min="152" max="152" width="12.28515625" bestFit="1" customWidth="1"/>
    <col min="153" max="153" width="15.42578125" bestFit="1" customWidth="1"/>
    <col min="154" max="154" width="12.28515625" bestFit="1" customWidth="1"/>
    <col min="155" max="155" width="15.42578125" bestFit="1" customWidth="1"/>
    <col min="156" max="156" width="12.28515625" bestFit="1" customWidth="1"/>
    <col min="157" max="157" width="15.42578125" bestFit="1" customWidth="1"/>
    <col min="158" max="158" width="12.28515625" bestFit="1" customWidth="1"/>
    <col min="159" max="159" width="15.42578125" bestFit="1" customWidth="1"/>
    <col min="160" max="160" width="12.28515625" bestFit="1" customWidth="1"/>
    <col min="161" max="161" width="15.42578125" bestFit="1" customWidth="1"/>
    <col min="162" max="162" width="12.28515625" bestFit="1" customWidth="1"/>
    <col min="163" max="163" width="15.42578125" bestFit="1" customWidth="1"/>
    <col min="164" max="164" width="12.28515625" bestFit="1" customWidth="1"/>
    <col min="165" max="165" width="15.42578125" bestFit="1" customWidth="1"/>
    <col min="166" max="166" width="12.28515625" bestFit="1" customWidth="1"/>
    <col min="167" max="167" width="15.42578125" bestFit="1" customWidth="1"/>
    <col min="168" max="168" width="12.28515625" bestFit="1" customWidth="1"/>
    <col min="169" max="169" width="15.42578125" bestFit="1" customWidth="1"/>
    <col min="170" max="170" width="12.28515625" bestFit="1" customWidth="1"/>
    <col min="171" max="171" width="15.42578125" bestFit="1" customWidth="1"/>
    <col min="172" max="172" width="12.28515625" bestFit="1" customWidth="1"/>
    <col min="173" max="173" width="15.42578125" bestFit="1" customWidth="1"/>
    <col min="174" max="174" width="12.28515625" bestFit="1" customWidth="1"/>
    <col min="175" max="175" width="15.42578125" bestFit="1" customWidth="1"/>
    <col min="176" max="176" width="12.28515625" bestFit="1" customWidth="1"/>
    <col min="177" max="177" width="15.42578125" bestFit="1" customWidth="1"/>
    <col min="178" max="178" width="12.28515625" bestFit="1" customWidth="1"/>
    <col min="179" max="179" width="15.42578125" bestFit="1" customWidth="1"/>
    <col min="180" max="180" width="12.28515625" bestFit="1" customWidth="1"/>
    <col min="181" max="181" width="15.42578125" bestFit="1" customWidth="1"/>
    <col min="182" max="182" width="12.28515625" bestFit="1" customWidth="1"/>
    <col min="183" max="183" width="15.42578125" bestFit="1" customWidth="1"/>
    <col min="184" max="184" width="12.28515625" bestFit="1" customWidth="1"/>
    <col min="185" max="185" width="15.42578125" bestFit="1" customWidth="1"/>
    <col min="186" max="186" width="12.28515625" bestFit="1" customWidth="1"/>
    <col min="187" max="187" width="15.42578125" bestFit="1" customWidth="1"/>
    <col min="188" max="188" width="12.28515625" bestFit="1" customWidth="1"/>
    <col min="189" max="189" width="15.42578125" bestFit="1" customWidth="1"/>
    <col min="190" max="190" width="12.28515625" bestFit="1" customWidth="1"/>
    <col min="191" max="191" width="15.42578125" bestFit="1" customWidth="1"/>
    <col min="192" max="192" width="12.28515625" bestFit="1" customWidth="1"/>
    <col min="193" max="193" width="15.42578125" bestFit="1" customWidth="1"/>
    <col min="194" max="194" width="12.28515625" bestFit="1" customWidth="1"/>
    <col min="195" max="195" width="15.42578125" bestFit="1" customWidth="1"/>
    <col min="196" max="196" width="12.28515625" bestFit="1" customWidth="1"/>
    <col min="197" max="197" width="15.42578125" bestFit="1" customWidth="1"/>
    <col min="198" max="198" width="11.42578125" bestFit="1" customWidth="1"/>
    <col min="199" max="199" width="12.140625" bestFit="1" customWidth="1"/>
    <col min="200" max="200" width="11.28515625" bestFit="1" customWidth="1"/>
  </cols>
  <sheetData>
    <row r="1" spans="2:58" ht="20.25" customHeight="1" x14ac:dyDescent="0.25"/>
    <row r="2" spans="2:58" ht="26.25" customHeight="1" x14ac:dyDescent="0.45">
      <c r="C2" s="253" t="s">
        <v>463</v>
      </c>
    </row>
    <row r="3" spans="2:58" ht="15" customHeight="1" x14ac:dyDescent="0.25">
      <c r="U3" t="s">
        <v>352</v>
      </c>
    </row>
    <row r="4" spans="2:58" ht="18" customHeight="1" thickBot="1" x14ac:dyDescent="0.3">
      <c r="F4">
        <f>SUM($F$8:$F$158)</f>
        <v>0</v>
      </c>
      <c r="Z4" s="244"/>
      <c r="AA4" s="245" t="str" cm="1">
        <f t="array" ref="AA4:AA19">_xlfn._xlws.SORT(ListSubsDonationsActive,,1)</f>
        <v>donation wikipedia</v>
      </c>
      <c r="AB4" s="242"/>
    </row>
    <row r="5" spans="2:58" ht="18" customHeight="1" thickBot="1" x14ac:dyDescent="0.3">
      <c r="E5" t="s">
        <v>379</v>
      </c>
      <c r="F5" t="s">
        <v>333</v>
      </c>
      <c r="Z5" s="246"/>
      <c r="AA5" s="247" t="str">
        <v>donation yuumei</v>
      </c>
      <c r="AB5" s="243"/>
      <c r="AO5" s="217"/>
      <c r="AP5" s="217"/>
      <c r="AQ5" s="256" t="s">
        <v>400</v>
      </c>
      <c r="AR5" s="217"/>
      <c r="AS5" s="257" t="s">
        <v>464</v>
      </c>
      <c r="AT5" s="258"/>
    </row>
    <row r="6" spans="2:58" ht="18" customHeight="1" thickBot="1" x14ac:dyDescent="0.35">
      <c r="B6" s="254" t="s">
        <v>401</v>
      </c>
      <c r="C6" s="252"/>
      <c r="Z6" s="246"/>
      <c r="AA6" s="247" t="str">
        <v>phoneix membership</v>
      </c>
      <c r="AB6" s="243"/>
    </row>
    <row r="7" spans="2:58" ht="18" customHeight="1" thickBot="1" x14ac:dyDescent="0.45">
      <c r="Z7" s="246"/>
      <c r="AA7" s="247" t="str">
        <v>sub acronis</v>
      </c>
      <c r="AB7" s="243"/>
      <c r="AE7" s="217"/>
      <c r="AF7" s="218"/>
      <c r="AR7" s="166" t="s">
        <v>19</v>
      </c>
      <c r="AS7" s="166" t="s">
        <v>255</v>
      </c>
      <c r="AT7" s="166" t="s">
        <v>174</v>
      </c>
      <c r="AU7" s="166" t="s">
        <v>375</v>
      </c>
    </row>
    <row r="8" spans="2:58" ht="18" customHeight="1" thickBot="1" x14ac:dyDescent="0.35">
      <c r="C8" s="18" t="s">
        <v>402</v>
      </c>
      <c r="E8" t="str" cm="1">
        <f t="array" ref="E8">_xlfn._xlws.FILTER($AF$28:$AG$108,AG28:AG108&lt;&gt;0,"")</f>
        <v/>
      </c>
      <c r="J8" t="str" cm="1">
        <f t="array" ref="J8:J22">agg_acct_dash[AggAcctName]</f>
        <v>Cash Equivalent</v>
      </c>
      <c r="M8" t="s">
        <v>374</v>
      </c>
      <c r="N8" t="s">
        <v>381</v>
      </c>
      <c r="O8" t="s">
        <v>381</v>
      </c>
      <c r="P8" t="s">
        <v>381</v>
      </c>
      <c r="Q8" t="s">
        <v>381</v>
      </c>
      <c r="Z8" s="246"/>
      <c r="AA8" s="248" t="str">
        <v>sub chatGPT</v>
      </c>
      <c r="AB8" s="243"/>
      <c r="AP8" s="259" t="b">
        <v>0</v>
      </c>
      <c r="AQ8" s="167" cm="1">
        <f t="array" ref="AQ8:AQ17">_xlfn.SEQUENCE(10)</f>
        <v>1</v>
      </c>
      <c r="AR8" s="18" t="s">
        <v>34</v>
      </c>
      <c r="AS8" s="18" t="s">
        <v>333</v>
      </c>
      <c r="AT8" s="18" t="s">
        <v>132</v>
      </c>
      <c r="BF8" t="e" cm="1">
        <f t="array" ref="BF8">list</f>
        <v>#NAME?</v>
      </c>
    </row>
    <row r="9" spans="2:58" ht="18" customHeight="1" thickBot="1" x14ac:dyDescent="0.35">
      <c r="J9" t="str">
        <v>Investments</v>
      </c>
      <c r="M9" t="s">
        <v>388</v>
      </c>
      <c r="N9" t="s">
        <v>390</v>
      </c>
      <c r="O9" t="s">
        <v>381</v>
      </c>
      <c r="P9" t="s">
        <v>381</v>
      </c>
      <c r="Q9" t="s">
        <v>381</v>
      </c>
      <c r="Z9" s="246"/>
      <c r="AA9" s="248" t="str">
        <v>sub creative fabrica</v>
      </c>
      <c r="AB9" s="243"/>
      <c r="AF9" s="175" t="s">
        <v>373</v>
      </c>
      <c r="AG9" s="176" t="s">
        <v>377</v>
      </c>
      <c r="AH9" s="176" t="s">
        <v>354</v>
      </c>
      <c r="AP9" s="259" t="b">
        <v>0</v>
      </c>
      <c r="AQ9" s="167">
        <v>2</v>
      </c>
      <c r="AR9" s="18"/>
      <c r="AS9" s="18"/>
      <c r="AT9" s="18"/>
    </row>
    <row r="10" spans="2:58" ht="18" customHeight="1" thickBot="1" x14ac:dyDescent="0.35">
      <c r="C10" s="18" t="s">
        <v>403</v>
      </c>
      <c r="J10" t="str">
        <v>Property</v>
      </c>
      <c r="M10" t="s">
        <v>396</v>
      </c>
      <c r="N10" t="s">
        <v>390</v>
      </c>
      <c r="O10" t="s">
        <v>384</v>
      </c>
      <c r="P10" t="s">
        <v>381</v>
      </c>
      <c r="Q10" t="s">
        <v>381</v>
      </c>
      <c r="Z10" s="246"/>
      <c r="AA10" s="248" t="str">
        <v>sub dropout TV</v>
      </c>
      <c r="AB10" s="243"/>
      <c r="AF10" s="177" t="str" cm="1">
        <f t="array" ref="AF10:AF13">ListKPI</f>
        <v>act out food</v>
      </c>
      <c r="AG10">
        <f>IFERROR(IF($AG$9="Actual",_xlfn.XLOOKUP($AF10,CalcItemName,CalcItemActual,"",0),_xlfn.XLOOKUP($AF10,CalcItemName,CalcItemBudget,"",0)),"")</f>
        <v>0</v>
      </c>
      <c r="AP10" s="259" t="b">
        <v>0</v>
      </c>
      <c r="AQ10" s="167">
        <v>3</v>
      </c>
      <c r="AR10" s="18"/>
      <c r="AS10" s="18"/>
      <c r="AT10" s="18"/>
    </row>
    <row r="11" spans="2:58" ht="18" customHeight="1" thickTop="1" thickBot="1" x14ac:dyDescent="0.35">
      <c r="C11" s="18"/>
      <c r="J11" t="str">
        <v>Assets Misc.</v>
      </c>
      <c r="M11" t="s">
        <v>387</v>
      </c>
      <c r="N11" t="s">
        <v>390</v>
      </c>
      <c r="O11" t="s">
        <v>381</v>
      </c>
      <c r="P11" t="s">
        <v>382</v>
      </c>
      <c r="Q11" t="s">
        <v>381</v>
      </c>
      <c r="Z11" s="246"/>
      <c r="AA11" s="248" t="str">
        <v>sub Github</v>
      </c>
      <c r="AB11" s="243"/>
      <c r="AD11" s="186"/>
      <c r="AF11" s="178" t="str">
        <v>groceries</v>
      </c>
      <c r="AG11">
        <f>IFERROR(IF($AG$9="Actual",_xlfn.XLOOKUP($AF11,CalcItemName,CalcItemActual,"",0),_xlfn.XLOOKUP($AF11,CalcItemName,CalcItemBudget,"",0)),"")</f>
        <v>4000</v>
      </c>
      <c r="AP11" s="260" t="b">
        <v>0</v>
      </c>
      <c r="AQ11" s="261">
        <v>4</v>
      </c>
      <c r="AR11" s="262" t="str">
        <f>_xlfn.XLOOKUP($AT11,item_ref[Item],item_ref[Account],"",0)</f>
        <v>Act Out Expense</v>
      </c>
      <c r="AS11" s="262" t="s">
        <v>333</v>
      </c>
      <c r="AT11" s="263" t="str" cm="1">
        <f t="array" ref="AT11:AT14">ListKPI</f>
        <v>act out food</v>
      </c>
      <c r="AU11" s="262"/>
      <c r="AW11" s="175"/>
      <c r="AX11" s="176"/>
      <c r="AY11" s="176"/>
    </row>
    <row r="12" spans="2:58" ht="18" customHeight="1" thickBot="1" x14ac:dyDescent="0.45">
      <c r="C12" s="18" t="s">
        <v>404</v>
      </c>
      <c r="J12" t="str">
        <v>Short-Term Debt Credit</v>
      </c>
      <c r="M12" t="s">
        <v>386</v>
      </c>
      <c r="N12" t="s">
        <v>390</v>
      </c>
      <c r="O12" t="s">
        <v>381</v>
      </c>
      <c r="P12" t="s">
        <v>382</v>
      </c>
      <c r="Q12" t="s">
        <v>383</v>
      </c>
      <c r="Z12" s="246"/>
      <c r="AA12" s="248" t="str">
        <v>sub iobit mix</v>
      </c>
      <c r="AB12" s="243"/>
      <c r="AE12" s="16"/>
      <c r="AF12" s="178" t="str">
        <v>takeout/restaurant</v>
      </c>
      <c r="AG12">
        <f>IFERROR(IF($AG$9="Actual",_xlfn.XLOOKUP($AF12,CalcItemName,CalcItemActual,"",0),_xlfn.XLOOKUP($AF12,CalcItemName,CalcItemBudget,"",0)),"")</f>
        <v>1055</v>
      </c>
      <c r="AP12" s="259" t="b">
        <v>0</v>
      </c>
      <c r="AQ12" s="167">
        <v>5</v>
      </c>
      <c r="AR12" t="str">
        <f>_xlfn.XLOOKUP($AT12,item_ref[Item],item_ref[Account],"",0)</f>
        <v>Nutrition Expense</v>
      </c>
      <c r="AS12" t="s">
        <v>333</v>
      </c>
      <c r="AT12" t="str">
        <v>groceries</v>
      </c>
    </row>
    <row r="13" spans="2:58" ht="18" customHeight="1" thickBot="1" x14ac:dyDescent="0.45">
      <c r="J13" t="str">
        <v>Short-Term Debt Other</v>
      </c>
      <c r="Z13" s="246"/>
      <c r="AA13" s="248" t="str">
        <v>sub kindle</v>
      </c>
      <c r="AB13" s="243"/>
      <c r="AE13" s="16"/>
      <c r="AF13" s="178" t="str">
        <v>salary qch</v>
      </c>
      <c r="AG13">
        <f>IFERROR(IF($AG$9="Actual",_xlfn.XLOOKUP($AF13,CalcItemName,CalcItemActual,"",0),_xlfn.XLOOKUP($AF13,CalcItemName,CalcItemBudget,"",0)),"")</f>
        <v>11600</v>
      </c>
      <c r="AP13" s="259" t="b">
        <v>1</v>
      </c>
      <c r="AQ13" s="167">
        <v>6</v>
      </c>
      <c r="AR13" t="str">
        <f>_xlfn.XLOOKUP($AT13,item_ref[Item],item_ref[Account],"",0)</f>
        <v>Nutrition Expense</v>
      </c>
      <c r="AS13" t="s">
        <v>333</v>
      </c>
      <c r="AT13" t="str">
        <v>takeout/restaurant</v>
      </c>
      <c r="AW13" s="178"/>
    </row>
    <row r="14" spans="2:58" ht="18" customHeight="1" thickBot="1" x14ac:dyDescent="0.35">
      <c r="B14" s="255" t="s">
        <v>461</v>
      </c>
      <c r="C14" s="252"/>
      <c r="J14" t="str">
        <v>Long-Term Debt</v>
      </c>
      <c r="Z14" s="246"/>
      <c r="AA14" s="248" t="str">
        <v>sub office 365</v>
      </c>
      <c r="AB14" s="243"/>
      <c r="AF14" s="178"/>
      <c r="AG14">
        <f>IFERROR(IF($AG$9="Actual",_xlfn.XLOOKUP($AF14,CalcItemName,CalcItemActual,"",0),_xlfn.XLOOKUP($AF14,CalcItemName,CalcItemBudget,"",0)),"")</f>
        <v>0</v>
      </c>
      <c r="AP14" s="259" t="b">
        <v>0</v>
      </c>
      <c r="AQ14" s="167">
        <v>7</v>
      </c>
      <c r="AR14" t="str">
        <f>_xlfn.XLOOKUP($AT14,item_ref[Item],item_ref[Account],"",0)</f>
        <v>Salary Revenue</v>
      </c>
      <c r="AS14" t="s">
        <v>333</v>
      </c>
      <c r="AT14" t="str">
        <v>salary qch</v>
      </c>
      <c r="AW14" s="178"/>
    </row>
    <row r="15" spans="2:58" ht="18" customHeight="1" thickBot="1" x14ac:dyDescent="0.35">
      <c r="J15" t="str">
        <v>Income Salary</v>
      </c>
      <c r="L15" s="11"/>
      <c r="Z15" s="246"/>
      <c r="AA15" s="248" t="str">
        <v>sub prime</v>
      </c>
      <c r="AB15" s="243"/>
      <c r="AP15" s="259" t="b">
        <v>0</v>
      </c>
      <c r="AQ15" s="167">
        <v>8</v>
      </c>
      <c r="AR15" t="str">
        <f>_xlfn.XLOOKUP($AT15,item_ref[Item],item_ref[Account],"",0)</f>
        <v/>
      </c>
      <c r="AS15" t="s">
        <v>333</v>
      </c>
      <c r="AW15" s="178"/>
    </row>
    <row r="16" spans="2:58" ht="18" customHeight="1" thickBot="1" x14ac:dyDescent="0.35">
      <c r="J16" t="str">
        <v>Income Other</v>
      </c>
      <c r="V16" s="11"/>
      <c r="Z16" s="246"/>
      <c r="AA16" s="248" t="str">
        <v>sub prime video ad-free</v>
      </c>
      <c r="AB16" s="243"/>
      <c r="AP16" s="259" t="b">
        <v>0</v>
      </c>
      <c r="AQ16" s="167">
        <v>9</v>
      </c>
      <c r="AR16" t="str">
        <f>_xlfn.XLOOKUP($AT16,item_ref[Item],item_ref[Account],"",0)</f>
        <v/>
      </c>
      <c r="AT16" s="18"/>
      <c r="AW16" s="178"/>
    </row>
    <row r="17" spans="3:46" ht="18" customHeight="1" thickBot="1" x14ac:dyDescent="0.35">
      <c r="J17" t="str">
        <v>Home Expenses</v>
      </c>
      <c r="Z17" s="246"/>
      <c r="AA17" s="248" t="str">
        <v>sub spotify</v>
      </c>
      <c r="AB17" s="243"/>
      <c r="AD17" s="249"/>
      <c r="AE17" s="250"/>
      <c r="AF17" s="250"/>
      <c r="AP17" s="259" t="b">
        <v>0</v>
      </c>
      <c r="AQ17" s="167">
        <v>10</v>
      </c>
      <c r="AR17" t="str">
        <f>_xlfn.XLOOKUP($AT17,item_ref[Item],item_ref[Account],"",0)</f>
        <v/>
      </c>
      <c r="AT17" s="18"/>
    </row>
    <row r="18" spans="3:46" ht="18" customHeight="1" thickBot="1" x14ac:dyDescent="0.3">
      <c r="J18" t="str">
        <v>Self-Care Expenses</v>
      </c>
      <c r="M18" t="s">
        <v>376</v>
      </c>
      <c r="N18" t="s">
        <v>389</v>
      </c>
      <c r="O18" t="s">
        <v>19</v>
      </c>
      <c r="P18" t="s">
        <v>174</v>
      </c>
      <c r="Z18" s="246"/>
      <c r="AA18" s="248" t="str">
        <v>sub stack tv</v>
      </c>
      <c r="AB18" s="243"/>
    </row>
    <row r="19" spans="3:46" ht="18" customHeight="1" thickBot="1" x14ac:dyDescent="0.3">
      <c r="C19" s="15"/>
      <c r="J19" t="str">
        <v>Transportation Expenses</v>
      </c>
      <c r="M19" t="str" cm="1">
        <f t="array" ref="M19:M24">IF($AG$20=$M$8,"",ListAccountTypes)</f>
        <v>Asset</v>
      </c>
      <c r="N19" t="str" cm="1">
        <f t="array" ref="N19:N21">IF($AG$20=$M$10,_xlfn._xlws.FILTER(ListAggAccounts,agg_acct_dash[AcctType]=$AF$23,""),"Choose Select by Aggregated Accounts")</f>
        <v>Short-Term Debt Credit</v>
      </c>
      <c r="O19" t="str" cm="1">
        <f t="array" ref="O19">IF(($AG$20=$M$11)+($AG$20=$M$12),_xlfn._xlws.FILTER(acct_ref[AccountName],$AF$23=acct_ref[AcctType],"No Associated Accounts"),"")</f>
        <v/>
      </c>
      <c r="P19" t="str" cm="1">
        <f t="array" ref="P19">IF($AG$20=$M$12,_xlfn._xlws.FILTER(item_ref[Item],item_ref[Account]=$AH$23,"No Associated Accounts"),"Choose 'Select by Item'")</f>
        <v>Choose 'Select by Item'</v>
      </c>
      <c r="Z19" s="246"/>
      <c r="AA19" s="248" t="str">
        <v>sub yt premium</v>
      </c>
      <c r="AB19" s="243"/>
    </row>
    <row r="20" spans="3:46" ht="18" customHeight="1" thickBot="1" x14ac:dyDescent="0.3">
      <c r="J20" t="str">
        <v>Act Out Expenses</v>
      </c>
      <c r="M20" t="str">
        <v>Contra Asset</v>
      </c>
      <c r="N20" t="str">
        <v>Short-Term Debt Other</v>
      </c>
      <c r="Z20" s="246"/>
      <c r="AA20" s="248"/>
      <c r="AB20" s="243"/>
      <c r="AF20" s="185" t="s">
        <v>420</v>
      </c>
      <c r="AG20" s="190" t="s">
        <v>396</v>
      </c>
    </row>
    <row r="21" spans="3:46" ht="18" customHeight="1" thickBot="1" x14ac:dyDescent="0.3">
      <c r="J21" t="str">
        <v>Expenses Other</v>
      </c>
      <c r="M21" t="str">
        <v>Liability</v>
      </c>
      <c r="N21" t="str">
        <v>Long-Term Debt</v>
      </c>
      <c r="Z21" s="246"/>
      <c r="AA21" s="248"/>
      <c r="AB21" s="243"/>
    </row>
    <row r="22" spans="3:46" ht="18" customHeight="1" thickBot="1" x14ac:dyDescent="0.35">
      <c r="J22" t="str">
        <v>Debt Expense</v>
      </c>
      <c r="M22" t="str">
        <v>Capital</v>
      </c>
      <c r="Z22" s="246"/>
      <c r="AA22" s="248"/>
      <c r="AB22" s="243"/>
      <c r="AF22" s="163" t="s">
        <v>376</v>
      </c>
      <c r="AG22" s="163" t="s">
        <v>380</v>
      </c>
      <c r="AH22" s="163" t="s">
        <v>41</v>
      </c>
      <c r="AI22" s="163" t="s">
        <v>174</v>
      </c>
    </row>
    <row r="23" spans="3:46" ht="18" customHeight="1" thickBot="1" x14ac:dyDescent="0.3">
      <c r="M23" t="str">
        <v>Revenue</v>
      </c>
      <c r="Z23" s="246"/>
      <c r="AA23" s="248"/>
      <c r="AB23" s="243"/>
      <c r="AF23" s="188" t="s">
        <v>4</v>
      </c>
      <c r="AG23" s="236" t="s">
        <v>416</v>
      </c>
      <c r="AH23" s="188" t="s">
        <v>477</v>
      </c>
      <c r="AI23" s="189" t="s">
        <v>399</v>
      </c>
    </row>
    <row r="24" spans="3:46" ht="18" customHeight="1" thickBot="1" x14ac:dyDescent="0.3">
      <c r="E24" t="s">
        <v>448</v>
      </c>
      <c r="F24" t="s">
        <v>452</v>
      </c>
      <c r="M24" t="str">
        <v>Expense</v>
      </c>
      <c r="Z24" s="246"/>
      <c r="AA24" s="247"/>
      <c r="AB24" s="243"/>
    </row>
    <row r="25" spans="3:46" x14ac:dyDescent="0.25">
      <c r="E25" t="s">
        <v>449</v>
      </c>
      <c r="F25" t="s">
        <v>453</v>
      </c>
    </row>
    <row r="26" spans="3:46" ht="18.75" x14ac:dyDescent="0.3">
      <c r="E26" t="s">
        <v>450</v>
      </c>
      <c r="F26" t="s">
        <v>454</v>
      </c>
      <c r="T26" s="234" t="s">
        <v>419</v>
      </c>
      <c r="U26" s="216" t="s">
        <v>333</v>
      </c>
      <c r="V26" s="225" t="s">
        <v>336</v>
      </c>
      <c r="X26" s="233" t="s">
        <v>457</v>
      </c>
      <c r="Y26" s="233"/>
      <c r="Z26" s="233"/>
      <c r="AA26" s="224" t="s">
        <v>333</v>
      </c>
      <c r="AB26" s="224" t="s">
        <v>336</v>
      </c>
      <c r="AF26" s="164" t="s">
        <v>378</v>
      </c>
      <c r="AG26" s="15">
        <f>SUM(AG28:AG257)</f>
        <v>0</v>
      </c>
      <c r="AH26" s="15">
        <f>SUM(AH28:AH1048576)</f>
        <v>0</v>
      </c>
    </row>
    <row r="27" spans="3:46" ht="15.75" x14ac:dyDescent="0.25">
      <c r="E27" t="s">
        <v>451</v>
      </c>
      <c r="F27" t="s">
        <v>455</v>
      </c>
      <c r="T27" s="203" t="s">
        <v>359</v>
      </c>
      <c r="V27" s="204"/>
      <c r="X27" s="219" t="s">
        <v>416</v>
      </c>
      <c r="Y27" s="237"/>
      <c r="Z27" s="237"/>
      <c r="AB27" s="221"/>
      <c r="AF27" s="162" t="s">
        <v>355</v>
      </c>
      <c r="AG27" s="162" t="s">
        <v>333</v>
      </c>
      <c r="AH27" s="162" t="s">
        <v>354</v>
      </c>
    </row>
    <row r="28" spans="3:46" x14ac:dyDescent="0.25">
      <c r="T28" s="203" t="s">
        <v>369</v>
      </c>
      <c r="V28" s="204"/>
      <c r="X28" s="219" t="s">
        <v>415</v>
      </c>
      <c r="Y28" s="237"/>
      <c r="Z28" s="237"/>
      <c r="AB28" s="221"/>
      <c r="AF28" s="41" t="str" cm="1">
        <f t="array" ref="AF28">IFERROR(IF(($AG$20=$M$9)*(ISTEXT($AF$23))*($AG$27="Actual"),_xlfn.CHOOSECOLS(_xlfn._xlws.SORT(_xlfn._xlws.FILTER(CalcAccountAll,(CalcAccountType=$AF$23)*(ISNUMBER(CalcAccountActual))*(CalcAccountActual&lt;&gt;0),""),4,-1),1,4,5),
IF(($AG$20=$M$9)*(ISTEXT($AF$23))*($AG$27="Budget"),_xlfn.CHOOSECOLS(_xlfn._xlws.SORT(_xlfn._xlws.FILTER(CalcAccountAll,(CalcAccountType=$AF$23)*(ISNUMBER(CalcAccountBudget))*(CalcAccountBudget&lt;&gt;0),""),3,-1),1,3,5),
IF(($AG$20=$M$11)*(ISTEXT($AF$23))*(ISTEXT($AH$23))*($AG$27="Actual"),_xlfn.CHOOSECOLS(_xlfn._xlws.SORT(_xlfn._xlws.FILTER(CalcItemAll,(CalcItemAccountType=$AF$23)*(CalcItemAccountName=$AH$23)*(ISNUMBER(CalcItemActual))*(CalcItemActual&lt;&gt;0),""),5,-1),1,5,6),
IF(($AG$20=$M$11)*(ISTEXT($AF$23))*(ISTEXT($AH$23))*($AG$27="Budget"),_xlfn.CHOOSECOLS(_xlfn._xlws.SORT(_xlfn._xlws.FILTER(CalcItemAll,(CalcItemAccountType=$AF$23)*(CalcItemAccountName=$AH$23)*(ISNUMBER(CalcItemBudget))*(CalcItemBudget&lt;&gt;0),""),4,-1),1,4,6),"")))),"no related accounts and/or error")</f>
        <v/>
      </c>
    </row>
    <row r="29" spans="3:46" x14ac:dyDescent="0.25">
      <c r="T29" s="203" t="s">
        <v>406</v>
      </c>
      <c r="V29" s="204"/>
      <c r="X29" s="219" t="s">
        <v>407</v>
      </c>
      <c r="Y29" s="237"/>
      <c r="Z29" s="237"/>
      <c r="AB29" s="221"/>
    </row>
    <row r="30" spans="3:46" x14ac:dyDescent="0.25">
      <c r="T30" s="203" t="s">
        <v>322</v>
      </c>
      <c r="V30" s="204"/>
      <c r="X30" s="219"/>
      <c r="Y30" s="237"/>
      <c r="Z30" s="237"/>
      <c r="AB30" s="221"/>
    </row>
    <row r="31" spans="3:46" x14ac:dyDescent="0.25">
      <c r="T31" s="203"/>
      <c r="V31" s="204"/>
      <c r="X31" s="219"/>
      <c r="Y31" s="237"/>
      <c r="Z31" s="237"/>
      <c r="AB31" s="221"/>
    </row>
    <row r="32" spans="3:46" x14ac:dyDescent="0.25">
      <c r="T32" s="203"/>
      <c r="V32" s="204"/>
      <c r="X32" s="219"/>
      <c r="Y32" s="237"/>
      <c r="Z32" s="237"/>
      <c r="AB32" s="221"/>
    </row>
    <row r="33" spans="2:28" ht="15.75" thickBot="1" x14ac:dyDescent="0.3">
      <c r="T33" s="205"/>
      <c r="U33" s="206"/>
      <c r="V33" s="207"/>
      <c r="X33" s="220"/>
      <c r="Y33" s="238"/>
      <c r="Z33" s="238"/>
      <c r="AA33" s="222"/>
      <c r="AB33" s="223"/>
    </row>
    <row r="34" spans="2:28" ht="15.75" thickTop="1" x14ac:dyDescent="0.25"/>
    <row r="35" spans="2:28" ht="21" x14ac:dyDescent="0.35">
      <c r="B35" s="251" t="s">
        <v>462</v>
      </c>
      <c r="C35" s="252"/>
    </row>
    <row r="36" spans="2:28" ht="18" customHeight="1" x14ac:dyDescent="0.3">
      <c r="M36" t="str" cm="1">
        <f t="array" ref="M36:M41">ListAccountTypes</f>
        <v>Asset</v>
      </c>
      <c r="T36" s="235" t="s">
        <v>456</v>
      </c>
      <c r="U36" s="226" t="s">
        <v>333</v>
      </c>
      <c r="V36" s="226" t="s">
        <v>336</v>
      </c>
      <c r="X36" s="232" t="s">
        <v>458</v>
      </c>
      <c r="Y36" s="232"/>
      <c r="Z36" s="232"/>
      <c r="AA36" s="231" t="s">
        <v>377</v>
      </c>
      <c r="AB36" s="231" t="s">
        <v>336</v>
      </c>
    </row>
    <row r="37" spans="2:28" x14ac:dyDescent="0.25">
      <c r="C37" t="str" cm="1">
        <f t="array" ref="C37:C52">ListSubsDonationsActive</f>
        <v>donation wikipedia</v>
      </c>
      <c r="M37" t="str">
        <v>Contra Asset</v>
      </c>
      <c r="T37" s="227" t="s">
        <v>363</v>
      </c>
      <c r="V37" s="228"/>
      <c r="X37" s="208" t="s">
        <v>318</v>
      </c>
      <c r="Y37" s="239"/>
      <c r="Z37" s="239"/>
      <c r="AB37" s="209"/>
    </row>
    <row r="38" spans="2:28" x14ac:dyDescent="0.25">
      <c r="C38" t="str">
        <v>sub acronis</v>
      </c>
      <c r="M38" t="str">
        <v>Liability</v>
      </c>
      <c r="T38" s="227" t="s">
        <v>364</v>
      </c>
      <c r="V38" s="228"/>
      <c r="X38" s="208" t="s">
        <v>410</v>
      </c>
      <c r="Y38" s="239"/>
      <c r="Z38" s="239"/>
      <c r="AB38" s="209"/>
    </row>
    <row r="39" spans="2:28" ht="18" customHeight="1" x14ac:dyDescent="0.25">
      <c r="C39" t="str">
        <v>sub chatGPT</v>
      </c>
      <c r="M39" t="str">
        <v>Capital</v>
      </c>
      <c r="T39" s="227"/>
      <c r="V39" s="228"/>
      <c r="X39" s="215" t="s">
        <v>408</v>
      </c>
      <c r="Y39" s="240"/>
      <c r="Z39" s="240"/>
      <c r="AB39" s="209"/>
    </row>
    <row r="40" spans="2:28" x14ac:dyDescent="0.25">
      <c r="C40" t="str">
        <v>sub Github</v>
      </c>
      <c r="M40" t="str">
        <v>Revenue</v>
      </c>
      <c r="T40" s="227"/>
      <c r="V40" s="228"/>
      <c r="X40" s="208" t="s">
        <v>409</v>
      </c>
      <c r="Y40" s="239"/>
      <c r="Z40" s="239"/>
      <c r="AB40" s="209"/>
    </row>
    <row r="41" spans="2:28" x14ac:dyDescent="0.25">
      <c r="C41" t="str">
        <v>sub iobit mix</v>
      </c>
      <c r="M41" t="str">
        <v>Expense</v>
      </c>
      <c r="T41" s="227"/>
      <c r="V41" s="228"/>
      <c r="X41" s="208" t="s">
        <v>417</v>
      </c>
      <c r="Y41" s="239"/>
      <c r="Z41" s="239"/>
      <c r="AB41" s="209"/>
    </row>
    <row r="42" spans="2:28" x14ac:dyDescent="0.25">
      <c r="C42" t="str">
        <v>sub office 365</v>
      </c>
      <c r="T42" s="227"/>
      <c r="V42" s="228"/>
      <c r="X42" s="208"/>
      <c r="Y42" s="239"/>
      <c r="Z42" s="239"/>
      <c r="AB42" s="209"/>
    </row>
    <row r="43" spans="2:28" x14ac:dyDescent="0.25">
      <c r="C43" t="str">
        <v>donation yuumei</v>
      </c>
      <c r="T43" s="227"/>
      <c r="V43" s="228"/>
      <c r="X43" s="208"/>
      <c r="Y43" s="239"/>
      <c r="Z43" s="239"/>
      <c r="AB43" s="209"/>
    </row>
    <row r="44" spans="2:28" x14ac:dyDescent="0.25">
      <c r="C44" t="str">
        <v>phoneix membership</v>
      </c>
      <c r="T44" s="227"/>
      <c r="V44" s="228"/>
      <c r="X44" s="208"/>
      <c r="Y44" s="239"/>
      <c r="Z44" s="239"/>
      <c r="AB44" s="209"/>
    </row>
    <row r="45" spans="2:28" x14ac:dyDescent="0.25">
      <c r="C45" t="str">
        <v>sub creative fabrica</v>
      </c>
      <c r="T45" s="227"/>
      <c r="V45" s="228"/>
      <c r="X45" s="208"/>
      <c r="Y45" s="239"/>
      <c r="Z45" s="239"/>
      <c r="AB45" s="209"/>
    </row>
    <row r="46" spans="2:28" ht="15.75" thickBot="1" x14ac:dyDescent="0.3">
      <c r="C46" t="str">
        <v>sub dropout TV</v>
      </c>
      <c r="H46" t="e" cm="1">
        <f t="array" ref="H46">_xlfn.CHOOSECOLS(_xlfn._xlws.SORT(_xlfn._xlws.FILTER(CalcItemAll,(CalcItemAccountType=$AF$23)*(CalcItemAccountName=$AH$23)*(ISNUMBER(CalcItemActual))*(CalcItemActual&lt;&gt;0),""),5,-1),1,5,6)</f>
        <v>#VALUE!</v>
      </c>
      <c r="M46">
        <f>IF(($AG$20=$M$11)*(ISTEXT($AF$23))*(ISTEXT($AH$23))*($AG$27="Actual"),1,0)</f>
        <v>0</v>
      </c>
      <c r="T46" s="229"/>
      <c r="U46" s="183"/>
      <c r="V46" s="230"/>
      <c r="X46" s="211"/>
      <c r="Y46" s="241"/>
      <c r="Z46" s="241"/>
      <c r="AA46" s="184"/>
      <c r="AB46" s="210"/>
    </row>
    <row r="47" spans="2:28" ht="15.75" thickTop="1" x14ac:dyDescent="0.25">
      <c r="C47" t="str">
        <v>sub kindle</v>
      </c>
    </row>
    <row r="48" spans="2:28" x14ac:dyDescent="0.25">
      <c r="C48" t="str">
        <v>sub prime</v>
      </c>
    </row>
    <row r="49" spans="3:38" x14ac:dyDescent="0.25">
      <c r="C49" t="str">
        <v>sub prime video ad-free</v>
      </c>
    </row>
    <row r="50" spans="3:38" x14ac:dyDescent="0.25">
      <c r="C50" t="str">
        <v>sub spotify</v>
      </c>
    </row>
    <row r="51" spans="3:38" x14ac:dyDescent="0.25">
      <c r="C51" t="str">
        <v>sub stack tv</v>
      </c>
    </row>
    <row r="52" spans="3:38" x14ac:dyDescent="0.25">
      <c r="C52" t="str">
        <v>sub yt premium</v>
      </c>
    </row>
    <row r="53" spans="3:38" x14ac:dyDescent="0.25">
      <c r="H53" t="str" cm="1">
        <f t="array" ref="H53">IF(($AG$20=$M$11)*(ISTEXT($AF$23))*(ISTEXT($AH$23))*($AG$27="Actual"),_xlfn.CHOOSECOLS(_xlfn._xlws.SORT(_xlfn._xlws.FILTER(CalcItemAll,(CalcItemAccountType=$AF$23)*(CalcItemAccountName=$AH$23)*(ISNUMBER(CalcItemActual))*(CalcItemActual&lt;&gt;0),""),5,-1),1,5,6),
IF(($AG$20=$M$11)*(ISTEXT($AF$23))*(ISTEXT($AH$23))*($AG$27="Budget"),_xlfn.CHOOSECOLS(_xlfn._xlws.SORT(_xlfn._xlws.FILTER(CalcItemAll,(CalcItemAccountType=$AF$23)*(CalcItemAccountName=$AH$23)*(ISNUMBER(CalcItemBudget))*(CalcItemBudget&lt;&gt;0),""),4,-1),1,4,6),""))</f>
        <v/>
      </c>
    </row>
    <row r="64" spans="3:38" x14ac:dyDescent="0.25">
      <c r="AL64" s="168"/>
    </row>
    <row r="104" spans="44:47" x14ac:dyDescent="0.25">
      <c r="AR104" t="str">
        <f>IF($AL$64=$M12,"","")</f>
        <v/>
      </c>
    </row>
    <row r="109" spans="44:47" collapsed="1" x14ac:dyDescent="0.25">
      <c r="AR109" t="s">
        <v>381</v>
      </c>
      <c r="AS109" t="s">
        <v>381</v>
      </c>
      <c r="AT109" t="s">
        <v>381</v>
      </c>
      <c r="AU109" t="s">
        <v>394</v>
      </c>
    </row>
    <row r="110" spans="44:47" x14ac:dyDescent="0.25">
      <c r="AR110" t="s">
        <v>391</v>
      </c>
      <c r="AS110" t="s">
        <v>392</v>
      </c>
      <c r="AT110" t="s">
        <v>393</v>
      </c>
      <c r="AU110" t="s">
        <v>383</v>
      </c>
    </row>
  </sheetData>
  <conditionalFormatting sqref="AF28:AH127">
    <cfRule type="notContainsBlanks" dxfId="30" priority="4">
      <formula>LEN(TRIM(AF28))&gt;0</formula>
    </cfRule>
  </conditionalFormatting>
  <conditionalFormatting sqref="AF23:AI23">
    <cfRule type="containsText" dxfId="29" priority="1" operator="containsText" text="Choose Select by Aggregated Account">
      <formula>NOT(ISERROR(SEARCH("Choose Select by Aggregated Account",AF23)))</formula>
    </cfRule>
    <cfRule type="containsText" dxfId="28" priority="2" operator="containsText" text="Choose 'Select by Item'">
      <formula>NOT(ISERROR(SEARCH("Choose 'Select by Item'",AF23)))</formula>
    </cfRule>
    <cfRule type="containsText" dxfId="27" priority="3" operator="containsText" text="No Associated Accounts">
      <formula>NOT(ISERROR(SEARCH("No Associated Accounts",AF23)))</formula>
    </cfRule>
  </conditionalFormatting>
  <dataValidations count="9">
    <dataValidation type="list" allowBlank="1" showInputMessage="1" showErrorMessage="1" sqref="AR8:AR10" xr:uid="{6BD9151D-EC17-445D-8237-94199A1EE77A}">
      <formula1>INDIRECT("AcctRef[AccountName]")</formula1>
    </dataValidation>
    <dataValidation type="list" allowBlank="1" showInputMessage="1" showErrorMessage="1" sqref="AT8:AT17" xr:uid="{07912C96-9EB5-430F-9297-6028B0387F59}">
      <formula1>INDIRECT("ItemRef[Item]")</formula1>
    </dataValidation>
    <dataValidation type="list" allowBlank="1" showInputMessage="1" showErrorMessage="1" sqref="AG23" xr:uid="{7AEA9D76-2440-4C0E-8A6A-CD3D11899DB6}">
      <formula1>_xlfn.ANCHORARRAY($N$19)</formula1>
    </dataValidation>
    <dataValidation type="list" allowBlank="1" showInputMessage="1" showErrorMessage="1" sqref="AH23" xr:uid="{372C9EDA-4340-4EF0-894E-7A59EDA04625}">
      <formula1>_xlfn.ANCHORARRAY($O$19)</formula1>
    </dataValidation>
    <dataValidation type="list" allowBlank="1" showInputMessage="1" showErrorMessage="1" sqref="AI23" xr:uid="{071B8B26-1169-414E-AF04-AE92BD22B6B3}">
      <formula1>_xlfn.ANCHORARRAY($P$19)</formula1>
    </dataValidation>
    <dataValidation type="list" allowBlank="1" showInputMessage="1" showErrorMessage="1" sqref="T27:T33 X27:Z33 T37:T43 X37:Z43" xr:uid="{1ACF3B93-C7AE-43A9-A520-CBFF8C275A92}">
      <formula1>INDIRECT("AggAcctDash[AggAcctName]")</formula1>
    </dataValidation>
    <dataValidation type="list" allowBlank="1" showInputMessage="1" showErrorMessage="1" sqref="AF23" xr:uid="{5FCA94E9-BB05-4020-8192-FE5D0CD3A3E0}">
      <formula1>_xlfn.ANCHORARRAY($M$19)</formula1>
    </dataValidation>
    <dataValidation type="list" allowBlank="1" showInputMessage="1" showErrorMessage="1" sqref="AG20" xr:uid="{0DC67351-49B4-4F8C-9B9F-7D2A4C238A0A}">
      <formula1>$M$8:$M$13</formula1>
    </dataValidation>
    <dataValidation type="list" allowBlank="1" showInputMessage="1" showErrorMessage="1" sqref="U26 AA36 AG27 AA26 U36 AG9 AX11 AS8:AS17" xr:uid="{651FE884-E0B1-42B3-AE1B-68B9ADAB0A61}">
      <formula1>BudgetActual</formula1>
    </dataValidation>
  </dataValidations>
  <pageMargins left="0.70866141732283472" right="0.31496062992125984" top="0.74803149606299213" bottom="0.74803149606299213" header="0.31496062992125984" footer="0.31496062992125984"/>
  <pageSetup scale="12"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_PivotTables">
                <anchor moveWithCells="1" sizeWithCells="1">
                  <from>
                    <xdr:col>2</xdr:col>
                    <xdr:colOff>504825</xdr:colOff>
                    <xdr:row>2</xdr:row>
                    <xdr:rowOff>66675</xdr:rowOff>
                  </from>
                  <to>
                    <xdr:col>2</xdr:col>
                    <xdr:colOff>1343025</xdr:colOff>
                    <xdr:row>4</xdr:row>
                    <xdr:rowOff>123825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03544-C8D2-4A30-9B45-2414B73DFF54}">
  <sheetPr codeName="Sheet7"/>
  <dimension ref="D3:CT768"/>
  <sheetViews>
    <sheetView workbookViewId="0">
      <pane xSplit="2" topLeftCell="AN1" activePane="topRight" state="frozen"/>
      <selection pane="topRight" activeCell="AZ51" sqref="AW51:AZ51"/>
    </sheetView>
  </sheetViews>
  <sheetFormatPr defaultRowHeight="15" outlineLevelCol="2" x14ac:dyDescent="0.25"/>
  <cols>
    <col min="1" max="1" width="2.85546875" customWidth="1"/>
    <col min="2" max="2" width="16.28515625" customWidth="1"/>
    <col min="3" max="3" width="2.42578125" customWidth="1"/>
    <col min="4" max="4" width="18.7109375" customWidth="1" outlineLevel="1"/>
    <col min="5" max="5" width="13.140625" customWidth="1" outlineLevel="1"/>
    <col min="6" max="6" width="6.140625" customWidth="1" outlineLevel="1"/>
    <col min="7" max="7" width="5.7109375" style="160" customWidth="1"/>
    <col min="8" max="8" width="28.42578125" customWidth="1" outlineLevel="1"/>
    <col min="9" max="9" width="16.85546875" customWidth="1" outlineLevel="1"/>
    <col min="10" max="10" width="12" customWidth="1" outlineLevel="1"/>
    <col min="11" max="11" width="13" customWidth="1" outlineLevel="1"/>
    <col min="12" max="12" width="12.5703125" customWidth="1" outlineLevel="1"/>
    <col min="13" max="13" width="8" customWidth="1" outlineLevel="1"/>
    <col min="14" max="14" width="4.7109375" style="160" customWidth="1"/>
    <col min="15" max="15" width="4.7109375" hidden="1" customWidth="1" outlineLevel="1"/>
    <col min="16" max="16" width="24.42578125" hidden="1" customWidth="1" outlineLevel="1"/>
    <col min="17" max="17" width="10" hidden="1" customWidth="1" outlineLevel="2"/>
    <col min="18" max="18" width="10.85546875" hidden="1" customWidth="1" outlineLevel="2"/>
    <col min="19" max="19" width="9.5703125" hidden="1" customWidth="1" outlineLevel="1"/>
    <col min="20" max="20" width="10.42578125" hidden="1" customWidth="1" outlineLevel="1"/>
    <col min="21" max="21" width="15.140625" hidden="1" customWidth="1" outlineLevel="1"/>
    <col min="22" max="22" width="12.7109375" hidden="1" customWidth="1" outlineLevel="1"/>
    <col min="23" max="23" width="10.28515625" hidden="1" customWidth="1" outlineLevel="1"/>
    <col min="24" max="24" width="5.7109375" style="160" customWidth="1" collapsed="1"/>
    <col min="25" max="25" width="25" customWidth="1" outlineLevel="1"/>
    <col min="26" max="26" width="14.85546875" customWidth="1" outlineLevel="1"/>
    <col min="27" max="27" width="9.7109375" customWidth="1" outlineLevel="1"/>
    <col min="28" max="28" width="11.28515625" customWidth="1" outlineLevel="1"/>
    <col min="29" max="29" width="10.140625" customWidth="1" outlineLevel="1"/>
    <col min="30" max="30" width="10.85546875" customWidth="1" outlineLevel="1"/>
    <col min="31" max="31" width="13.42578125" customWidth="1" outlineLevel="1"/>
    <col min="32" max="32" width="8.42578125" style="160" customWidth="1"/>
    <col min="33" max="33" width="22.28515625" customWidth="1" outlineLevel="1"/>
    <col min="34" max="34" width="13.7109375" customWidth="1" outlineLevel="1"/>
    <col min="35" max="35" width="14.85546875" customWidth="1" outlineLevel="1"/>
    <col min="36" max="36" width="14" customWidth="1" outlineLevel="1"/>
    <col min="37" max="38" width="15.7109375" customWidth="1" outlineLevel="1"/>
    <col min="39" max="39" width="13" customWidth="1" outlineLevel="1"/>
    <col min="40" max="40" width="12.85546875" style="160" customWidth="1"/>
    <col min="41" max="41" width="28.42578125" customWidth="1" outlineLevel="1"/>
    <col min="42" max="42" width="16.85546875" customWidth="1" outlineLevel="1"/>
    <col min="43" max="43" width="12" customWidth="1" outlineLevel="1"/>
    <col min="44" max="44" width="11.28515625" customWidth="1" outlineLevel="1"/>
    <col min="45" max="45" width="9.7109375" customWidth="1" outlineLevel="1"/>
    <col min="46" max="47" width="11.28515625" customWidth="1" outlineLevel="1"/>
    <col min="48" max="48" width="6.28515625" customWidth="1" outlineLevel="1"/>
    <col min="49" max="49" width="32.85546875" customWidth="1" outlineLevel="1"/>
    <col min="50" max="50" width="15.140625" customWidth="1" outlineLevel="1"/>
    <col min="51" max="51" width="11" customWidth="1" outlineLevel="1"/>
    <col min="52" max="52" width="17.28515625" customWidth="1" outlineLevel="1"/>
    <col min="53" max="53" width="20.140625" customWidth="1" outlineLevel="1"/>
    <col min="54" max="54" width="15.5703125" customWidth="1" outlineLevel="1"/>
    <col min="55" max="55" width="18.140625" customWidth="1" outlineLevel="1"/>
    <col min="56" max="56" width="5.140625" style="160" customWidth="1"/>
    <col min="57" max="57" width="34.140625" customWidth="1" outlineLevel="1"/>
    <col min="58" max="58" width="30.7109375" customWidth="1" outlineLevel="1"/>
    <col min="59" max="59" width="14.85546875" customWidth="1" outlineLevel="1"/>
    <col min="60" max="64" width="15.5703125" customWidth="1" outlineLevel="1"/>
    <col min="65" max="65" width="7.140625" style="160" customWidth="1"/>
    <col min="66" max="66" width="14.85546875" customWidth="1" outlineLevel="1"/>
    <col min="67" max="67" width="16.85546875" customWidth="1" outlineLevel="1"/>
    <col min="68" max="78" width="14.7109375" customWidth="1" outlineLevel="1"/>
    <col min="79" max="79" width="19.28515625" customWidth="1" outlineLevel="1"/>
    <col min="80" max="80" width="3.28515625" customWidth="1"/>
    <col min="81" max="81" width="2.5703125" customWidth="1" outlineLevel="1"/>
    <col min="82" max="82" width="16.5703125" customWidth="1" outlineLevel="1"/>
    <col min="83" max="83" width="13.140625" customWidth="1" outlineLevel="1"/>
    <col min="84" max="84" width="14.85546875" customWidth="1" outlineLevel="1"/>
    <col min="85" max="85" width="14.42578125" customWidth="1" outlineLevel="1"/>
    <col min="86" max="98" width="15.5703125" customWidth="1" outlineLevel="1"/>
    <col min="99" max="99" width="15.5703125" customWidth="1"/>
    <col min="100" max="137" width="15.5703125" bestFit="1" customWidth="1"/>
    <col min="138" max="138" width="10.42578125" bestFit="1" customWidth="1"/>
  </cols>
  <sheetData>
    <row r="3" spans="4:97" x14ac:dyDescent="0.25">
      <c r="D3" s="180" t="s">
        <v>332</v>
      </c>
    </row>
    <row r="4" spans="4:97" x14ac:dyDescent="0.25">
      <c r="D4" s="181" t="s">
        <v>333</v>
      </c>
    </row>
    <row r="5" spans="4:97" x14ac:dyDescent="0.25">
      <c r="D5" s="181" t="s">
        <v>336</v>
      </c>
      <c r="AO5" s="50" t="s">
        <v>12</v>
      </c>
      <c r="AP5" t="s">
        <v>331</v>
      </c>
    </row>
    <row r="6" spans="4:97" x14ac:dyDescent="0.25">
      <c r="D6" s="182" t="s">
        <v>350</v>
      </c>
      <c r="AO6" s="50" t="s">
        <v>357</v>
      </c>
      <c r="AP6" t="s">
        <v>331</v>
      </c>
      <c r="BN6" t="s">
        <v>444</v>
      </c>
      <c r="CD6" t="s">
        <v>445</v>
      </c>
    </row>
    <row r="8" spans="4:97" x14ac:dyDescent="0.25">
      <c r="S8">
        <f>SUM(S$10:S$511)</f>
        <v>1591.91</v>
      </c>
      <c r="T8">
        <f>SUM(T$10:T$511)</f>
        <v>1438.4299999999998</v>
      </c>
      <c r="U8">
        <f>SUM(U$10:U$511)</f>
        <v>-153.4800000000001</v>
      </c>
      <c r="V8">
        <f t="shared" ref="V8:AL8" si="0">SUM(V$10:V$511)</f>
        <v>0</v>
      </c>
      <c r="W8">
        <f t="shared" si="0"/>
        <v>-1.1290999370585355</v>
      </c>
      <c r="Z8">
        <f t="shared" si="0"/>
        <v>0</v>
      </c>
      <c r="AA8">
        <f t="shared" si="0"/>
        <v>109967.38</v>
      </c>
      <c r="AB8">
        <f t="shared" si="0"/>
        <v>0</v>
      </c>
      <c r="AC8">
        <f t="shared" si="0"/>
        <v>0</v>
      </c>
      <c r="AD8">
        <f t="shared" si="0"/>
        <v>0</v>
      </c>
      <c r="AH8">
        <f t="shared" si="0"/>
        <v>16655</v>
      </c>
      <c r="AI8">
        <f t="shared" si="0"/>
        <v>22645.8</v>
      </c>
      <c r="AJ8">
        <f t="shared" si="0"/>
        <v>5990.7999999999993</v>
      </c>
      <c r="AK8">
        <f t="shared" si="0"/>
        <v>0</v>
      </c>
      <c r="AL8">
        <f t="shared" si="0"/>
        <v>0</v>
      </c>
      <c r="AO8" s="50" t="s">
        <v>254</v>
      </c>
      <c r="AP8" s="50" t="s">
        <v>114</v>
      </c>
      <c r="BN8" s="50" t="s">
        <v>254</v>
      </c>
      <c r="BO8" s="50" t="s">
        <v>114</v>
      </c>
    </row>
    <row r="9" spans="4:97" x14ac:dyDescent="0.25">
      <c r="J9" t="s">
        <v>377</v>
      </c>
      <c r="K9" t="s">
        <v>333</v>
      </c>
      <c r="L9" t="s">
        <v>336</v>
      </c>
      <c r="Q9" t="s">
        <v>332</v>
      </c>
      <c r="R9" t="s">
        <v>333</v>
      </c>
      <c r="S9" t="s">
        <v>332</v>
      </c>
      <c r="T9" t="s">
        <v>333</v>
      </c>
      <c r="U9" t="s">
        <v>336</v>
      </c>
      <c r="V9" t="s">
        <v>337</v>
      </c>
      <c r="W9" t="s">
        <v>338</v>
      </c>
      <c r="Z9" t="s">
        <v>332</v>
      </c>
      <c r="AA9" t="s">
        <v>333</v>
      </c>
      <c r="AB9" t="s">
        <v>336</v>
      </c>
      <c r="AC9" s="159" t="s">
        <v>337</v>
      </c>
      <c r="AD9" s="159" t="s">
        <v>338</v>
      </c>
      <c r="AG9" t="s">
        <v>440</v>
      </c>
      <c r="AH9" t="s">
        <v>441</v>
      </c>
      <c r="AI9" t="s">
        <v>442</v>
      </c>
      <c r="AJ9" t="s">
        <v>443</v>
      </c>
      <c r="AK9" s="159" t="s">
        <v>337</v>
      </c>
      <c r="AL9" s="159" t="s">
        <v>338</v>
      </c>
      <c r="AO9" s="50" t="s">
        <v>106</v>
      </c>
      <c r="AP9" t="s">
        <v>333</v>
      </c>
      <c r="AQ9" t="s">
        <v>350</v>
      </c>
      <c r="AR9" t="s">
        <v>349</v>
      </c>
      <c r="AS9" t="s">
        <v>351</v>
      </c>
      <c r="AT9" t="s">
        <v>171</v>
      </c>
      <c r="AU9" t="s">
        <v>107</v>
      </c>
      <c r="AY9" t="s">
        <v>377</v>
      </c>
      <c r="AZ9" t="s">
        <v>333</v>
      </c>
      <c r="BA9" t="s">
        <v>336</v>
      </c>
      <c r="BB9" s="159" t="s">
        <v>337</v>
      </c>
      <c r="BC9" s="159" t="s">
        <v>338</v>
      </c>
      <c r="BH9" t="s">
        <v>377</v>
      </c>
      <c r="BI9" t="s">
        <v>333</v>
      </c>
      <c r="BJ9" t="s">
        <v>336</v>
      </c>
      <c r="BK9" s="159" t="s">
        <v>337</v>
      </c>
      <c r="BL9" s="159" t="s">
        <v>338</v>
      </c>
      <c r="BN9" s="50" t="s">
        <v>106</v>
      </c>
      <c r="BO9" t="s">
        <v>108</v>
      </c>
      <c r="BP9" t="s">
        <v>109</v>
      </c>
      <c r="BQ9" t="s">
        <v>110</v>
      </c>
      <c r="BR9" t="s">
        <v>111</v>
      </c>
      <c r="BS9" t="s">
        <v>112</v>
      </c>
      <c r="BT9" t="s">
        <v>124</v>
      </c>
      <c r="BU9" t="s">
        <v>160</v>
      </c>
      <c r="BV9" t="s">
        <v>159</v>
      </c>
      <c r="BW9" t="s">
        <v>158</v>
      </c>
      <c r="BX9" t="s">
        <v>157</v>
      </c>
      <c r="BY9" t="s">
        <v>156</v>
      </c>
      <c r="BZ9" t="s">
        <v>113</v>
      </c>
      <c r="CA9" t="s">
        <v>107</v>
      </c>
      <c r="CD9" t="s">
        <v>19</v>
      </c>
      <c r="CE9" t="s">
        <v>255</v>
      </c>
      <c r="CF9" t="s">
        <v>174</v>
      </c>
      <c r="CG9" t="s">
        <v>184</v>
      </c>
      <c r="CH9" t="s">
        <v>108</v>
      </c>
      <c r="CI9" t="s">
        <v>109</v>
      </c>
      <c r="CJ9" t="s">
        <v>110</v>
      </c>
      <c r="CK9" t="s">
        <v>111</v>
      </c>
      <c r="CL9" t="s">
        <v>112</v>
      </c>
      <c r="CM9" t="s">
        <v>124</v>
      </c>
      <c r="CN9" t="s">
        <v>160</v>
      </c>
      <c r="CO9" t="s">
        <v>159</v>
      </c>
      <c r="CP9" t="s">
        <v>158</v>
      </c>
      <c r="CQ9" t="s">
        <v>157</v>
      </c>
      <c r="CR9" t="s">
        <v>156</v>
      </c>
      <c r="CS9" t="s">
        <v>113</v>
      </c>
    </row>
    <row r="10" spans="4:97" x14ac:dyDescent="0.25">
      <c r="D10" t="str" cm="1">
        <f t="array" ref="D10:F24">agg_acct_dash[]</f>
        <v>Cash Equivalent</v>
      </c>
      <c r="E10" t="str">
        <v>Asset</v>
      </c>
      <c r="F10">
        <v>1</v>
      </c>
      <c r="H10" t="s">
        <v>128</v>
      </c>
      <c r="I10" t="s">
        <v>5</v>
      </c>
      <c r="J10" cm="1">
        <f t="array" ref="J10">IFERROR(SUM(_xlfn._xlws.FILTER(CalcAccountBudget,CalcAccountType=$I10,"")),0)</f>
        <v>0</v>
      </c>
      <c r="K10" cm="1">
        <f t="array" ref="K10">IFERROR(SUM(_xlfn._xlws.FILTER(CalcAccountActual,CalcAccountType=$I10,"")),0)</f>
        <v>41000.080000000002</v>
      </c>
      <c r="L10">
        <f t="shared" ref="L10:L15" si="1">IFERROR($K10-$J10,"")</f>
        <v>41000.080000000002</v>
      </c>
      <c r="O10" cm="1">
        <f t="array" ref="O10:O59">_xlfn.SEQUENCE(50)</f>
        <v>1</v>
      </c>
      <c r="P10" t="str" cm="1">
        <f t="array" ref="P10:P36">ListSubsDonationsAll</f>
        <v>donation wikipedia</v>
      </c>
      <c r="Q10">
        <f>IF($T10=0,$S10,IF(($S10-$T10)&lt;=5,0,$S10-$T10))</f>
        <v>21</v>
      </c>
      <c r="R10">
        <f t="shared" ref="R10:R59" si="2">T10</f>
        <v>15</v>
      </c>
      <c r="S10" cm="1">
        <f t="array" ref="S10">SUMPRODUCT((CalcItemName=$P10)*(CalcItemBudget))</f>
        <v>36</v>
      </c>
      <c r="T10" cm="1">
        <f t="array" ref="T10">SUMPRODUCT((CalcItemName=$P10)*(CalcItemActual))</f>
        <v>15</v>
      </c>
      <c r="U10">
        <f t="shared" ref="U10:U36" si="3">IFERROR($T10-$S10,"")</f>
        <v>-21</v>
      </c>
      <c r="W10" s="115" t="str">
        <f t="shared" ref="W10:W25" si="4">IFERROR(IF($U10&lt;0,"",IF($U10=0,"",-($T10/$S10))),"")</f>
        <v/>
      </c>
      <c r="Y10" t="str" cm="1">
        <f t="array" ref="Y10:Y24">ListAggAccounts</f>
        <v>Cash Equivalent</v>
      </c>
      <c r="Z10" t="str" cm="1">
        <f t="array" ref="Z10">IFERROR(SUMPRODUCT((ISNUMBER(MATCH(CalcAccountName,ListCashEquivalent,0)))*(CalcAccountBudget)),"error")</f>
        <v>error</v>
      </c>
      <c r="AA10" cm="1">
        <f t="array" ref="AA10">IFERROR(SUMPRODUCT((ISNUMBER(MATCH(CalcAccountName,ListCashEquivalent,0)))*(CalcAccountActual)),"error")</f>
        <v>5769.21</v>
      </c>
      <c r="AG10" t="str" cm="1">
        <f t="array" ref="AG10:AG13">ListKPI</f>
        <v>act out food</v>
      </c>
      <c r="AH10">
        <f>_xlfn.XLOOKUP($AG10,CalcItemName,CalcItemBudget,"error",0)</f>
        <v>0</v>
      </c>
      <c r="AI10">
        <f>_xlfn.XLOOKUP($AG10,CalcItemName,CalcItemActual,"error",0)</f>
        <v>384.85999999999996</v>
      </c>
      <c r="AJ10">
        <f>$AI10-$AH10</f>
        <v>384.85999999999996</v>
      </c>
      <c r="AO10" s="41" t="s">
        <v>7</v>
      </c>
      <c r="AP10">
        <v>125.97999999999888</v>
      </c>
      <c r="AU10">
        <v>125.97999999999888</v>
      </c>
      <c r="AW10" t="str" cm="1">
        <f t="array" ref="AW10:AX60">_xlfn.CHOOSECOLS(acct_ref[],1,2)</f>
        <v>Cash</v>
      </c>
      <c r="AX10" t="str">
        <v>Asset</v>
      </c>
      <c r="AY10" t="str">
        <f t="shared" ref="AY10:AY56" si="5">IF($AX10="Revenue",GETPIVOTDATA("Amount",$AO$10,"Source","Inc_Plan","Account",$AW10),
IF($AX10="Expense",SUM(GETPIVOTDATA("Amount",$AO$9,"Source","Exp_Plan","Account",$AW10),GETPIVOTDATA("Amount",$AO$9,"Source","Shop_List","Account",$AW10)),""))</f>
        <v/>
      </c>
      <c r="AZ10">
        <f>IFERROR(ROUND(GETPIVOTDATA("Amount",$AO$10,"Source","Actual","Account",$AW10),2),0)</f>
        <v>74.67</v>
      </c>
      <c r="BA10" t="str">
        <f>IFERROR($AZ10-$AY10,"")</f>
        <v/>
      </c>
      <c r="BE10" t="str" cm="1">
        <f t="array" ref="BE10:BF139">_xlfn.CHOOSECOLS(item_ref[],1,2)</f>
        <v>credit equalization</v>
      </c>
      <c r="BF10" t="str">
        <v>Account Payable - CC 1739</v>
      </c>
      <c r="BG10" t="str">
        <f>IFERROR(_xlfn.XLOOKUP($BF10,acct_ref[AccountName],acct_ref[AcctType],"Account Not Found",0),"")</f>
        <v>Liability</v>
      </c>
      <c r="BH10">
        <f t="shared" ref="BH10:BH73" si="6">IFERROR(IF($BG10="Revenue",GETPIVOTDATA("Amount",$AO$9,"Source","Inc_Plan","Account",$BF10,"Item",$BE10),
IF($BG10="Expense",SUM(GETPIVOTDATA("Amount",$AO$9,"Source","Exp_Plan","Account",$BF10,"Item",$BE10),GETPIVOTDATA("Amount",$AO$9,"Source","Shop_List","Account",$BF10,"Item",$BE10)),0)),0)</f>
        <v>0</v>
      </c>
      <c r="BI10">
        <f t="shared" ref="BI10:BI41" si="7">IFERROR(GETPIVOTDATA("Amount",$AO$9,"Source","Actual","Account",$BF10,"Item",$BE10),0)</f>
        <v>0</v>
      </c>
      <c r="BJ10">
        <f ca="1">RANDBETWEEN(0,1000)</f>
        <v>861</v>
      </c>
      <c r="BN10" s="41" t="s">
        <v>7</v>
      </c>
      <c r="BO10">
        <v>-743.13</v>
      </c>
      <c r="BR10">
        <v>143.13999999999996</v>
      </c>
      <c r="BS10">
        <v>718.6400000000001</v>
      </c>
      <c r="BT10">
        <v>-117.58000000000013</v>
      </c>
      <c r="BU10">
        <v>-1.8500000000000689</v>
      </c>
      <c r="BV10">
        <v>0.77999999999997982</v>
      </c>
      <c r="BW10">
        <v>125.9800000000007</v>
      </c>
      <c r="CA10">
        <v>125.97999999999934</v>
      </c>
      <c r="CD10" t="str" cm="1">
        <f t="array" ref="CD10:CG10">_xlfn.CHOOSECOLS(_xlfn._xlws.FILTER(Dashboard!$AP$8:$AU$17,Dashboard!$AP$8:$AP$17,""),3,4,5,6)</f>
        <v>Nutrition Expense</v>
      </c>
      <c r="CE10" t="str">
        <v>Actual</v>
      </c>
      <c r="CF10" t="str">
        <v>takeout/restaurant</v>
      </c>
      <c r="CG10">
        <v>0</v>
      </c>
      <c r="CH10">
        <f t="shared" ref="CH10:CS12" si="8">GETPIVOTDATA("Amount",$BN$9,"Date",CH$9,"Account",$CD10,"Source",$CE10,"Item",$CF10)</f>
        <v>211.00000000000003</v>
      </c>
      <c r="CI10">
        <f t="shared" si="8"/>
        <v>188.63</v>
      </c>
      <c r="CJ10">
        <f t="shared" si="8"/>
        <v>146.88</v>
      </c>
      <c r="CK10">
        <f t="shared" si="8"/>
        <v>240.22</v>
      </c>
      <c r="CL10">
        <f t="shared" si="8"/>
        <v>342.03</v>
      </c>
      <c r="CM10">
        <f t="shared" si="8"/>
        <v>117.26</v>
      </c>
      <c r="CN10">
        <f t="shared" si="8"/>
        <v>157.71</v>
      </c>
      <c r="CO10">
        <f t="shared" si="8"/>
        <v>136.57</v>
      </c>
      <c r="CP10">
        <f t="shared" si="8"/>
        <v>122.72</v>
      </c>
      <c r="CQ10">
        <f t="shared" si="8"/>
        <v>0</v>
      </c>
      <c r="CR10">
        <f t="shared" si="8"/>
        <v>0</v>
      </c>
      <c r="CS10">
        <f t="shared" si="8"/>
        <v>0</v>
      </c>
    </row>
    <row r="11" spans="4:97" x14ac:dyDescent="0.25">
      <c r="D11" t="str">
        <v>Investments</v>
      </c>
      <c r="E11" t="str">
        <v>Asset</v>
      </c>
      <c r="F11">
        <v>2</v>
      </c>
      <c r="H11" t="s">
        <v>126</v>
      </c>
      <c r="I11" t="s">
        <v>4</v>
      </c>
      <c r="J11" cm="1">
        <f t="array" ref="J11">IFERROR(SUM(_xlfn._xlws.FILTER(CalcAccountBudget,CalcAccountType=$I11,"")),0)</f>
        <v>0</v>
      </c>
      <c r="K11" cm="1">
        <f t="array" ref="K11">IFERROR(SUM(_xlfn._xlws.FILTER(CalcAccountActual,CalcAccountType=$I11,"")),0)</f>
        <v>10533.98</v>
      </c>
      <c r="L11">
        <f t="shared" si="1"/>
        <v>10533.98</v>
      </c>
      <c r="O11">
        <v>2</v>
      </c>
      <c r="P11" t="str">
        <v>sub coursera</v>
      </c>
      <c r="Q11">
        <f t="shared" ref="Q11:Q59" si="9">IF($T11=0,$S11,IF(($S11-$T11)&lt;=5,0,$S11-$T11))</f>
        <v>0</v>
      </c>
      <c r="R11">
        <f t="shared" si="2"/>
        <v>67</v>
      </c>
      <c r="S11" cm="1">
        <f t="array" ref="S11">SUMPRODUCT((CalcItemName=$P11)*(CalcItemBudget))</f>
        <v>0</v>
      </c>
      <c r="T11" cm="1">
        <f t="array" ref="T11">SUMPRODUCT((CalcItemName=$P11)*(CalcItemActual))</f>
        <v>67</v>
      </c>
      <c r="U11">
        <f t="shared" si="3"/>
        <v>67</v>
      </c>
      <c r="W11" s="115" t="str">
        <f t="shared" si="4"/>
        <v/>
      </c>
      <c r="Y11" t="str">
        <v>Investments</v>
      </c>
      <c r="Z11" t="str" cm="1">
        <f t="array" ref="Z11">IFERROR(SUMPRODUCT((ISNUMBER(MATCH(CalcAccountName,ListInvestments,0)))*(CalcAccountBudget)),"error")</f>
        <v>error</v>
      </c>
      <c r="AA11" cm="1">
        <f t="array" ref="AA11">IFERROR(SUMPRODUCT((ISNUMBER(MATCH(CalcAccountName,ListInvestments,0)))*(CalcAccountActual)),"error")</f>
        <v>35199.47</v>
      </c>
      <c r="AG11" t="str">
        <v>groceries</v>
      </c>
      <c r="AH11">
        <f>_xlfn.XLOOKUP($AG11,CalcItemName,CalcItemBudget,"error",0)</f>
        <v>4000</v>
      </c>
      <c r="AI11">
        <f>_xlfn.XLOOKUP($AG11,CalcItemName,CalcItemActual,"error",0)</f>
        <v>3011.0799999999986</v>
      </c>
      <c r="AJ11">
        <f>$AI11-$AH11</f>
        <v>-988.92000000000144</v>
      </c>
      <c r="AO11" s="161" t="s">
        <v>200</v>
      </c>
      <c r="AP11">
        <v>27.129999999999995</v>
      </c>
      <c r="AU11">
        <v>27.129999999999995</v>
      </c>
      <c r="AW11" t="str">
        <v>Chequing Account</v>
      </c>
      <c r="AX11" t="str">
        <v>Asset</v>
      </c>
      <c r="AY11" t="str">
        <f t="shared" si="5"/>
        <v/>
      </c>
      <c r="AZ11">
        <f t="shared" ref="AZ11:AZ56" si="10">IFERROR(ROUND(GETPIVOTDATA("Amount",$AO$10,"Source","Actual","Account",$AW11),2),0)</f>
        <v>4671.4399999999996</v>
      </c>
      <c r="BA11" t="str">
        <f t="shared" ref="BA11:BA56" si="11">IFERROR($AZ11-$AY11,"")</f>
        <v/>
      </c>
      <c r="BE11" t="str">
        <v>credit equalization</v>
      </c>
      <c r="BF11" t="str">
        <v>Account Payable - CC 8524</v>
      </c>
      <c r="BG11" t="str">
        <f>IFERROR(_xlfn.XLOOKUP($BF11,acct_ref[AccountName],acct_ref[AcctType],"Account Not Found",0),"")</f>
        <v>Liability</v>
      </c>
      <c r="BH11">
        <f t="shared" si="6"/>
        <v>0</v>
      </c>
      <c r="BI11">
        <f t="shared" si="7"/>
        <v>0</v>
      </c>
      <c r="BN11" s="161" t="s">
        <v>333</v>
      </c>
      <c r="BO11">
        <v>-743.13</v>
      </c>
      <c r="BR11">
        <v>143.13999999999996</v>
      </c>
      <c r="BS11">
        <v>718.6400000000001</v>
      </c>
      <c r="BT11">
        <v>-117.58000000000013</v>
      </c>
      <c r="BU11">
        <v>-1.8500000000000689</v>
      </c>
      <c r="BV11">
        <v>0.77999999999997982</v>
      </c>
      <c r="BW11">
        <v>125.9800000000007</v>
      </c>
      <c r="CA11">
        <v>125.97999999999934</v>
      </c>
      <c r="CH11" t="e">
        <f t="shared" si="8"/>
        <v>#REF!</v>
      </c>
      <c r="CI11" t="e">
        <f t="shared" si="8"/>
        <v>#REF!</v>
      </c>
      <c r="CJ11" t="e">
        <f t="shared" si="8"/>
        <v>#REF!</v>
      </c>
      <c r="CK11" t="e">
        <f t="shared" si="8"/>
        <v>#REF!</v>
      </c>
      <c r="CL11" t="e">
        <f t="shared" si="8"/>
        <v>#REF!</v>
      </c>
      <c r="CM11" t="e">
        <f t="shared" si="8"/>
        <v>#REF!</v>
      </c>
      <c r="CN11" t="e">
        <f t="shared" si="8"/>
        <v>#REF!</v>
      </c>
      <c r="CO11" t="e">
        <f t="shared" si="8"/>
        <v>#REF!</v>
      </c>
      <c r="CP11" t="e">
        <f t="shared" si="8"/>
        <v>#REF!</v>
      </c>
      <c r="CQ11" t="e">
        <f t="shared" si="8"/>
        <v>#REF!</v>
      </c>
      <c r="CR11" t="e">
        <f t="shared" si="8"/>
        <v>#REF!</v>
      </c>
      <c r="CS11" t="e">
        <f t="shared" si="8"/>
        <v>#REF!</v>
      </c>
    </row>
    <row r="12" spans="4:97" x14ac:dyDescent="0.25">
      <c r="D12" t="str">
        <v>Property</v>
      </c>
      <c r="E12" t="str">
        <v>Asset</v>
      </c>
      <c r="F12">
        <v>3</v>
      </c>
      <c r="H12" t="s">
        <v>430</v>
      </c>
      <c r="I12" t="s">
        <v>15</v>
      </c>
      <c r="J12" cm="1">
        <f t="array" ref="J12">IFERROR(SUM(_xlfn._xlws.FILTER(CalcAccountBudget,CalcAccountType=$I12,"")),0)</f>
        <v>0</v>
      </c>
      <c r="K12" cm="1">
        <f t="array" ref="K12">IFERROR(SUM(_xlfn._xlws.FILTER(CalcAccountActual,CalcAccountType=$I12,"")),0)</f>
        <v>43025.89</v>
      </c>
      <c r="L12">
        <f t="shared" si="1"/>
        <v>43025.89</v>
      </c>
      <c r="O12">
        <v>3</v>
      </c>
      <c r="P12" t="str">
        <v>sub skillshare</v>
      </c>
      <c r="Q12">
        <f t="shared" si="9"/>
        <v>0</v>
      </c>
      <c r="R12">
        <f t="shared" si="2"/>
        <v>0</v>
      </c>
      <c r="S12" cm="1">
        <f t="array" ref="S12">SUMPRODUCT((CalcItemName=$P12)*(CalcItemBudget))</f>
        <v>0</v>
      </c>
      <c r="T12" cm="1">
        <f t="array" ref="T12">SUMPRODUCT((CalcItemName=$P12)*(CalcItemActual))</f>
        <v>0</v>
      </c>
      <c r="U12">
        <f t="shared" si="3"/>
        <v>0</v>
      </c>
      <c r="W12" s="115" t="str">
        <f t="shared" si="4"/>
        <v/>
      </c>
      <c r="Y12" t="str">
        <v>Property</v>
      </c>
      <c r="AG12" t="str">
        <v>takeout/restaurant</v>
      </c>
      <c r="AH12">
        <f>_xlfn.XLOOKUP($AG12,CalcItemName,CalcItemBudget,"error",0)</f>
        <v>1055</v>
      </c>
      <c r="AI12">
        <f>_xlfn.XLOOKUP($AG12,CalcItemName,CalcItemActual,"error",0)</f>
        <v>1663.0200000000007</v>
      </c>
      <c r="AJ12">
        <f>$AI12-$AH12</f>
        <v>608.02000000000066</v>
      </c>
      <c r="AO12" s="161" t="s">
        <v>201</v>
      </c>
      <c r="AP12">
        <v>430.01</v>
      </c>
      <c r="AU12">
        <v>430.01</v>
      </c>
      <c r="AW12" t="str">
        <v>Savings Account</v>
      </c>
      <c r="AX12" t="str">
        <v>Asset</v>
      </c>
      <c r="AY12" t="str">
        <f t="shared" si="5"/>
        <v/>
      </c>
      <c r="AZ12">
        <f t="shared" si="10"/>
        <v>993.1</v>
      </c>
      <c r="BA12" t="str">
        <f t="shared" si="11"/>
        <v/>
      </c>
      <c r="BE12" t="str">
        <v>jazz</v>
      </c>
      <c r="BF12" t="str">
        <v>Account Payable - Personal</v>
      </c>
      <c r="BG12" t="str">
        <f>IFERROR(_xlfn.XLOOKUP($BF12,acct_ref[AccountName],acct_ref[AcctType],"Account Not Found",0),"")</f>
        <v>Liability</v>
      </c>
      <c r="BH12">
        <f t="shared" si="6"/>
        <v>0</v>
      </c>
      <c r="BI12">
        <f t="shared" si="7"/>
        <v>0</v>
      </c>
      <c r="BN12" s="165" t="s">
        <v>200</v>
      </c>
      <c r="BS12">
        <v>12.69</v>
      </c>
      <c r="BT12">
        <v>14.44</v>
      </c>
      <c r="CA12">
        <v>27.13</v>
      </c>
      <c r="CH12" t="e">
        <f t="shared" si="8"/>
        <v>#REF!</v>
      </c>
      <c r="CI12" t="e">
        <f t="shared" si="8"/>
        <v>#REF!</v>
      </c>
      <c r="CJ12" t="e">
        <f t="shared" si="8"/>
        <v>#REF!</v>
      </c>
      <c r="CK12" t="e">
        <f t="shared" si="8"/>
        <v>#REF!</v>
      </c>
      <c r="CL12" t="e">
        <f t="shared" si="8"/>
        <v>#REF!</v>
      </c>
      <c r="CM12" t="e">
        <f t="shared" si="8"/>
        <v>#REF!</v>
      </c>
      <c r="CN12" t="e">
        <f t="shared" si="8"/>
        <v>#REF!</v>
      </c>
      <c r="CO12" t="e">
        <f t="shared" si="8"/>
        <v>#REF!</v>
      </c>
      <c r="CP12" t="e">
        <f t="shared" si="8"/>
        <v>#REF!</v>
      </c>
      <c r="CQ12" t="e">
        <f t="shared" si="8"/>
        <v>#REF!</v>
      </c>
      <c r="CR12" t="e">
        <f t="shared" si="8"/>
        <v>#REF!</v>
      </c>
      <c r="CS12" t="e">
        <f t="shared" si="8"/>
        <v>#REF!</v>
      </c>
    </row>
    <row r="13" spans="4:97" x14ac:dyDescent="0.25">
      <c r="D13" t="str">
        <v>Assets Misc.</v>
      </c>
      <c r="E13" t="str">
        <v>Asset</v>
      </c>
      <c r="F13">
        <v>4</v>
      </c>
      <c r="H13" t="s">
        <v>427</v>
      </c>
      <c r="I13" t="s">
        <v>16</v>
      </c>
      <c r="J13" cm="1">
        <f t="array" ref="J13">IFERROR(SUM(_xlfn._xlws.FILTER(CalcAccountBudget,CalcAccountType=$I13,"")),0)</f>
        <v>12600</v>
      </c>
      <c r="K13" cm="1">
        <f t="array" ref="K13">IFERROR(SUM(_xlfn._xlws.FILTER(CalcAccountActual,CalcAccountType=$I13,"")),0)</f>
        <v>28393.140000000003</v>
      </c>
      <c r="L13">
        <f t="shared" si="1"/>
        <v>15793.140000000003</v>
      </c>
      <c r="O13">
        <v>4</v>
      </c>
      <c r="P13" t="str">
        <v>sub acronis</v>
      </c>
      <c r="Q13">
        <f t="shared" si="9"/>
        <v>0</v>
      </c>
      <c r="R13">
        <f t="shared" si="2"/>
        <v>161.44999999999999</v>
      </c>
      <c r="S13" cm="1">
        <f t="array" ref="S13">SUMPRODUCT((CalcItemName=$P13)*(CalcItemBudget))</f>
        <v>142.99</v>
      </c>
      <c r="T13" cm="1">
        <f t="array" ref="T13">SUMPRODUCT((CalcItemName=$P13)*(CalcItemActual))</f>
        <v>161.44999999999999</v>
      </c>
      <c r="U13">
        <f t="shared" si="3"/>
        <v>18.45999999999998</v>
      </c>
      <c r="W13" s="115">
        <f t="shared" si="4"/>
        <v>-1.1290999370585355</v>
      </c>
      <c r="Y13" t="str">
        <v>Assets Misc.</v>
      </c>
      <c r="AG13" t="str">
        <v>salary qch</v>
      </c>
      <c r="AH13">
        <f>_xlfn.XLOOKUP($AG13,CalcItemName,CalcItemBudget,"error",0)</f>
        <v>11600</v>
      </c>
      <c r="AI13">
        <f>_xlfn.XLOOKUP($AG13,CalcItemName,CalcItemActual,"error",0)</f>
        <v>17586.84</v>
      </c>
      <c r="AJ13">
        <f>$AI13-$AH13</f>
        <v>5986.84</v>
      </c>
      <c r="AO13" s="161" t="s">
        <v>242</v>
      </c>
      <c r="AP13">
        <v>74.97</v>
      </c>
      <c r="AU13">
        <v>74.97</v>
      </c>
      <c r="AW13" t="str">
        <v>RRSP</v>
      </c>
      <c r="AX13" t="str">
        <v>Asset</v>
      </c>
      <c r="AY13" t="str">
        <f t="shared" si="5"/>
        <v/>
      </c>
      <c r="AZ13">
        <f t="shared" si="10"/>
        <v>7675.01</v>
      </c>
      <c r="BA13" t="str">
        <f t="shared" si="11"/>
        <v/>
      </c>
      <c r="BE13" t="str">
        <v>Robbie</v>
      </c>
      <c r="BF13" t="str">
        <v>Account Payable - Personal</v>
      </c>
      <c r="BG13" t="str">
        <f>IFERROR(_xlfn.XLOOKUP($BF13,acct_ref[AccountName],acct_ref[AcctType],"Account Not Found",0),"")</f>
        <v>Liability</v>
      </c>
      <c r="BH13">
        <f t="shared" si="6"/>
        <v>0</v>
      </c>
      <c r="BI13">
        <f t="shared" si="7"/>
        <v>10</v>
      </c>
      <c r="BN13" s="165" t="s">
        <v>201</v>
      </c>
      <c r="BS13">
        <v>322.02999999999997</v>
      </c>
      <c r="BT13">
        <v>15.49</v>
      </c>
      <c r="BU13">
        <v>81.88</v>
      </c>
      <c r="BV13">
        <v>10.61</v>
      </c>
      <c r="CA13">
        <v>430.01</v>
      </c>
    </row>
    <row r="14" spans="4:97" x14ac:dyDescent="0.25">
      <c r="D14" t="str">
        <v>Short-Term Debt Credit</v>
      </c>
      <c r="E14" t="str">
        <v>Liability</v>
      </c>
      <c r="F14">
        <v>10</v>
      </c>
      <c r="H14" s="159" t="s">
        <v>127</v>
      </c>
      <c r="I14" t="s">
        <v>3</v>
      </c>
      <c r="J14" cm="1">
        <f t="array" ref="J14">IFERROR(SUM(_xlfn._xlws.FILTER(CalcAccountBudget,CalcAccountType=$I14,"")),0)</f>
        <v>0</v>
      </c>
      <c r="K14" cm="1">
        <f t="array" ref="K14">IFERROR(SUM(_xlfn._xlws.FILTER(CalcAccountActual,CalcAccountType=$I14,"")),0)</f>
        <v>40134.11</v>
      </c>
      <c r="L14">
        <f t="shared" si="1"/>
        <v>40134.11</v>
      </c>
      <c r="O14">
        <v>5</v>
      </c>
      <c r="P14" t="str">
        <v>sub chatGPT</v>
      </c>
      <c r="Q14">
        <f t="shared" si="9"/>
        <v>96.920000000000101</v>
      </c>
      <c r="R14">
        <f t="shared" si="2"/>
        <v>190.35999999999999</v>
      </c>
      <c r="S14" cm="1">
        <f t="array" ref="S14">SUMPRODUCT((CalcItemName=$P14)*(CalcItemBudget))</f>
        <v>287.28000000000009</v>
      </c>
      <c r="T14" cm="1">
        <f t="array" ref="T14">SUMPRODUCT((CalcItemName=$P14)*(CalcItemActual))</f>
        <v>190.35999999999999</v>
      </c>
      <c r="U14">
        <f t="shared" si="3"/>
        <v>-96.920000000000101</v>
      </c>
      <c r="W14" s="115" t="str">
        <f t="shared" si="4"/>
        <v/>
      </c>
      <c r="Y14" t="str">
        <v>Short-Term Debt Credit</v>
      </c>
      <c r="Z14" t="str" cm="1">
        <f t="array" ref="Z14">IFERROR(SUMPRODUCT((ISNUMBER(MATCH(CalcAccountName,ListDebtShortCredit,0)))*(CalcAccountBudget)),"error")</f>
        <v>error</v>
      </c>
      <c r="AA14" cm="1">
        <f t="array" ref="AA14">IFERROR(SUMPRODUCT((ISNUMBER(MATCH(CalcAccountName,ListDebtShortCredit,0)))*(CalcAccountActual)),"error")</f>
        <v>125.98</v>
      </c>
      <c r="AH14">
        <f>_xlfn.XLOOKUP($AG14,CalcItemName,CalcItemBudget,"error",0)</f>
        <v>0</v>
      </c>
      <c r="AI14">
        <f>_xlfn.XLOOKUP($AG14,CalcItemName,CalcItemActual,"error",0)</f>
        <v>0</v>
      </c>
      <c r="AJ14">
        <f>$AI14-$AH14</f>
        <v>0</v>
      </c>
      <c r="AO14" s="161" t="s">
        <v>256</v>
      </c>
      <c r="AP14">
        <v>56.49</v>
      </c>
      <c r="AU14">
        <v>56.49</v>
      </c>
      <c r="AW14" t="str">
        <v>Accounts Receiveable- Personal</v>
      </c>
      <c r="AX14" t="str">
        <v>Asset</v>
      </c>
      <c r="AY14" t="str">
        <f t="shared" si="5"/>
        <v/>
      </c>
      <c r="AZ14">
        <f t="shared" si="10"/>
        <v>30</v>
      </c>
      <c r="BA14" t="str">
        <f t="shared" si="11"/>
        <v/>
      </c>
      <c r="BE14" t="str">
        <v>misc school fees</v>
      </c>
      <c r="BF14" t="str">
        <v>Account Payable - School</v>
      </c>
      <c r="BG14" t="str">
        <f>IFERROR(_xlfn.XLOOKUP($BF14,acct_ref[AccountName],acct_ref[AcctType],"Account Not Found",0),"")</f>
        <v>Liability</v>
      </c>
      <c r="BH14">
        <f t="shared" si="6"/>
        <v>0</v>
      </c>
      <c r="BI14">
        <f t="shared" si="7"/>
        <v>4323.96</v>
      </c>
      <c r="BN14" s="165" t="s">
        <v>242</v>
      </c>
      <c r="BT14">
        <v>74.97</v>
      </c>
      <c r="CA14">
        <v>74.97</v>
      </c>
    </row>
    <row r="15" spans="4:97" x14ac:dyDescent="0.25">
      <c r="D15" t="str">
        <v>Short-Term Debt Other</v>
      </c>
      <c r="E15" t="str">
        <v>Liability</v>
      </c>
      <c r="F15">
        <v>11</v>
      </c>
      <c r="H15" t="s">
        <v>429</v>
      </c>
      <c r="I15" t="s">
        <v>14</v>
      </c>
      <c r="J15" cm="1">
        <f t="array" ref="J15">IFERROR(SUM(_xlfn._xlws.FILTER(CalcAccountBudget,CalcAccountType=$I15,"")),0)</f>
        <v>0</v>
      </c>
      <c r="K15" cm="1">
        <f t="array" ref="K15">IFERROR(SUM(_xlfn._xlws.FILTER(CalcAccountActual,CalcAccountType=$I15,"")),0)</f>
        <v>0</v>
      </c>
      <c r="L15">
        <f t="shared" si="1"/>
        <v>0</v>
      </c>
      <c r="O15">
        <v>6</v>
      </c>
      <c r="P15" t="str">
        <v>sub Github</v>
      </c>
      <c r="Q15">
        <f t="shared" si="9"/>
        <v>0</v>
      </c>
      <c r="R15">
        <f t="shared" si="2"/>
        <v>112.92</v>
      </c>
      <c r="S15" cm="1">
        <f t="array" ref="S15">SUMPRODUCT((CalcItemName=$P15)*(CalcItemBudget))</f>
        <v>114.48</v>
      </c>
      <c r="T15" cm="1">
        <f t="array" ref="T15">SUMPRODUCT((CalcItemName=$P15)*(CalcItemActual))</f>
        <v>112.92</v>
      </c>
      <c r="U15">
        <f t="shared" si="3"/>
        <v>-1.5600000000000023</v>
      </c>
      <c r="W15" s="115" t="str">
        <f t="shared" si="4"/>
        <v/>
      </c>
      <c r="Y15" t="str">
        <v>Short-Term Debt Other</v>
      </c>
      <c r="Z15" t="str" cm="1">
        <f t="array" ref="Z15">IFERROR(SUMPRODUCT((ISNUMBER(MATCH(CalcAccountName,ListDebtShortOther,0)))*(CalcAccountBudget)),"error")</f>
        <v>error</v>
      </c>
      <c r="AA15" cm="1">
        <f t="array" ref="AA15">IFERROR(SUMPRODUCT((ISNUMBER(MATCH(CalcAccountName,ListDebtShortOther,0)))*(CalcAccountActual)),"error")</f>
        <v>10</v>
      </c>
      <c r="AG15" s="43"/>
      <c r="AO15" s="161" t="s">
        <v>131</v>
      </c>
      <c r="AP15">
        <v>50.85</v>
      </c>
      <c r="AU15">
        <v>50.85</v>
      </c>
      <c r="AW15" t="str">
        <v>Salary Over/Under</v>
      </c>
      <c r="AX15" t="str">
        <v>Asset</v>
      </c>
      <c r="AY15" t="str">
        <f t="shared" si="5"/>
        <v/>
      </c>
      <c r="AZ15">
        <f t="shared" si="10"/>
        <v>0</v>
      </c>
      <c r="BA15" t="str">
        <f t="shared" si="11"/>
        <v/>
      </c>
      <c r="BE15" t="str">
        <v>tuition</v>
      </c>
      <c r="BF15" t="str">
        <v>Account Payable - School</v>
      </c>
      <c r="BG15" t="str">
        <f>IFERROR(_xlfn.XLOOKUP($BF15,acct_ref[AccountName],acct_ref[AcctType],"Account Not Found",0),"")</f>
        <v>Liability</v>
      </c>
      <c r="BH15">
        <f t="shared" si="6"/>
        <v>0</v>
      </c>
      <c r="BI15">
        <f t="shared" si="7"/>
        <v>-3428</v>
      </c>
      <c r="BN15" s="165" t="s">
        <v>256</v>
      </c>
      <c r="BT15">
        <v>56.49</v>
      </c>
      <c r="CA15">
        <v>56.49</v>
      </c>
    </row>
    <row r="16" spans="4:97" x14ac:dyDescent="0.25">
      <c r="D16" t="str">
        <v>Long-Term Debt</v>
      </c>
      <c r="E16" t="str">
        <v>Liability</v>
      </c>
      <c r="F16">
        <v>12</v>
      </c>
      <c r="O16">
        <v>7</v>
      </c>
      <c r="P16" t="str">
        <v xml:space="preserve">sub iobit driver booster </v>
      </c>
      <c r="Q16">
        <f t="shared" si="9"/>
        <v>31.68</v>
      </c>
      <c r="R16">
        <f t="shared" si="2"/>
        <v>0</v>
      </c>
      <c r="S16" cm="1">
        <f t="array" ref="S16">SUMPRODUCT((CalcItemName=$P16)*(CalcItemBudget))</f>
        <v>31.68</v>
      </c>
      <c r="T16" cm="1">
        <f t="array" ref="T16">SUMPRODUCT((CalcItemName=$P16)*(CalcItemActual))</f>
        <v>0</v>
      </c>
      <c r="U16">
        <f t="shared" si="3"/>
        <v>-31.68</v>
      </c>
      <c r="W16" s="115" t="str">
        <f t="shared" si="4"/>
        <v/>
      </c>
      <c r="Y16" t="str">
        <v>Long-Term Debt</v>
      </c>
      <c r="Z16" t="str" cm="1">
        <f t="array" ref="Z16">IFERROR(SUMPRODUCT((ISNUMBER(MATCH(CalcAccountName,ListDebtLong,0)))*(CalcAccountBudget)),"error")</f>
        <v>error</v>
      </c>
      <c r="AA16" cm="1">
        <f t="array" ref="AA16">IFERROR(SUMPRODUCT((ISNUMBER(MATCH(CalcAccountName,ListDebtLong,0)))*(CalcAccountActual)),"error")</f>
        <v>10398</v>
      </c>
      <c r="AG16" s="43"/>
      <c r="AO16" s="161" t="s">
        <v>188</v>
      </c>
      <c r="AP16">
        <v>11.29</v>
      </c>
      <c r="AU16">
        <v>11.29</v>
      </c>
      <c r="AW16" t="str">
        <v>Gift Card - Amazon</v>
      </c>
      <c r="AX16" t="str">
        <v>Asset</v>
      </c>
      <c r="AY16" t="str">
        <f t="shared" si="5"/>
        <v/>
      </c>
      <c r="AZ16">
        <f t="shared" si="10"/>
        <v>0</v>
      </c>
      <c r="BA16" t="str">
        <f t="shared" si="11"/>
        <v/>
      </c>
      <c r="BE16" t="str">
        <v>loan collection</v>
      </c>
      <c r="BF16" t="str">
        <v>Accounts Receiveable- Personal</v>
      </c>
      <c r="BG16" t="str">
        <f>IFERROR(_xlfn.XLOOKUP($BF16,acct_ref[AccountName],acct_ref[AcctType],"Account Not Found",0),"")</f>
        <v>Asset</v>
      </c>
      <c r="BH16">
        <f t="shared" si="6"/>
        <v>0</v>
      </c>
      <c r="BI16">
        <f t="shared" si="7"/>
        <v>0</v>
      </c>
      <c r="BN16" s="165" t="s">
        <v>131</v>
      </c>
      <c r="BS16">
        <v>50.85</v>
      </c>
      <c r="CA16">
        <v>50.85</v>
      </c>
    </row>
    <row r="17" spans="4:88" x14ac:dyDescent="0.25">
      <c r="D17" t="str">
        <v>Income Salary</v>
      </c>
      <c r="E17" t="str">
        <v>Revenue</v>
      </c>
      <c r="F17">
        <v>20</v>
      </c>
      <c r="H17" t="s">
        <v>434</v>
      </c>
      <c r="J17" cm="1">
        <f t="array" ref="J17">IFERROR(SUMPRODUCT((ISNUMBER(MATCH(CalcAccountName,ListCashEquivalent,0)))*(CalcAccountBudget)),0)</f>
        <v>0</v>
      </c>
      <c r="K17" cm="1">
        <f t="array" ref="K17">IFERROR(SUMPRODUCT((ISNUMBER(MATCH(CalcAccountName,ListCashEquivalent,0)))*(CalcAccountActual)),0)</f>
        <v>5769.21</v>
      </c>
      <c r="L17">
        <f>IFERROR($K17-$J17,"")</f>
        <v>5769.21</v>
      </c>
      <c r="O17">
        <v>8</v>
      </c>
      <c r="P17" t="str">
        <v>sub iobit mix</v>
      </c>
      <c r="Q17">
        <f t="shared" si="9"/>
        <v>0</v>
      </c>
      <c r="R17">
        <f t="shared" si="2"/>
        <v>139.22999999999999</v>
      </c>
      <c r="S17" cm="1">
        <f t="array" ref="S17">SUMPRODUCT((CalcItemName=$P17)*(CalcItemBudget))</f>
        <v>0</v>
      </c>
      <c r="T17" cm="1">
        <f t="array" ref="T17">SUMPRODUCT((CalcItemName=$P17)*(CalcItemActual))</f>
        <v>139.22999999999999</v>
      </c>
      <c r="U17">
        <f t="shared" si="3"/>
        <v>139.22999999999999</v>
      </c>
      <c r="W17" s="115" t="str">
        <f t="shared" si="4"/>
        <v/>
      </c>
      <c r="Y17" t="str">
        <v>Income Salary</v>
      </c>
      <c r="Z17" t="str" cm="1">
        <f t="array" ref="Z17">IFERROR(SUMPRODUCT((ISNUMBER(MATCH(CalcAccountName,ListRevenueSalary,0)))*(CalcAccountBudget)),"error")</f>
        <v>error</v>
      </c>
      <c r="AA17" cm="1">
        <f t="array" ref="AA17">IFERROR(SUMPRODUCT((ISNUMBER(MATCH(CalcAccountName,ListRevenueSalary,0)))*(CalcAccountActual)),"error")</f>
        <v>17586.84</v>
      </c>
      <c r="AO17" s="161" t="s">
        <v>115</v>
      </c>
      <c r="AP17">
        <v>55</v>
      </c>
      <c r="AU17">
        <v>55</v>
      </c>
      <c r="AW17" t="str">
        <v>Home</v>
      </c>
      <c r="AX17" t="str">
        <v>Asset</v>
      </c>
      <c r="AY17" t="str">
        <f t="shared" si="5"/>
        <v/>
      </c>
      <c r="AZ17">
        <f t="shared" si="10"/>
        <v>0</v>
      </c>
      <c r="BA17" t="str">
        <f t="shared" si="11"/>
        <v/>
      </c>
      <c r="BE17" t="str">
        <v>mom</v>
      </c>
      <c r="BF17" t="str">
        <v>Accounts Receiveable- Personal</v>
      </c>
      <c r="BG17" t="str">
        <f>IFERROR(_xlfn.XLOOKUP($BF17,acct_ref[AccountName],acct_ref[AcctType],"Account Not Found",0),"")</f>
        <v>Asset</v>
      </c>
      <c r="BH17">
        <f t="shared" si="6"/>
        <v>0</v>
      </c>
      <c r="BI17">
        <f t="shared" si="7"/>
        <v>30</v>
      </c>
      <c r="BN17" s="165" t="s">
        <v>188</v>
      </c>
      <c r="BU17">
        <v>11.29</v>
      </c>
      <c r="CA17">
        <v>11.29</v>
      </c>
    </row>
    <row r="18" spans="4:88" x14ac:dyDescent="0.25">
      <c r="D18" t="str">
        <v>Income Other</v>
      </c>
      <c r="E18" t="str">
        <v>Revenue</v>
      </c>
      <c r="F18">
        <v>21</v>
      </c>
      <c r="H18" t="s">
        <v>436</v>
      </c>
      <c r="J18" t="str" cm="1">
        <f t="array" ref="J18">IFERROR(SUMPRODUCT((ISNUMBER(MATCH(CalcAccountName,ListDebtShort,0)))*(CalcAccountBudget)),"")</f>
        <v/>
      </c>
      <c r="K18" cm="1">
        <f t="array" ref="K18">IFERROR(SUMPRODUCT((ISNUMBER(MATCH(CalcAccountName,ListDebtShort,0)))*(CalcAccountActual)),"")</f>
        <v>135.98000000000002</v>
      </c>
      <c r="O18">
        <v>9</v>
      </c>
      <c r="P18" t="str">
        <v xml:space="preserve">sub iobit system care </v>
      </c>
      <c r="Q18">
        <f t="shared" si="9"/>
        <v>41.4</v>
      </c>
      <c r="R18">
        <f t="shared" si="2"/>
        <v>0</v>
      </c>
      <c r="S18" cm="1">
        <f t="array" ref="S18">SUMPRODUCT((CalcItemName=$P18)*(CalcItemBudget))</f>
        <v>41.4</v>
      </c>
      <c r="T18" cm="1">
        <f t="array" ref="T18">SUMPRODUCT((CalcItemName=$P18)*(CalcItemActual))</f>
        <v>0</v>
      </c>
      <c r="U18">
        <f t="shared" si="3"/>
        <v>-41.4</v>
      </c>
      <c r="W18" s="115" t="str">
        <f t="shared" si="4"/>
        <v/>
      </c>
      <c r="Y18" t="str">
        <v>Income Other</v>
      </c>
      <c r="Z18" t="str" cm="1">
        <f t="array" ref="Z18">IFERROR(SUMPRODUCT((ISNUMBER(MATCH(CalcAccountName,ListRevenueOther,0)))*(CalcAccountBudget)),"error")</f>
        <v>error</v>
      </c>
      <c r="AA18" cm="1">
        <f t="array" ref="AA18">IFERROR(SUMPRODUCT((ISNUMBER(MATCH(CalcAccountName,ListRevenueOther,0)))*(CalcAccountActual)),"error")</f>
        <v>10528.47</v>
      </c>
      <c r="AO18" s="161" t="s">
        <v>119</v>
      </c>
      <c r="AP18">
        <v>65.260000000000005</v>
      </c>
      <c r="AU18">
        <v>65.260000000000005</v>
      </c>
      <c r="AW18" t="str">
        <v>Asset - Computer</v>
      </c>
      <c r="AX18" t="str">
        <v>Asset</v>
      </c>
      <c r="AY18" t="str">
        <f t="shared" si="5"/>
        <v/>
      </c>
      <c r="AZ18">
        <f t="shared" si="10"/>
        <v>0</v>
      </c>
      <c r="BA18" t="str">
        <f t="shared" si="11"/>
        <v/>
      </c>
      <c r="BE18" t="str">
        <v>act out food</v>
      </c>
      <c r="BF18" t="str">
        <v>Act Out Expense</v>
      </c>
      <c r="BG18" t="str">
        <f>IFERROR(_xlfn.XLOOKUP($BF18,acct_ref[AccountName],acct_ref[AcctType],"Account Not Found",0),"")</f>
        <v>Expense</v>
      </c>
      <c r="BH18">
        <f t="shared" si="6"/>
        <v>0</v>
      </c>
      <c r="BI18">
        <f t="shared" si="7"/>
        <v>384.85999999999996</v>
      </c>
      <c r="BN18" s="165" t="s">
        <v>115</v>
      </c>
      <c r="BS18">
        <v>25</v>
      </c>
      <c r="BV18">
        <v>30</v>
      </c>
      <c r="CA18">
        <v>55</v>
      </c>
    </row>
    <row r="19" spans="4:88" x14ac:dyDescent="0.25">
      <c r="D19" t="str">
        <v>Home Expenses</v>
      </c>
      <c r="E19" t="str">
        <v>Expense</v>
      </c>
      <c r="F19">
        <v>30</v>
      </c>
      <c r="O19">
        <v>10</v>
      </c>
      <c r="P19" t="str">
        <v xml:space="preserve">sub iobit uninstaller </v>
      </c>
      <c r="Q19">
        <f t="shared" si="9"/>
        <v>27.59</v>
      </c>
      <c r="R19">
        <f t="shared" si="2"/>
        <v>0</v>
      </c>
      <c r="S19" cm="1">
        <f t="array" ref="S19">SUMPRODUCT((CalcItemName=$P19)*(CalcItemBudget))</f>
        <v>27.59</v>
      </c>
      <c r="T19" cm="1">
        <f t="array" ref="T19">SUMPRODUCT((CalcItemName=$P19)*(CalcItemActual))</f>
        <v>0</v>
      </c>
      <c r="U19">
        <f t="shared" si="3"/>
        <v>-27.59</v>
      </c>
      <c r="W19" s="115" t="str">
        <f t="shared" si="4"/>
        <v/>
      </c>
      <c r="Y19" t="str">
        <v>Home Expenses</v>
      </c>
      <c r="Z19" t="str" cm="1">
        <f t="array" ref="Z19">IFERROR(SUMPRODUCT((ISNUMBER(MATCH(CalcAccountName,ListExpensesHome,0)))*(CalcAccountBudget)),"error")</f>
        <v>error</v>
      </c>
      <c r="AA19" cm="1">
        <f t="array" ref="AA19">IFERROR(SUMPRODUCT((ISNUMBER(MATCH(CalcAccountName,ListExpensesHome,0)))*(CalcAccountActual)),"error")</f>
        <v>9872.17</v>
      </c>
      <c r="AO19" s="161" t="s">
        <v>205</v>
      </c>
      <c r="AP19">
        <v>17.14</v>
      </c>
      <c r="AU19">
        <v>17.14</v>
      </c>
      <c r="AW19" t="str">
        <v>Asset - Office</v>
      </c>
      <c r="AX19" t="str">
        <v>Asset</v>
      </c>
      <c r="AY19" t="str">
        <f t="shared" si="5"/>
        <v/>
      </c>
      <c r="AZ19">
        <f t="shared" si="10"/>
        <v>0</v>
      </c>
      <c r="BA19" t="str">
        <f t="shared" si="11"/>
        <v/>
      </c>
      <c r="BE19" t="str">
        <v>balacing account</v>
      </c>
      <c r="BF19" t="str">
        <v>Cash</v>
      </c>
      <c r="BG19" t="str">
        <f>IFERROR(_xlfn.XLOOKUP($BF19,acct_ref[AccountName],acct_ref[AcctType],"Account Not Found",0),"")</f>
        <v>Asset</v>
      </c>
      <c r="BH19">
        <f t="shared" si="6"/>
        <v>0</v>
      </c>
      <c r="BI19">
        <f t="shared" si="7"/>
        <v>0</v>
      </c>
      <c r="BN19" s="165" t="s">
        <v>119</v>
      </c>
      <c r="BS19">
        <v>65.260000000000005</v>
      </c>
      <c r="CA19">
        <v>65.260000000000005</v>
      </c>
    </row>
    <row r="20" spans="4:88" x14ac:dyDescent="0.25">
      <c r="D20" t="str">
        <v>Self-Care Expenses</v>
      </c>
      <c r="E20" t="str">
        <v>Expense</v>
      </c>
      <c r="F20">
        <v>31</v>
      </c>
      <c r="O20">
        <v>11</v>
      </c>
      <c r="P20" t="str">
        <v>sub office 365</v>
      </c>
      <c r="Q20">
        <f t="shared" si="9"/>
        <v>0</v>
      </c>
      <c r="R20">
        <f t="shared" si="2"/>
        <v>123.17</v>
      </c>
      <c r="S20" cm="1">
        <f t="array" ref="S20">SUMPRODUCT((CalcItemName=$P20)*(CalcItemBudget))</f>
        <v>123.17</v>
      </c>
      <c r="T20" cm="1">
        <f t="array" ref="T20">SUMPRODUCT((CalcItemName=$P20)*(CalcItemActual))</f>
        <v>123.17</v>
      </c>
      <c r="U20">
        <f t="shared" si="3"/>
        <v>0</v>
      </c>
      <c r="W20" s="115" t="str">
        <f t="shared" si="4"/>
        <v/>
      </c>
      <c r="Y20" t="str">
        <v>Self-Care Expenses</v>
      </c>
      <c r="Z20" t="str" cm="1">
        <f t="array" ref="Z20">IFERROR(SUMPRODUCT((ISNUMBER(MATCH(CalcAccountName,ListExpensesSelfCare,0)))*(CalcAccountBudget)),"error")</f>
        <v>error</v>
      </c>
      <c r="AA20" cm="1">
        <f t="array" ref="AA20">IFERROR(SUMPRODUCT((ISNUMBER(MATCH(CalcAccountName,ListExpensesSelfCare,0)))*(CalcAccountActual)),"error")</f>
        <v>20477.240000000002</v>
      </c>
      <c r="AO20" s="161" t="s">
        <v>198</v>
      </c>
      <c r="AP20">
        <v>423.01</v>
      </c>
      <c r="AU20">
        <v>423.01</v>
      </c>
      <c r="AW20" t="str">
        <v>Asset - Shop Tools</v>
      </c>
      <c r="AX20" t="str">
        <v>Asset</v>
      </c>
      <c r="AY20" t="str">
        <f t="shared" si="5"/>
        <v/>
      </c>
      <c r="AZ20">
        <f t="shared" si="10"/>
        <v>0</v>
      </c>
      <c r="BA20" t="str">
        <f t="shared" si="11"/>
        <v/>
      </c>
      <c r="BE20" t="str">
        <v>balancing account</v>
      </c>
      <c r="BF20" t="str">
        <v>Chequing Account</v>
      </c>
      <c r="BG20" t="str">
        <f>IFERROR(_xlfn.XLOOKUP($BF20,acct_ref[AccountName],acct_ref[AcctType],"Account Not Found",0),"")</f>
        <v>Asset</v>
      </c>
      <c r="BH20">
        <f t="shared" si="6"/>
        <v>0</v>
      </c>
      <c r="BI20">
        <f t="shared" si="7"/>
        <v>-2909.57</v>
      </c>
      <c r="BN20" s="165" t="s">
        <v>205</v>
      </c>
      <c r="BU20">
        <v>17.14</v>
      </c>
      <c r="CA20">
        <v>17.14</v>
      </c>
    </row>
    <row r="21" spans="4:88" x14ac:dyDescent="0.25">
      <c r="D21" t="str">
        <v>Transportation Expenses</v>
      </c>
      <c r="E21" t="str">
        <v>Expense</v>
      </c>
      <c r="F21">
        <v>32</v>
      </c>
      <c r="O21">
        <v>12</v>
      </c>
      <c r="P21" t="str">
        <v>donation yuumei</v>
      </c>
      <c r="Q21">
        <f t="shared" si="9"/>
        <v>16.78</v>
      </c>
      <c r="R21">
        <f t="shared" si="2"/>
        <v>75.510000000000005</v>
      </c>
      <c r="S21" cm="1">
        <f t="array" ref="S21">SUMPRODUCT((CalcItemName=$P21)*(CalcItemBudget))</f>
        <v>92.29</v>
      </c>
      <c r="T21" cm="1">
        <f t="array" ref="T21">SUMPRODUCT((CalcItemName=$P21)*(CalcItemActual))</f>
        <v>75.510000000000005</v>
      </c>
      <c r="U21">
        <f t="shared" si="3"/>
        <v>-16.78</v>
      </c>
      <c r="W21" s="115" t="str">
        <f t="shared" si="4"/>
        <v/>
      </c>
      <c r="Y21" t="str">
        <v>Transportation Expenses</v>
      </c>
      <c r="AO21" s="161" t="s">
        <v>209</v>
      </c>
      <c r="AP21">
        <v>28.23</v>
      </c>
      <c r="AU21">
        <v>28.23</v>
      </c>
      <c r="AW21" t="str">
        <v>Prepaid Expense - Life Insurance</v>
      </c>
      <c r="AX21" t="str">
        <v>Asset</v>
      </c>
      <c r="AY21" t="str">
        <f t="shared" si="5"/>
        <v/>
      </c>
      <c r="AZ21">
        <f t="shared" si="10"/>
        <v>0</v>
      </c>
      <c r="BA21" t="str">
        <f t="shared" si="11"/>
        <v/>
      </c>
      <c r="BE21" t="str">
        <v>chequing adjustment</v>
      </c>
      <c r="BF21" t="str">
        <v>Chequing Account</v>
      </c>
      <c r="BG21" t="str">
        <f>IFERROR(_xlfn.XLOOKUP($BF21,acct_ref[AccountName],acct_ref[AcctType],"Account Not Found",0),"")</f>
        <v>Asset</v>
      </c>
      <c r="BH21">
        <f t="shared" si="6"/>
        <v>0</v>
      </c>
      <c r="BI21">
        <f t="shared" si="7"/>
        <v>277.83</v>
      </c>
      <c r="BN21" s="165" t="s">
        <v>198</v>
      </c>
      <c r="BT21">
        <v>247.55</v>
      </c>
      <c r="BW21">
        <v>175.46</v>
      </c>
      <c r="CA21">
        <v>423.01</v>
      </c>
    </row>
    <row r="22" spans="4:88" x14ac:dyDescent="0.25">
      <c r="D22" t="str">
        <v>Act Out Expenses</v>
      </c>
      <c r="E22" t="str">
        <v>Expense</v>
      </c>
      <c r="F22">
        <v>33</v>
      </c>
      <c r="O22">
        <v>13</v>
      </c>
      <c r="P22" t="str">
        <v>phoneix membership</v>
      </c>
      <c r="Q22">
        <f t="shared" si="9"/>
        <v>130</v>
      </c>
      <c r="R22">
        <f t="shared" si="2"/>
        <v>0</v>
      </c>
      <c r="S22" cm="1">
        <f t="array" ref="S22">SUMPRODUCT((CalcItemName=$P22)*(CalcItemBudget))</f>
        <v>130</v>
      </c>
      <c r="T22" cm="1">
        <f t="array" ref="T22">SUMPRODUCT((CalcItemName=$P22)*(CalcItemActual))</f>
        <v>0</v>
      </c>
      <c r="U22">
        <f t="shared" si="3"/>
        <v>-130</v>
      </c>
      <c r="W22" s="115" t="str">
        <f t="shared" si="4"/>
        <v/>
      </c>
      <c r="Y22" t="str">
        <v>Act Out Expenses</v>
      </c>
      <c r="AO22" s="161" t="s">
        <v>240</v>
      </c>
      <c r="AP22">
        <v>-5459.5300000000007</v>
      </c>
      <c r="AU22">
        <v>-5459.5300000000007</v>
      </c>
      <c r="AW22" t="str">
        <v>Prepaid Expense - Self-Care</v>
      </c>
      <c r="AX22" t="str">
        <v>Asset</v>
      </c>
      <c r="AY22" t="str">
        <f t="shared" si="5"/>
        <v/>
      </c>
      <c r="AZ22">
        <f t="shared" si="10"/>
        <v>0</v>
      </c>
      <c r="BA22" t="str">
        <f t="shared" si="11"/>
        <v/>
      </c>
      <c r="BE22" t="str">
        <v>credit payment</v>
      </c>
      <c r="BF22" t="str">
        <v>Chequing Account</v>
      </c>
      <c r="BG22" t="str">
        <f>IFERROR(_xlfn.XLOOKUP($BF22,acct_ref[AccountName],acct_ref[AcctType],"Account Not Found",0),"")</f>
        <v>Asset</v>
      </c>
      <c r="BH22">
        <f t="shared" si="6"/>
        <v>0</v>
      </c>
      <c r="BI22">
        <f t="shared" si="7"/>
        <v>-5885.87</v>
      </c>
      <c r="BN22" s="165" t="s">
        <v>209</v>
      </c>
      <c r="BR22">
        <v>0</v>
      </c>
      <c r="BV22">
        <v>28.23</v>
      </c>
      <c r="CA22">
        <v>28.23</v>
      </c>
    </row>
    <row r="23" spans="4:88" x14ac:dyDescent="0.25">
      <c r="D23" t="str">
        <v>Expenses Other</v>
      </c>
      <c r="E23" t="str">
        <v>Expense</v>
      </c>
      <c r="F23">
        <v>39</v>
      </c>
      <c r="O23">
        <v>14</v>
      </c>
      <c r="P23" t="str">
        <v>sub amazon music</v>
      </c>
      <c r="Q23">
        <f t="shared" si="9"/>
        <v>0</v>
      </c>
      <c r="R23">
        <f t="shared" si="2"/>
        <v>0</v>
      </c>
      <c r="S23" cm="1">
        <f t="array" ref="S23">SUMPRODUCT((CalcItemName=$P23)*(CalcItemBudget))</f>
        <v>0</v>
      </c>
      <c r="T23" cm="1">
        <f t="array" ref="T23">SUMPRODUCT((CalcItemName=$P23)*(CalcItemActual))</f>
        <v>0</v>
      </c>
      <c r="U23">
        <f t="shared" si="3"/>
        <v>0</v>
      </c>
      <c r="W23" s="115" t="str">
        <f t="shared" si="4"/>
        <v/>
      </c>
      <c r="Y23" t="str">
        <v>Expenses Other</v>
      </c>
      <c r="AO23" s="161" t="s">
        <v>319</v>
      </c>
      <c r="AP23">
        <v>9</v>
      </c>
      <c r="AU23">
        <v>9</v>
      </c>
      <c r="AW23" t="str">
        <v xml:space="preserve">Prepaid Expense - Office </v>
      </c>
      <c r="AX23" t="str">
        <v>Asset</v>
      </c>
      <c r="AY23" t="str">
        <f t="shared" si="5"/>
        <v/>
      </c>
      <c r="AZ23">
        <f t="shared" si="10"/>
        <v>0</v>
      </c>
      <c r="BA23" t="str">
        <f t="shared" si="11"/>
        <v/>
      </c>
      <c r="BE23" t="str">
        <v>e-transfer</v>
      </c>
      <c r="BF23" t="str">
        <v>Chequing Account</v>
      </c>
      <c r="BG23" t="str">
        <f>IFERROR(_xlfn.XLOOKUP($BF23,acct_ref[AccountName],acct_ref[AcctType],"Account Not Found",0),"")</f>
        <v>Asset</v>
      </c>
      <c r="BH23">
        <f t="shared" si="6"/>
        <v>0</v>
      </c>
      <c r="BI23">
        <f t="shared" si="7"/>
        <v>0</v>
      </c>
      <c r="BN23" s="165" t="s">
        <v>240</v>
      </c>
      <c r="BR23">
        <v>-153.65</v>
      </c>
      <c r="BS23">
        <v>-675.5</v>
      </c>
      <c r="BT23">
        <v>-993.44</v>
      </c>
      <c r="BU23">
        <v>-827.6400000000001</v>
      </c>
      <c r="BV23">
        <v>-803.75000000000011</v>
      </c>
      <c r="BW23">
        <v>-2005.55</v>
      </c>
      <c r="CA23">
        <v>-5459.5300000000007</v>
      </c>
    </row>
    <row r="24" spans="4:88" x14ac:dyDescent="0.25">
      <c r="D24" t="str">
        <v>Debt Expense</v>
      </c>
      <c r="E24" t="str">
        <v>Expense</v>
      </c>
      <c r="F24">
        <v>40</v>
      </c>
      <c r="H24" s="159" t="s">
        <v>125</v>
      </c>
      <c r="J24">
        <f>J$10-J$11</f>
        <v>0</v>
      </c>
      <c r="K24">
        <f>K$10-K$11</f>
        <v>30466.100000000002</v>
      </c>
      <c r="O24">
        <v>15</v>
      </c>
      <c r="P24" t="str">
        <v>sub creative fabrica</v>
      </c>
      <c r="Q24">
        <f t="shared" si="9"/>
        <v>0</v>
      </c>
      <c r="R24">
        <f t="shared" si="2"/>
        <v>0</v>
      </c>
      <c r="S24" cm="1">
        <f t="array" ref="S24">SUMPRODUCT((CalcItemName=$P24)*(CalcItemBudget))</f>
        <v>0</v>
      </c>
      <c r="T24" cm="1">
        <f t="array" ref="T24">SUMPRODUCT((CalcItemName=$P24)*(CalcItemActual))</f>
        <v>0</v>
      </c>
      <c r="U24">
        <f t="shared" si="3"/>
        <v>0</v>
      </c>
      <c r="W24" s="115" t="str">
        <f t="shared" si="4"/>
        <v/>
      </c>
      <c r="Y24" t="str">
        <v>Debt Expense</v>
      </c>
      <c r="AO24" s="161" t="s">
        <v>320</v>
      </c>
      <c r="AP24">
        <v>36.56</v>
      </c>
      <c r="AU24">
        <v>36.56</v>
      </c>
      <c r="AW24" t="str">
        <v>Prepaid Expense - Transportation</v>
      </c>
      <c r="AX24" t="str">
        <v>Asset</v>
      </c>
      <c r="AY24" t="str">
        <f t="shared" si="5"/>
        <v/>
      </c>
      <c r="AZ24">
        <f t="shared" si="10"/>
        <v>31.4</v>
      </c>
      <c r="BA24" t="str">
        <f t="shared" si="11"/>
        <v/>
      </c>
      <c r="BE24" t="str">
        <v>mix receivable/personl</v>
      </c>
      <c r="BF24" t="str">
        <v>Chequing Account</v>
      </c>
      <c r="BG24" t="str">
        <f>IFERROR(_xlfn.XLOOKUP($BF24,acct_ref[AccountName],acct_ref[AcctType],"Account Not Found",0),"")</f>
        <v>Asset</v>
      </c>
      <c r="BH24">
        <f t="shared" si="6"/>
        <v>0</v>
      </c>
      <c r="BI24">
        <f t="shared" si="7"/>
        <v>-89.69</v>
      </c>
      <c r="BN24" s="165" t="s">
        <v>319</v>
      </c>
      <c r="BS24">
        <v>3</v>
      </c>
      <c r="BU24">
        <v>3</v>
      </c>
      <c r="BV24">
        <v>3</v>
      </c>
      <c r="CA24">
        <v>9</v>
      </c>
      <c r="CG24" t="str" cm="1">
        <f t="array" ref="CG24:CJ24">IFERROR(_xlfn.CHOOSECOLS(_xlfn._xlws.FILTER(Dashboard!$AP$8:$AU$17,Dashboard!$AP$8:$AP$17,""),3,4,5,6),"")</f>
        <v>Nutrition Expense</v>
      </c>
      <c r="CH24" t="str">
        <v>Actual</v>
      </c>
      <c r="CI24" t="str">
        <v>takeout/restaurant</v>
      </c>
      <c r="CJ24">
        <v>0</v>
      </c>
    </row>
    <row r="25" spans="4:88" x14ac:dyDescent="0.25">
      <c r="H25" t="s">
        <v>428</v>
      </c>
      <c r="J25">
        <f>J$13-J$14</f>
        <v>12600</v>
      </c>
      <c r="K25">
        <f>K$13-K$14</f>
        <v>-11740.969999999998</v>
      </c>
      <c r="O25">
        <v>16</v>
      </c>
      <c r="P25" t="str">
        <v>sub deviant art</v>
      </c>
      <c r="Q25">
        <f t="shared" si="9"/>
        <v>0</v>
      </c>
      <c r="R25">
        <f t="shared" si="2"/>
        <v>0</v>
      </c>
      <c r="S25" cm="1">
        <f t="array" ref="S25">SUMPRODUCT((CalcItemName=$P25)*(CalcItemBudget))</f>
        <v>0</v>
      </c>
      <c r="T25" cm="1">
        <f t="array" ref="T25">SUMPRODUCT((CalcItemName=$P25)*(CalcItemActual))</f>
        <v>0</v>
      </c>
      <c r="U25">
        <f t="shared" si="3"/>
        <v>0</v>
      </c>
      <c r="W25" s="115" t="str">
        <f t="shared" si="4"/>
        <v/>
      </c>
      <c r="AO25" s="161" t="s">
        <v>230</v>
      </c>
      <c r="AP25">
        <v>263.55</v>
      </c>
      <c r="AU25">
        <v>263.55</v>
      </c>
      <c r="AW25" t="str">
        <v>TFSA Investia</v>
      </c>
      <c r="AX25" t="str">
        <v>Asset</v>
      </c>
      <c r="AY25" t="str">
        <f t="shared" si="5"/>
        <v/>
      </c>
      <c r="AZ25">
        <f t="shared" si="10"/>
        <v>27524.46</v>
      </c>
      <c r="BA25" t="str">
        <f t="shared" si="11"/>
        <v/>
      </c>
      <c r="BE25" t="str">
        <v>withdrawal</v>
      </c>
      <c r="BF25" t="str">
        <v>Chequing Account</v>
      </c>
      <c r="BG25" t="str">
        <f>IFERROR(_xlfn.XLOOKUP($BF25,acct_ref[AccountName],acct_ref[AcctType],"Account Not Found",0),"")</f>
        <v>Asset</v>
      </c>
      <c r="BH25">
        <f t="shared" si="6"/>
        <v>0</v>
      </c>
      <c r="BI25">
        <f t="shared" si="7"/>
        <v>-700</v>
      </c>
      <c r="BN25" s="165" t="s">
        <v>320</v>
      </c>
      <c r="BS25">
        <v>8.39</v>
      </c>
      <c r="BT25">
        <v>8.39</v>
      </c>
      <c r="BV25">
        <v>8.39</v>
      </c>
      <c r="BW25">
        <v>11.39</v>
      </c>
      <c r="CA25">
        <v>36.56</v>
      </c>
    </row>
    <row r="26" spans="4:88" x14ac:dyDescent="0.25">
      <c r="D26" t="str" cm="1">
        <f t="array" ref="D26:D29">ListCashEquivalent</f>
        <v>Cash</v>
      </c>
      <c r="O26">
        <v>17</v>
      </c>
      <c r="P26" t="str">
        <v>sub dropout TV</v>
      </c>
      <c r="Q26">
        <f t="shared" si="9"/>
        <v>12.559999999999995</v>
      </c>
      <c r="R26">
        <f t="shared" si="2"/>
        <v>40.99</v>
      </c>
      <c r="S26" cm="1">
        <f t="array" ref="S26">SUMPRODUCT((CalcItemName=$P26)*(CalcItemBudget))</f>
        <v>53.55</v>
      </c>
      <c r="T26" cm="1">
        <f t="array" ref="T26">SUMPRODUCT((CalcItemName=$P26)*(CalcItemActual))</f>
        <v>40.99</v>
      </c>
      <c r="U26">
        <f t="shared" si="3"/>
        <v>-12.559999999999995</v>
      </c>
      <c r="AO26" s="161" t="s">
        <v>257</v>
      </c>
      <c r="AP26">
        <v>27.31</v>
      </c>
      <c r="AU26">
        <v>27.31</v>
      </c>
      <c r="AW26" t="str">
        <v>Prepaid Expense - Rent</v>
      </c>
      <c r="AX26" t="str">
        <v>Asset</v>
      </c>
      <c r="AY26" t="str">
        <f t="shared" si="5"/>
        <v/>
      </c>
      <c r="AZ26">
        <f t="shared" si="10"/>
        <v>0</v>
      </c>
      <c r="BA26" t="str">
        <f t="shared" si="11"/>
        <v/>
      </c>
      <c r="BE26" t="str">
        <v>date connect</v>
      </c>
      <c r="BF26" t="str">
        <v>Connect Expense</v>
      </c>
      <c r="BG26" t="str">
        <f>IFERROR(_xlfn.XLOOKUP($BF26,acct_ref[AccountName],acct_ref[AcctType],"Account Not Found",0),"")</f>
        <v>Expense</v>
      </c>
      <c r="BH26">
        <f t="shared" si="6"/>
        <v>0</v>
      </c>
      <c r="BI26">
        <f t="shared" si="7"/>
        <v>68.42</v>
      </c>
      <c r="BN26" s="165" t="s">
        <v>230</v>
      </c>
      <c r="BU26">
        <v>263.55</v>
      </c>
      <c r="CA26">
        <v>263.55</v>
      </c>
    </row>
    <row r="27" spans="4:88" x14ac:dyDescent="0.25">
      <c r="D27" t="str">
        <v>Chequing Account</v>
      </c>
      <c r="H27" t="s">
        <v>431</v>
      </c>
      <c r="K27">
        <f>K$10/K$11</f>
        <v>3.8921737083229702</v>
      </c>
      <c r="L27">
        <f>L$10/L$11</f>
        <v>3.8921737083229702</v>
      </c>
      <c r="O27">
        <v>18</v>
      </c>
      <c r="P27" t="str">
        <v>sub guardian</v>
      </c>
      <c r="Q27">
        <f t="shared" si="9"/>
        <v>0</v>
      </c>
      <c r="R27">
        <f t="shared" si="2"/>
        <v>0</v>
      </c>
      <c r="S27" cm="1">
        <f t="array" ref="S27">SUMPRODUCT((CalcItemName=$P27)*(CalcItemBudget))</f>
        <v>0</v>
      </c>
      <c r="T27" cm="1">
        <f t="array" ref="T27">SUMPRODUCT((CalcItemName=$P27)*(CalcItemActual))</f>
        <v>0</v>
      </c>
      <c r="U27">
        <f t="shared" si="3"/>
        <v>0</v>
      </c>
      <c r="AO27" s="161" t="s">
        <v>213</v>
      </c>
      <c r="AP27">
        <v>155.68</v>
      </c>
      <c r="AU27">
        <v>155.68</v>
      </c>
      <c r="AW27" t="str">
        <v>Account Payable - CC 8524</v>
      </c>
      <c r="AX27" t="str">
        <v>Liability</v>
      </c>
      <c r="AY27" t="str">
        <f t="shared" si="5"/>
        <v/>
      </c>
      <c r="AZ27">
        <f t="shared" si="10"/>
        <v>0</v>
      </c>
      <c r="BA27" t="str">
        <f t="shared" si="11"/>
        <v/>
      </c>
      <c r="BE27" t="str">
        <v>gift</v>
      </c>
      <c r="BF27" t="str">
        <v>Connect Expense</v>
      </c>
      <c r="BG27" t="str">
        <f>IFERROR(_xlfn.XLOOKUP($BF27,acct_ref[AccountName],acct_ref[AcctType],"Account Not Found",0),"")</f>
        <v>Expense</v>
      </c>
      <c r="BH27">
        <f t="shared" si="6"/>
        <v>550</v>
      </c>
      <c r="BI27">
        <f t="shared" si="7"/>
        <v>508.77999999999992</v>
      </c>
      <c r="BN27" s="165" t="s">
        <v>257</v>
      </c>
      <c r="BT27">
        <v>27.31</v>
      </c>
      <c r="CA27">
        <v>27.31</v>
      </c>
    </row>
    <row r="28" spans="4:88" x14ac:dyDescent="0.25">
      <c r="D28" t="str">
        <v>Savings Account</v>
      </c>
      <c r="O28">
        <v>19</v>
      </c>
      <c r="P28" t="str">
        <v>sub kindle</v>
      </c>
      <c r="Q28">
        <f t="shared" si="9"/>
        <v>45.159999999999968</v>
      </c>
      <c r="R28">
        <f t="shared" si="2"/>
        <v>90.32</v>
      </c>
      <c r="S28" cm="1">
        <f t="array" ref="S28">SUMPRODUCT((CalcItemName=$P28)*(CalcItemBudget))</f>
        <v>135.47999999999996</v>
      </c>
      <c r="T28" cm="1">
        <f t="array" ref="T28">SUMPRODUCT((CalcItemName=$P28)*(CalcItemActual))</f>
        <v>90.32</v>
      </c>
      <c r="U28">
        <f t="shared" si="3"/>
        <v>-45.159999999999968</v>
      </c>
      <c r="AO28" s="161" t="s">
        <v>185</v>
      </c>
      <c r="AP28">
        <v>418.8900000000001</v>
      </c>
      <c r="AU28">
        <v>418.8900000000001</v>
      </c>
      <c r="AW28" t="str">
        <v>Account Payable - CC 1739</v>
      </c>
      <c r="AX28" t="str">
        <v>Liability</v>
      </c>
      <c r="AY28" t="str">
        <f t="shared" si="5"/>
        <v/>
      </c>
      <c r="AZ28">
        <f t="shared" si="10"/>
        <v>125.98</v>
      </c>
      <c r="BA28" t="str">
        <f t="shared" si="11"/>
        <v/>
      </c>
      <c r="BE28" t="str">
        <v>sub tinder</v>
      </c>
      <c r="BF28" t="str">
        <v>Connect Expense</v>
      </c>
      <c r="BG28" t="str">
        <f>IFERROR(_xlfn.XLOOKUP($BF28,acct_ref[AccountName],acct_ref[AcctType],"Account Not Found",0),"")</f>
        <v>Expense</v>
      </c>
      <c r="BH28">
        <f t="shared" si="6"/>
        <v>0</v>
      </c>
      <c r="BI28">
        <f t="shared" si="7"/>
        <v>148.31</v>
      </c>
      <c r="BN28" s="165" t="s">
        <v>213</v>
      </c>
      <c r="BT28">
        <v>46.66</v>
      </c>
      <c r="BU28">
        <v>109.02000000000001</v>
      </c>
      <c r="CA28">
        <v>155.68</v>
      </c>
    </row>
    <row r="29" spans="4:88" x14ac:dyDescent="0.25">
      <c r="D29" t="str">
        <v>Accounts Receiveable- Personal</v>
      </c>
      <c r="O29">
        <v>20</v>
      </c>
      <c r="P29" t="str">
        <v>sub netflix</v>
      </c>
      <c r="Q29">
        <f t="shared" si="9"/>
        <v>0</v>
      </c>
      <c r="R29">
        <f t="shared" si="2"/>
        <v>93.149999999999991</v>
      </c>
      <c r="S29" cm="1">
        <f t="array" ref="S29">SUMPRODUCT((CalcItemName=$P29)*(CalcItemBudget))</f>
        <v>37.26</v>
      </c>
      <c r="T29" cm="1">
        <f t="array" ref="T29">SUMPRODUCT((CalcItemName=$P29)*(CalcItemActual))</f>
        <v>93.149999999999991</v>
      </c>
      <c r="U29">
        <f t="shared" si="3"/>
        <v>55.889999999999993</v>
      </c>
      <c r="AO29" s="161" t="s">
        <v>208</v>
      </c>
      <c r="AP29">
        <v>78.12</v>
      </c>
      <c r="AU29">
        <v>78.12</v>
      </c>
      <c r="AW29" t="str">
        <v>Account Payable - Personal</v>
      </c>
      <c r="AX29" t="str">
        <v>Liability</v>
      </c>
      <c r="AY29" t="str">
        <f t="shared" si="5"/>
        <v/>
      </c>
      <c r="AZ29">
        <f t="shared" si="10"/>
        <v>10</v>
      </c>
      <c r="BA29" t="str">
        <f t="shared" si="11"/>
        <v/>
      </c>
      <c r="BE29" t="str">
        <v>classes</v>
      </c>
      <c r="BF29" t="str">
        <v>Education Expense</v>
      </c>
      <c r="BG29" t="str">
        <f>IFERROR(_xlfn.XLOOKUP($BF29,acct_ref[AccountName],acct_ref[AcctType],"Account Not Found",0),"")</f>
        <v>Expense</v>
      </c>
      <c r="BH29">
        <f t="shared" si="6"/>
        <v>0</v>
      </c>
      <c r="BI29">
        <f t="shared" si="7"/>
        <v>0</v>
      </c>
      <c r="BN29" s="165" t="s">
        <v>185</v>
      </c>
      <c r="BR29">
        <v>53.120000000000005</v>
      </c>
      <c r="BS29">
        <v>310.30000000000007</v>
      </c>
      <c r="BT29">
        <v>55.47</v>
      </c>
      <c r="CA29">
        <v>418.8900000000001</v>
      </c>
    </row>
    <row r="30" spans="4:88" x14ac:dyDescent="0.25">
      <c r="H30" t="s">
        <v>433</v>
      </c>
      <c r="J30" t="str">
        <f>IFERROR(J$17/J$11,"")</f>
        <v/>
      </c>
      <c r="K30">
        <f>IFERROR(K$17/K$11,"")</f>
        <v>0.54767618696826847</v>
      </c>
      <c r="O30">
        <v>21</v>
      </c>
      <c r="P30" t="str">
        <v>sub paramount plus</v>
      </c>
      <c r="Q30">
        <f t="shared" si="9"/>
        <v>0</v>
      </c>
      <c r="R30">
        <f t="shared" si="2"/>
        <v>4.0999999999999996</v>
      </c>
      <c r="S30" cm="1">
        <f t="array" ref="S30">SUMPRODUCT((CalcItemName=$P30)*(CalcItemBudget))</f>
        <v>0</v>
      </c>
      <c r="T30" cm="1">
        <f t="array" ref="T30">SUMPRODUCT((CalcItemName=$P30)*(CalcItemActual))</f>
        <v>4.0999999999999996</v>
      </c>
      <c r="U30">
        <f t="shared" si="3"/>
        <v>4.0999999999999996</v>
      </c>
      <c r="AO30" s="161" t="s">
        <v>251</v>
      </c>
      <c r="AP30">
        <v>19.2</v>
      </c>
      <c r="AU30">
        <v>19.2</v>
      </c>
      <c r="AW30" t="str">
        <v>Account Payable - School</v>
      </c>
      <c r="AX30" t="str">
        <v>Liability</v>
      </c>
      <c r="AY30" t="str">
        <f t="shared" si="5"/>
        <v/>
      </c>
      <c r="AZ30">
        <f t="shared" si="10"/>
        <v>0</v>
      </c>
      <c r="BA30" t="str">
        <f t="shared" si="11"/>
        <v/>
      </c>
      <c r="BE30" t="str">
        <v>donation wikipedia</v>
      </c>
      <c r="BF30" t="str">
        <v>Education Expense</v>
      </c>
      <c r="BG30" t="str">
        <f>IFERROR(_xlfn.XLOOKUP($BF30,acct_ref[AccountName],acct_ref[AcctType],"Account Not Found",0),"")</f>
        <v>Expense</v>
      </c>
      <c r="BH30">
        <f t="shared" si="6"/>
        <v>36</v>
      </c>
      <c r="BI30">
        <f t="shared" si="7"/>
        <v>15</v>
      </c>
      <c r="BN30" s="165" t="s">
        <v>208</v>
      </c>
      <c r="BS30">
        <v>10.4</v>
      </c>
      <c r="BU30">
        <v>67.72</v>
      </c>
      <c r="CA30">
        <v>78.12</v>
      </c>
    </row>
    <row r="31" spans="4:88" x14ac:dyDescent="0.25">
      <c r="O31">
        <v>22</v>
      </c>
      <c r="P31" t="str">
        <v>sub prime</v>
      </c>
      <c r="Q31">
        <f t="shared" si="9"/>
        <v>0</v>
      </c>
      <c r="R31">
        <f t="shared" si="2"/>
        <v>111.87</v>
      </c>
      <c r="S31" cm="1">
        <f t="array" ref="S31">SUMPRODUCT((CalcItemName=$P31)*(CalcItemBudget))</f>
        <v>111.87</v>
      </c>
      <c r="T31" cm="1">
        <f t="array" ref="T31">SUMPRODUCT((CalcItemName=$P31)*(CalcItemActual))</f>
        <v>111.87</v>
      </c>
      <c r="U31">
        <f t="shared" si="3"/>
        <v>0</v>
      </c>
      <c r="AO31" s="161" t="s">
        <v>222</v>
      </c>
      <c r="AP31">
        <v>32.75</v>
      </c>
      <c r="AU31">
        <v>32.75</v>
      </c>
      <c r="AW31" t="str">
        <v>Loans - OSAP</v>
      </c>
      <c r="AX31" t="str">
        <v>Liability</v>
      </c>
      <c r="AY31" t="str">
        <f t="shared" si="5"/>
        <v/>
      </c>
      <c r="AZ31">
        <f t="shared" si="10"/>
        <v>10398</v>
      </c>
      <c r="BA31" t="str">
        <f t="shared" si="11"/>
        <v/>
      </c>
      <c r="BE31" t="str">
        <v>school supplies</v>
      </c>
      <c r="BF31" t="str">
        <v>Education Expense</v>
      </c>
      <c r="BG31" t="str">
        <f>IFERROR(_xlfn.XLOOKUP($BF31,acct_ref[AccountName],acct_ref[AcctType],"Account Not Found",0),"")</f>
        <v>Expense</v>
      </c>
      <c r="BH31">
        <f t="shared" si="6"/>
        <v>0</v>
      </c>
      <c r="BI31">
        <f t="shared" si="7"/>
        <v>68.430000000000007</v>
      </c>
      <c r="BN31" s="165" t="s">
        <v>251</v>
      </c>
      <c r="BV31">
        <v>19.2</v>
      </c>
      <c r="CA31">
        <v>19.2</v>
      </c>
    </row>
    <row r="32" spans="4:88" x14ac:dyDescent="0.25">
      <c r="O32">
        <v>23</v>
      </c>
      <c r="P32" t="str">
        <v>sub prime video ad-free</v>
      </c>
      <c r="Q32">
        <f t="shared" si="9"/>
        <v>6.759999999999998</v>
      </c>
      <c r="R32">
        <f t="shared" si="2"/>
        <v>16.899999999999999</v>
      </c>
      <c r="S32" cm="1">
        <f t="array" ref="S32">SUMPRODUCT((CalcItemName=$P32)*(CalcItemBudget))</f>
        <v>23.659999999999997</v>
      </c>
      <c r="T32" cm="1">
        <f t="array" ref="T32">SUMPRODUCT((CalcItemName=$P32)*(CalcItemActual))</f>
        <v>16.899999999999999</v>
      </c>
      <c r="U32">
        <f t="shared" si="3"/>
        <v>-6.759999999999998</v>
      </c>
      <c r="AO32" s="161" t="s">
        <v>227</v>
      </c>
      <c r="AP32">
        <v>115.62</v>
      </c>
      <c r="AU32">
        <v>115.62</v>
      </c>
      <c r="AW32" t="str">
        <v>Account Payable - Home Depot</v>
      </c>
      <c r="AX32" t="str">
        <v>Liability</v>
      </c>
      <c r="AY32" t="str">
        <f t="shared" si="5"/>
        <v/>
      </c>
      <c r="AZ32">
        <f t="shared" si="10"/>
        <v>0</v>
      </c>
      <c r="BA32" t="str">
        <f t="shared" si="11"/>
        <v/>
      </c>
      <c r="BE32" t="str">
        <v>sub coursera</v>
      </c>
      <c r="BF32" t="str">
        <v>Education Expense</v>
      </c>
      <c r="BG32" t="str">
        <f>IFERROR(_xlfn.XLOOKUP($BF32,acct_ref[AccountName],acct_ref[AcctType],"Account Not Found",0),"")</f>
        <v>Expense</v>
      </c>
      <c r="BH32">
        <f t="shared" si="6"/>
        <v>0</v>
      </c>
      <c r="BI32">
        <f t="shared" si="7"/>
        <v>67</v>
      </c>
      <c r="BN32" s="165" t="s">
        <v>222</v>
      </c>
      <c r="BR32">
        <v>10.17</v>
      </c>
      <c r="BS32">
        <v>0</v>
      </c>
      <c r="BV32">
        <v>22.580000000000002</v>
      </c>
      <c r="CA32">
        <v>32.75</v>
      </c>
    </row>
    <row r="33" spans="8:79" x14ac:dyDescent="0.25">
      <c r="H33" s="41"/>
      <c r="O33">
        <v>24</v>
      </c>
      <c r="P33" t="str">
        <v>sub shudder</v>
      </c>
      <c r="Q33">
        <f t="shared" si="9"/>
        <v>0</v>
      </c>
      <c r="R33">
        <f t="shared" si="2"/>
        <v>7.9</v>
      </c>
      <c r="S33" cm="1">
        <f t="array" ref="S33">SUMPRODUCT((CalcItemName=$P33)*(CalcItemBudget))</f>
        <v>0</v>
      </c>
      <c r="T33" cm="1">
        <f t="array" ref="T33">SUMPRODUCT((CalcItemName=$P33)*(CalcItemActual))</f>
        <v>7.9</v>
      </c>
      <c r="U33">
        <f t="shared" si="3"/>
        <v>7.9</v>
      </c>
      <c r="AO33" s="161" t="s">
        <v>250</v>
      </c>
      <c r="AP33">
        <v>6</v>
      </c>
      <c r="AU33">
        <v>6</v>
      </c>
      <c r="AW33" t="str">
        <v>MK - Capital</v>
      </c>
      <c r="AX33" t="str">
        <v>Capital</v>
      </c>
      <c r="AY33" t="str">
        <f t="shared" si="5"/>
        <v/>
      </c>
      <c r="AZ33">
        <f t="shared" si="10"/>
        <v>43025.89</v>
      </c>
      <c r="BA33" t="str">
        <f t="shared" si="11"/>
        <v/>
      </c>
      <c r="BE33" t="str">
        <v>sub skillshare</v>
      </c>
      <c r="BF33" t="str">
        <v>Education Expense</v>
      </c>
      <c r="BG33" t="str">
        <f>IFERROR(_xlfn.XLOOKUP($BF33,acct_ref[AccountName],acct_ref[AcctType],"Account Not Found",0),"")</f>
        <v>Expense</v>
      </c>
      <c r="BH33">
        <f t="shared" si="6"/>
        <v>0</v>
      </c>
      <c r="BI33">
        <f t="shared" si="7"/>
        <v>0</v>
      </c>
      <c r="BN33" s="165" t="s">
        <v>227</v>
      </c>
      <c r="BS33">
        <v>32.700000000000003</v>
      </c>
      <c r="BU33">
        <v>62.59</v>
      </c>
      <c r="BW33">
        <v>20.329999999999998</v>
      </c>
      <c r="CA33">
        <v>115.62</v>
      </c>
    </row>
    <row r="34" spans="8:79" x14ac:dyDescent="0.25">
      <c r="O34">
        <v>25</v>
      </c>
      <c r="P34" t="str">
        <v>sub spotify</v>
      </c>
      <c r="Q34">
        <f t="shared" si="9"/>
        <v>27.079999999999984</v>
      </c>
      <c r="R34">
        <f t="shared" si="2"/>
        <v>27.08</v>
      </c>
      <c r="S34" cm="1">
        <f t="array" ref="S34">SUMPRODUCT((CalcItemName=$P34)*(CalcItemBudget))</f>
        <v>54.159999999999982</v>
      </c>
      <c r="T34" cm="1">
        <f t="array" ref="T34">SUMPRODUCT((CalcItemName=$P34)*(CalcItemActual))</f>
        <v>27.08</v>
      </c>
      <c r="U34">
        <f t="shared" si="3"/>
        <v>-27.079999999999984</v>
      </c>
      <c r="AO34" s="161" t="s">
        <v>210</v>
      </c>
      <c r="AP34">
        <v>67.790000000000006</v>
      </c>
      <c r="AU34">
        <v>67.790000000000006</v>
      </c>
      <c r="AW34" t="str">
        <v>Income Summary 2024</v>
      </c>
      <c r="AX34" t="str">
        <v>Capital</v>
      </c>
      <c r="AY34" t="str">
        <f t="shared" si="5"/>
        <v/>
      </c>
      <c r="AZ34">
        <f t="shared" si="10"/>
        <v>0</v>
      </c>
      <c r="BA34" t="str">
        <f t="shared" si="11"/>
        <v/>
      </c>
      <c r="BE34" t="str">
        <v>textbooks</v>
      </c>
      <c r="BF34" t="str">
        <v>Education Expense</v>
      </c>
      <c r="BG34" t="str">
        <f>IFERROR(_xlfn.XLOOKUP($BF34,acct_ref[AccountName],acct_ref[AcctType],"Account Not Found",0),"")</f>
        <v>Expense</v>
      </c>
      <c r="BH34">
        <f t="shared" si="6"/>
        <v>0</v>
      </c>
      <c r="BI34">
        <f t="shared" si="7"/>
        <v>306.06</v>
      </c>
      <c r="BN34" s="165" t="s">
        <v>250</v>
      </c>
      <c r="BT34">
        <v>6</v>
      </c>
      <c r="CA34">
        <v>6</v>
      </c>
    </row>
    <row r="35" spans="8:79" x14ac:dyDescent="0.25">
      <c r="O35">
        <v>26</v>
      </c>
      <c r="P35" t="str">
        <v>sub stack tv</v>
      </c>
      <c r="Q35">
        <f t="shared" si="9"/>
        <v>0</v>
      </c>
      <c r="R35">
        <f t="shared" si="2"/>
        <v>29.36</v>
      </c>
      <c r="S35" cm="1">
        <f t="array" ref="S35">SUMPRODUCT((CalcItemName=$P35)*(CalcItemBudget))</f>
        <v>0</v>
      </c>
      <c r="T35" cm="1">
        <f t="array" ref="T35">SUMPRODUCT((CalcItemName=$P35)*(CalcItemActual))</f>
        <v>29.36</v>
      </c>
      <c r="U35">
        <f t="shared" si="3"/>
        <v>29.36</v>
      </c>
      <c r="AO35" s="161" t="s">
        <v>216</v>
      </c>
      <c r="AP35">
        <v>24.86</v>
      </c>
      <c r="AU35">
        <v>24.86</v>
      </c>
      <c r="AW35" t="str">
        <v>Salary Revenue</v>
      </c>
      <c r="AX35" t="str">
        <v>Revenue</v>
      </c>
      <c r="AY35">
        <f>IF($AX35="Revenue",GETPIVOTDATA("Amount",$AO$9,"Source","Inc_Plan","Account",$AW35),
IF($AX35="Expense",SUM(GETPIVOTDATA("Amount",$AO$9,"Source","Exp_Plan","Account",$AW35),GETPIVOTDATA("Amount",$AO$9,"Source","Shop_List","Account",$AW35)),""))</f>
        <v>11600</v>
      </c>
      <c r="AZ35">
        <f t="shared" si="10"/>
        <v>17586.84</v>
      </c>
      <c r="BA35">
        <f t="shared" si="11"/>
        <v>5986.84</v>
      </c>
      <c r="BE35" t="str">
        <v>tuition</v>
      </c>
      <c r="BF35" t="str">
        <v>Education Expense</v>
      </c>
      <c r="BG35" t="str">
        <f>IFERROR(_xlfn.XLOOKUP($BF35,acct_ref[AccountName],acct_ref[AcctType],"Account Not Found",0),"")</f>
        <v>Expense</v>
      </c>
      <c r="BH35">
        <f t="shared" si="6"/>
        <v>0</v>
      </c>
      <c r="BI35">
        <f t="shared" si="7"/>
        <v>10223.16</v>
      </c>
      <c r="BN35" s="165" t="s">
        <v>210</v>
      </c>
      <c r="BU35">
        <v>67.790000000000006</v>
      </c>
      <c r="CA35">
        <v>67.790000000000006</v>
      </c>
    </row>
    <row r="36" spans="8:79" x14ac:dyDescent="0.25">
      <c r="O36">
        <v>27</v>
      </c>
      <c r="P36" t="str">
        <v>sub yt premium</v>
      </c>
      <c r="Q36">
        <f t="shared" si="9"/>
        <v>16.929999999999978</v>
      </c>
      <c r="R36">
        <f t="shared" si="2"/>
        <v>132.12000000000003</v>
      </c>
      <c r="S36" cm="1">
        <f t="array" ref="S36">SUMPRODUCT((CalcItemName=$P36)*(CalcItemBudget))</f>
        <v>149.05000000000001</v>
      </c>
      <c r="T36" cm="1">
        <f t="array" ref="T36">SUMPRODUCT((CalcItemName=$P36)*(CalcItemActual))</f>
        <v>132.12000000000003</v>
      </c>
      <c r="U36">
        <f t="shared" si="3"/>
        <v>-16.929999999999978</v>
      </c>
      <c r="AO36" s="161" t="s">
        <v>141</v>
      </c>
      <c r="AP36">
        <v>161.44999999999999</v>
      </c>
      <c r="AU36">
        <v>161.44999999999999</v>
      </c>
      <c r="AW36" t="str">
        <v>Government Revenue</v>
      </c>
      <c r="AX36" t="str">
        <v>Revenue</v>
      </c>
      <c r="AY36">
        <f t="shared" si="5"/>
        <v>0</v>
      </c>
      <c r="AZ36">
        <f t="shared" si="10"/>
        <v>6494.43</v>
      </c>
      <c r="BA36">
        <f t="shared" si="11"/>
        <v>6494.43</v>
      </c>
      <c r="BE36" t="str">
        <v>tutor</v>
      </c>
      <c r="BF36" t="str">
        <v>Education Expense</v>
      </c>
      <c r="BG36" t="str">
        <f>IFERROR(_xlfn.XLOOKUP($BF36,acct_ref[AccountName],acct_ref[AcctType],"Account Not Found",0),"")</f>
        <v>Expense</v>
      </c>
      <c r="BH36">
        <f t="shared" si="6"/>
        <v>0</v>
      </c>
      <c r="BI36">
        <f t="shared" si="7"/>
        <v>16</v>
      </c>
      <c r="BN36" s="165" t="s">
        <v>216</v>
      </c>
      <c r="BU36">
        <v>24.86</v>
      </c>
      <c r="CA36">
        <v>24.86</v>
      </c>
    </row>
    <row r="37" spans="8:79" x14ac:dyDescent="0.25">
      <c r="O37">
        <v>28</v>
      </c>
      <c r="Q37">
        <f t="shared" si="9"/>
        <v>0</v>
      </c>
      <c r="R37">
        <f t="shared" si="2"/>
        <v>0</v>
      </c>
      <c r="AO37" s="161" t="s">
        <v>151</v>
      </c>
      <c r="AP37">
        <v>190.55</v>
      </c>
      <c r="AU37">
        <v>190.55</v>
      </c>
      <c r="AW37" t="str">
        <v>Gift Revenue</v>
      </c>
      <c r="AX37" t="str">
        <v>Revenue</v>
      </c>
      <c r="AY37">
        <f t="shared" si="5"/>
        <v>1000</v>
      </c>
      <c r="AZ37">
        <f t="shared" si="10"/>
        <v>1100</v>
      </c>
      <c r="BA37">
        <f t="shared" si="11"/>
        <v>100</v>
      </c>
      <c r="BE37" t="str">
        <v>gift card</v>
      </c>
      <c r="BF37" t="str">
        <v>Gift Revenue</v>
      </c>
      <c r="BG37" t="str">
        <f>IFERROR(_xlfn.XLOOKUP($BF37,acct_ref[AccountName],acct_ref[AcctType],"Account Not Found",0),"")</f>
        <v>Revenue</v>
      </c>
      <c r="BH37">
        <f t="shared" si="6"/>
        <v>0</v>
      </c>
      <c r="BI37">
        <f t="shared" si="7"/>
        <v>0</v>
      </c>
      <c r="BN37" s="165" t="s">
        <v>141</v>
      </c>
      <c r="BV37">
        <v>161.44999999999999</v>
      </c>
      <c r="CA37">
        <v>161.44999999999999</v>
      </c>
    </row>
    <row r="38" spans="8:79" x14ac:dyDescent="0.25">
      <c r="O38">
        <v>29</v>
      </c>
      <c r="Q38">
        <f t="shared" si="9"/>
        <v>0</v>
      </c>
      <c r="R38">
        <f t="shared" si="2"/>
        <v>0</v>
      </c>
      <c r="AO38" s="161" t="s">
        <v>153</v>
      </c>
      <c r="AP38">
        <v>8.39</v>
      </c>
      <c r="AU38">
        <v>8.39</v>
      </c>
      <c r="AW38" t="str">
        <v>Revenue Other</v>
      </c>
      <c r="AX38" t="str">
        <v>Revenue</v>
      </c>
      <c r="AY38">
        <f t="shared" si="5"/>
        <v>0</v>
      </c>
      <c r="AZ38">
        <f t="shared" si="10"/>
        <v>2556.41</v>
      </c>
      <c r="BA38">
        <f t="shared" si="11"/>
        <v>2556.41</v>
      </c>
      <c r="BE38" t="str">
        <v>gift cash</v>
      </c>
      <c r="BF38" t="str">
        <v>Gift Revenue</v>
      </c>
      <c r="BG38" t="str">
        <f>IFERROR(_xlfn.XLOOKUP($BF38,acct_ref[AccountName],acct_ref[AcctType],"Account Not Found",0),"")</f>
        <v>Revenue</v>
      </c>
      <c r="BH38">
        <f t="shared" si="6"/>
        <v>1000</v>
      </c>
      <c r="BI38">
        <f t="shared" si="7"/>
        <v>1100</v>
      </c>
      <c r="BN38" s="165" t="s">
        <v>151</v>
      </c>
      <c r="BR38">
        <v>31.91</v>
      </c>
      <c r="BS38">
        <v>31.72</v>
      </c>
      <c r="BT38">
        <v>31.92</v>
      </c>
      <c r="BU38">
        <v>31.62</v>
      </c>
      <c r="BV38">
        <v>31.86</v>
      </c>
      <c r="BW38">
        <v>31.52</v>
      </c>
      <c r="CA38">
        <v>190.55</v>
      </c>
    </row>
    <row r="39" spans="8:79" x14ac:dyDescent="0.25">
      <c r="O39">
        <v>30</v>
      </c>
      <c r="Q39">
        <f t="shared" si="9"/>
        <v>0</v>
      </c>
      <c r="R39">
        <f t="shared" si="2"/>
        <v>0</v>
      </c>
      <c r="AO39" s="161" t="s">
        <v>149</v>
      </c>
      <c r="AP39">
        <v>40.99</v>
      </c>
      <c r="AU39">
        <v>40.99</v>
      </c>
      <c r="AW39" t="str">
        <v>Unknown Revenue</v>
      </c>
      <c r="AX39" t="str">
        <v>Revenue</v>
      </c>
      <c r="AY39">
        <f t="shared" si="5"/>
        <v>0</v>
      </c>
      <c r="AZ39">
        <f t="shared" si="10"/>
        <v>277.83</v>
      </c>
      <c r="BA39">
        <f t="shared" si="11"/>
        <v>277.83</v>
      </c>
      <c r="BE39" t="str">
        <v>grant revenue</v>
      </c>
      <c r="BF39" t="str">
        <v>Government Revenue</v>
      </c>
      <c r="BG39" t="str">
        <f>IFERROR(_xlfn.XLOOKUP($BF39,acct_ref[AccountName],acct_ref[AcctType],"Account Not Found",0),"")</f>
        <v>Revenue</v>
      </c>
      <c r="BH39">
        <f t="shared" si="6"/>
        <v>0</v>
      </c>
      <c r="BI39">
        <f t="shared" si="7"/>
        <v>2298</v>
      </c>
      <c r="BN39" s="165" t="s">
        <v>153</v>
      </c>
      <c r="BU39">
        <v>8.39</v>
      </c>
      <c r="CA39">
        <v>8.39</v>
      </c>
    </row>
    <row r="40" spans="8:79" x14ac:dyDescent="0.25">
      <c r="O40">
        <v>31</v>
      </c>
      <c r="Q40">
        <f t="shared" si="9"/>
        <v>0</v>
      </c>
      <c r="R40">
        <f t="shared" si="2"/>
        <v>0</v>
      </c>
      <c r="AO40" s="161" t="s">
        <v>152</v>
      </c>
      <c r="AP40">
        <v>99.68</v>
      </c>
      <c r="AU40">
        <v>99.68</v>
      </c>
      <c r="AW40" t="str">
        <v>Purchase Returns</v>
      </c>
      <c r="AX40" t="str">
        <v>Revenue</v>
      </c>
      <c r="AY40">
        <f t="shared" si="5"/>
        <v>0</v>
      </c>
      <c r="AZ40">
        <f t="shared" si="10"/>
        <v>377.63</v>
      </c>
      <c r="BA40">
        <f t="shared" si="11"/>
        <v>377.63</v>
      </c>
      <c r="BE40" t="str">
        <v>tax refund</v>
      </c>
      <c r="BF40" t="str">
        <v>Government Revenue</v>
      </c>
      <c r="BG40" t="str">
        <f>IFERROR(_xlfn.XLOOKUP($BF40,acct_ref[AccountName],acct_ref[AcctType],"Account Not Found",0),"")</f>
        <v>Revenue</v>
      </c>
      <c r="BH40">
        <f t="shared" si="6"/>
        <v>0</v>
      </c>
      <c r="BI40">
        <f t="shared" si="7"/>
        <v>4066.68</v>
      </c>
      <c r="BN40" s="165" t="s">
        <v>149</v>
      </c>
      <c r="BS40">
        <v>10.39</v>
      </c>
      <c r="BT40">
        <v>7.65</v>
      </c>
      <c r="BU40">
        <v>7.65</v>
      </c>
      <c r="BV40">
        <v>7.65</v>
      </c>
      <c r="BW40">
        <v>7.65</v>
      </c>
      <c r="CA40">
        <v>40.989999999999995</v>
      </c>
    </row>
    <row r="41" spans="8:79" x14ac:dyDescent="0.25">
      <c r="O41">
        <v>32</v>
      </c>
      <c r="Q41">
        <f t="shared" si="9"/>
        <v>0</v>
      </c>
      <c r="R41">
        <f t="shared" si="2"/>
        <v>0</v>
      </c>
      <c r="AO41" s="161" t="s">
        <v>237</v>
      </c>
      <c r="AP41">
        <v>139.22999999999999</v>
      </c>
      <c r="AU41">
        <v>139.22999999999999</v>
      </c>
      <c r="AW41" t="str">
        <v>Unknown Expense</v>
      </c>
      <c r="AX41" t="str">
        <v>Expense</v>
      </c>
      <c r="AY41">
        <f t="shared" si="5"/>
        <v>0</v>
      </c>
      <c r="AZ41">
        <f t="shared" si="10"/>
        <v>3841.41</v>
      </c>
      <c r="BA41">
        <f t="shared" si="11"/>
        <v>3841.41</v>
      </c>
      <c r="BE41" t="str">
        <v>unknown government income</v>
      </c>
      <c r="BF41" t="str">
        <v>Government Revenue</v>
      </c>
      <c r="BG41" t="str">
        <f>IFERROR(_xlfn.XLOOKUP($BF41,acct_ref[AccountName],acct_ref[AcctType],"Account Not Found",0),"")</f>
        <v>Revenue</v>
      </c>
      <c r="BH41">
        <f t="shared" si="6"/>
        <v>0</v>
      </c>
      <c r="BI41">
        <f t="shared" si="7"/>
        <v>129.75</v>
      </c>
      <c r="BN41" s="165" t="s">
        <v>152</v>
      </c>
      <c r="BR41">
        <v>14.3</v>
      </c>
      <c r="BS41">
        <v>14.31</v>
      </c>
      <c r="BT41">
        <v>14.28</v>
      </c>
      <c r="BU41">
        <v>14.39</v>
      </c>
      <c r="BV41">
        <v>14.18</v>
      </c>
      <c r="BW41">
        <v>28.22</v>
      </c>
      <c r="CA41">
        <v>99.68</v>
      </c>
    </row>
    <row r="42" spans="8:79" x14ac:dyDescent="0.25">
      <c r="O42">
        <v>33</v>
      </c>
      <c r="Q42">
        <f t="shared" si="9"/>
        <v>0</v>
      </c>
      <c r="R42">
        <f t="shared" si="2"/>
        <v>0</v>
      </c>
      <c r="V42" s="115"/>
      <c r="W42" s="115"/>
      <c r="AO42" s="161" t="s">
        <v>142</v>
      </c>
      <c r="AP42">
        <v>56.449999999999996</v>
      </c>
      <c r="AU42">
        <v>56.449999999999996</v>
      </c>
      <c r="AW42" t="str">
        <v>Home Expense</v>
      </c>
      <c r="AX42" t="str">
        <v>Expense</v>
      </c>
      <c r="AY42">
        <f t="shared" si="5"/>
        <v>0</v>
      </c>
      <c r="AZ42">
        <f t="shared" si="10"/>
        <v>548.99</v>
      </c>
      <c r="BA42">
        <f t="shared" si="11"/>
        <v>548.99</v>
      </c>
      <c r="BE42" t="str">
        <v>batteries</v>
      </c>
      <c r="BF42" t="str">
        <v>Home</v>
      </c>
      <c r="BG42" t="str">
        <f>IFERROR(_xlfn.XLOOKUP($BF42,acct_ref[AccountName],acct_ref[AcctType],"Account Not Found",0),"")</f>
        <v>Asset</v>
      </c>
      <c r="BH42">
        <f t="shared" si="6"/>
        <v>0</v>
      </c>
      <c r="BI42">
        <f t="shared" ref="BI42:BI73" si="12">IFERROR(GETPIVOTDATA("Amount",$AO$9,"Source","Actual","Account",$BF42,"Item",$BE42),0)</f>
        <v>0</v>
      </c>
      <c r="BN42" s="165" t="s">
        <v>237</v>
      </c>
      <c r="BT42">
        <v>139.22999999999999</v>
      </c>
      <c r="CA42">
        <v>139.22999999999999</v>
      </c>
    </row>
    <row r="43" spans="8:79" x14ac:dyDescent="0.25">
      <c r="O43">
        <v>34</v>
      </c>
      <c r="Q43">
        <f t="shared" si="9"/>
        <v>0</v>
      </c>
      <c r="R43">
        <f t="shared" si="2"/>
        <v>0</v>
      </c>
      <c r="V43" s="115"/>
      <c r="W43" s="115"/>
      <c r="AO43" s="161" t="s">
        <v>150</v>
      </c>
      <c r="AP43">
        <v>55.89</v>
      </c>
      <c r="AU43">
        <v>55.89</v>
      </c>
      <c r="AW43" t="str">
        <v>Rent Expense</v>
      </c>
      <c r="AX43" t="str">
        <v>Expense</v>
      </c>
      <c r="AY43">
        <f t="shared" si="5"/>
        <v>1700</v>
      </c>
      <c r="AZ43">
        <f t="shared" si="10"/>
        <v>6460</v>
      </c>
      <c r="BA43">
        <f t="shared" si="11"/>
        <v>4760</v>
      </c>
      <c r="BE43" t="str">
        <v>appliances</v>
      </c>
      <c r="BF43" t="str">
        <v>Home Expense</v>
      </c>
      <c r="BG43" t="str">
        <f>IFERROR(_xlfn.XLOOKUP($BF43,acct_ref[AccountName],acct_ref[AcctType],"Account Not Found",0),"")</f>
        <v>Expense</v>
      </c>
      <c r="BH43">
        <f t="shared" si="6"/>
        <v>0</v>
      </c>
      <c r="BI43">
        <f t="shared" si="12"/>
        <v>0</v>
      </c>
      <c r="BN43" s="165" t="s">
        <v>142</v>
      </c>
      <c r="BS43">
        <v>11.29</v>
      </c>
      <c r="BT43">
        <v>11.29</v>
      </c>
      <c r="BU43">
        <v>11.29</v>
      </c>
      <c r="BV43">
        <v>11.29</v>
      </c>
      <c r="BW43">
        <v>11.29</v>
      </c>
      <c r="CA43">
        <v>56.449999999999996</v>
      </c>
    </row>
    <row r="44" spans="8:79" x14ac:dyDescent="0.25">
      <c r="O44">
        <v>35</v>
      </c>
      <c r="Q44">
        <f t="shared" si="9"/>
        <v>0</v>
      </c>
      <c r="R44">
        <f t="shared" si="2"/>
        <v>0</v>
      </c>
      <c r="V44" s="115"/>
      <c r="W44" s="115"/>
      <c r="AO44" s="161" t="s">
        <v>144</v>
      </c>
      <c r="AP44">
        <v>123.17</v>
      </c>
      <c r="AU44">
        <v>123.17</v>
      </c>
      <c r="AW44" t="str">
        <v>Utilities Expense</v>
      </c>
      <c r="AX44" t="str">
        <v>Expense</v>
      </c>
      <c r="AY44" t="e">
        <f t="shared" si="5"/>
        <v>#REF!</v>
      </c>
      <c r="AZ44">
        <f t="shared" si="10"/>
        <v>0</v>
      </c>
      <c r="BA44" t="str">
        <f t="shared" si="11"/>
        <v/>
      </c>
      <c r="BE44" t="str">
        <v>bedding supplies</v>
      </c>
      <c r="BF44" t="str">
        <v>Home Expense</v>
      </c>
      <c r="BG44" t="str">
        <f>IFERROR(_xlfn.XLOOKUP($BF44,acct_ref[AccountName],acct_ref[AcctType],"Account Not Found",0),"")</f>
        <v>Expense</v>
      </c>
      <c r="BH44">
        <f t="shared" si="6"/>
        <v>0</v>
      </c>
      <c r="BI44">
        <f t="shared" si="12"/>
        <v>56.49</v>
      </c>
      <c r="BN44" s="165" t="s">
        <v>150</v>
      </c>
      <c r="BR44">
        <v>18.63</v>
      </c>
      <c r="BS44">
        <v>18.63</v>
      </c>
      <c r="BT44">
        <v>18.63</v>
      </c>
      <c r="CA44">
        <v>55.89</v>
      </c>
    </row>
    <row r="45" spans="8:79" x14ac:dyDescent="0.25">
      <c r="O45">
        <v>36</v>
      </c>
      <c r="Q45">
        <f t="shared" si="9"/>
        <v>0</v>
      </c>
      <c r="R45">
        <f t="shared" si="2"/>
        <v>0</v>
      </c>
      <c r="V45" s="115"/>
      <c r="W45" s="115"/>
      <c r="AO45" s="161" t="s">
        <v>347</v>
      </c>
      <c r="AP45">
        <v>4.0999999999999996</v>
      </c>
      <c r="AU45">
        <v>4.0999999999999996</v>
      </c>
      <c r="AW45" t="str">
        <v>Life Insurance Expense</v>
      </c>
      <c r="AX45" t="str">
        <v>Expense</v>
      </c>
      <c r="AY45">
        <f t="shared" si="5"/>
        <v>0</v>
      </c>
      <c r="AZ45">
        <f t="shared" si="10"/>
        <v>161.76</v>
      </c>
      <c r="BA45">
        <f t="shared" si="11"/>
        <v>161.76</v>
      </c>
      <c r="BE45" t="str">
        <v>cleaning supplies</v>
      </c>
      <c r="BF45" t="str">
        <v>Home Expense</v>
      </c>
      <c r="BG45" t="str">
        <f>IFERROR(_xlfn.XLOOKUP($BF45,acct_ref[AccountName],acct_ref[AcctType],"Account Not Found",0),"")</f>
        <v>Expense</v>
      </c>
      <c r="BH45">
        <f t="shared" si="6"/>
        <v>0</v>
      </c>
      <c r="BI45">
        <f t="shared" si="12"/>
        <v>38.619999999999997</v>
      </c>
      <c r="BN45" s="165" t="s">
        <v>144</v>
      </c>
      <c r="BW45">
        <v>123.17</v>
      </c>
      <c r="CA45">
        <v>123.17</v>
      </c>
    </row>
    <row r="46" spans="8:79" x14ac:dyDescent="0.25">
      <c r="O46">
        <v>37</v>
      </c>
      <c r="Q46">
        <f t="shared" si="9"/>
        <v>0</v>
      </c>
      <c r="R46">
        <f t="shared" si="2"/>
        <v>0</v>
      </c>
      <c r="AO46" s="161" t="s">
        <v>140</v>
      </c>
      <c r="AP46">
        <v>111.87</v>
      </c>
      <c r="AU46">
        <v>111.87</v>
      </c>
      <c r="AW46" t="str">
        <v>Phone Expense</v>
      </c>
      <c r="AX46" t="str">
        <v>Expense</v>
      </c>
      <c r="AY46">
        <f t="shared" si="5"/>
        <v>680</v>
      </c>
      <c r="AZ46">
        <f t="shared" si="10"/>
        <v>621.83000000000004</v>
      </c>
      <c r="BA46">
        <f t="shared" si="11"/>
        <v>-58.169999999999959</v>
      </c>
      <c r="BE46" t="str">
        <v>furniture</v>
      </c>
      <c r="BF46" t="str">
        <v>Home Expense</v>
      </c>
      <c r="BG46" t="str">
        <f>IFERROR(_xlfn.XLOOKUP($BF46,acct_ref[AccountName],acct_ref[AcctType],"Account Not Found",0),"")</f>
        <v>Expense</v>
      </c>
      <c r="BH46">
        <f t="shared" si="6"/>
        <v>0</v>
      </c>
      <c r="BI46">
        <f t="shared" si="12"/>
        <v>0</v>
      </c>
      <c r="BN46" s="165" t="s">
        <v>347</v>
      </c>
      <c r="BU46">
        <v>4.0999999999999996</v>
      </c>
      <c r="CA46">
        <v>4.0999999999999996</v>
      </c>
    </row>
    <row r="47" spans="8:79" x14ac:dyDescent="0.25">
      <c r="O47">
        <v>38</v>
      </c>
      <c r="Q47">
        <f t="shared" si="9"/>
        <v>0</v>
      </c>
      <c r="R47">
        <f t="shared" si="2"/>
        <v>0</v>
      </c>
      <c r="T47" s="43"/>
      <c r="AO47" s="161" t="s">
        <v>238</v>
      </c>
      <c r="AP47">
        <v>7.9</v>
      </c>
      <c r="AU47">
        <v>7.9</v>
      </c>
      <c r="AW47" t="str">
        <v>TV/Internet Expense</v>
      </c>
      <c r="AX47" t="str">
        <v>Expense</v>
      </c>
      <c r="AY47">
        <f t="shared" si="5"/>
        <v>1250</v>
      </c>
      <c r="AZ47">
        <f t="shared" si="10"/>
        <v>0</v>
      </c>
      <c r="BA47">
        <f t="shared" si="11"/>
        <v>-1250</v>
      </c>
      <c r="BE47" t="str">
        <v>home décor</v>
      </c>
      <c r="BF47" t="str">
        <v>Home Expense</v>
      </c>
      <c r="BG47" t="str">
        <f>IFERROR(_xlfn.XLOOKUP($BF47,acct_ref[AccountName],acct_ref[AcctType],"Account Not Found",0),"")</f>
        <v>Expense</v>
      </c>
      <c r="BH47">
        <f t="shared" si="6"/>
        <v>0</v>
      </c>
      <c r="BI47">
        <f t="shared" si="12"/>
        <v>45.19</v>
      </c>
      <c r="BN47" s="165" t="s">
        <v>140</v>
      </c>
      <c r="BW47">
        <v>111.87</v>
      </c>
      <c r="CA47">
        <v>111.87</v>
      </c>
    </row>
    <row r="48" spans="8:79" x14ac:dyDescent="0.25">
      <c r="O48">
        <v>39</v>
      </c>
      <c r="Q48">
        <f t="shared" si="9"/>
        <v>0</v>
      </c>
      <c r="R48">
        <f t="shared" si="2"/>
        <v>0</v>
      </c>
      <c r="T48" s="43"/>
      <c r="AO48" s="161" t="s">
        <v>155</v>
      </c>
      <c r="AP48">
        <v>27.08</v>
      </c>
      <c r="AU48">
        <v>27.08</v>
      </c>
      <c r="AW48" t="str">
        <v>Transportation Expense</v>
      </c>
      <c r="AX48" t="str">
        <v>Expense</v>
      </c>
      <c r="AY48">
        <f t="shared" si="5"/>
        <v>620</v>
      </c>
      <c r="AZ48">
        <f t="shared" si="10"/>
        <v>858.33</v>
      </c>
      <c r="BA48">
        <f t="shared" si="11"/>
        <v>238.33000000000004</v>
      </c>
      <c r="BE48" t="str">
        <v>home maintenance</v>
      </c>
      <c r="BF48" t="str">
        <v>Home Expense</v>
      </c>
      <c r="BG48" t="str">
        <f>IFERROR(_xlfn.XLOOKUP($BF48,acct_ref[AccountName],acct_ref[AcctType],"Account Not Found",0),"")</f>
        <v>Expense</v>
      </c>
      <c r="BH48">
        <f t="shared" si="6"/>
        <v>0</v>
      </c>
      <c r="BI48">
        <f t="shared" si="12"/>
        <v>0</v>
      </c>
      <c r="BN48" s="165" t="s">
        <v>246</v>
      </c>
      <c r="BS48">
        <v>3.38</v>
      </c>
      <c r="BT48">
        <v>3.38</v>
      </c>
      <c r="BU48">
        <v>3.38</v>
      </c>
      <c r="BV48">
        <v>3.38</v>
      </c>
      <c r="BW48">
        <v>3.38</v>
      </c>
      <c r="CA48">
        <v>16.899999999999999</v>
      </c>
    </row>
    <row r="49" spans="15:79" x14ac:dyDescent="0.25">
      <c r="O49">
        <v>40</v>
      </c>
      <c r="Q49">
        <f t="shared" si="9"/>
        <v>0</v>
      </c>
      <c r="R49">
        <f t="shared" si="2"/>
        <v>0</v>
      </c>
      <c r="T49" s="43"/>
      <c r="AO49" s="161" t="s">
        <v>181</v>
      </c>
      <c r="AP49">
        <v>29.36</v>
      </c>
      <c r="AU49">
        <v>29.36</v>
      </c>
      <c r="AW49" t="str">
        <v>Medical Expense</v>
      </c>
      <c r="AX49" t="str">
        <v>Expense</v>
      </c>
      <c r="AY49">
        <f t="shared" si="5"/>
        <v>960</v>
      </c>
      <c r="AZ49">
        <f t="shared" si="10"/>
        <v>2079.3200000000002</v>
      </c>
      <c r="BA49">
        <f t="shared" si="11"/>
        <v>1119.3200000000002</v>
      </c>
      <c r="BE49" t="str">
        <v>home supplies misc.</v>
      </c>
      <c r="BF49" t="str">
        <v>Home Expense</v>
      </c>
      <c r="BG49" t="str">
        <f>IFERROR(_xlfn.XLOOKUP($BF49,acct_ref[AccountName],acct_ref[AcctType],"Account Not Found",0),"")</f>
        <v>Expense</v>
      </c>
      <c r="BH49">
        <f t="shared" si="6"/>
        <v>0</v>
      </c>
      <c r="BI49">
        <f t="shared" si="12"/>
        <v>0</v>
      </c>
      <c r="BN49" s="165" t="s">
        <v>238</v>
      </c>
      <c r="BS49">
        <v>7.9</v>
      </c>
      <c r="CA49">
        <v>7.9</v>
      </c>
    </row>
    <row r="50" spans="15:79" x14ac:dyDescent="0.25">
      <c r="O50">
        <v>41</v>
      </c>
      <c r="Q50">
        <f t="shared" si="9"/>
        <v>0</v>
      </c>
      <c r="R50">
        <f t="shared" si="2"/>
        <v>0</v>
      </c>
      <c r="T50" s="43"/>
      <c r="AO50" s="161" t="s">
        <v>136</v>
      </c>
      <c r="AP50">
        <v>73.400000000000006</v>
      </c>
      <c r="AU50">
        <v>73.400000000000006</v>
      </c>
      <c r="AW50" t="str">
        <v>Act Out Expense</v>
      </c>
      <c r="AX50" t="str">
        <v>Expense</v>
      </c>
      <c r="AY50">
        <f t="shared" si="5"/>
        <v>820</v>
      </c>
      <c r="AZ50">
        <f t="shared" si="10"/>
        <v>5084.96</v>
      </c>
      <c r="BA50">
        <f t="shared" si="11"/>
        <v>4264.96</v>
      </c>
      <c r="BE50" t="str">
        <v>kitchen supplies/tools</v>
      </c>
      <c r="BF50" t="str">
        <v>Home Expense</v>
      </c>
      <c r="BG50" t="str">
        <f>IFERROR(_xlfn.XLOOKUP($BF50,acct_ref[AccountName],acct_ref[AcctType],"Account Not Found",0),"")</f>
        <v>Expense</v>
      </c>
      <c r="BH50">
        <f t="shared" si="6"/>
        <v>0</v>
      </c>
      <c r="BI50">
        <f t="shared" si="12"/>
        <v>93.710000000000008</v>
      </c>
      <c r="BN50" s="165" t="s">
        <v>155</v>
      </c>
      <c r="BT50">
        <v>6.77</v>
      </c>
      <c r="BU50">
        <v>6.77</v>
      </c>
      <c r="BV50">
        <v>6.77</v>
      </c>
      <c r="BW50">
        <v>6.77</v>
      </c>
      <c r="CA50">
        <v>27.08</v>
      </c>
    </row>
    <row r="51" spans="15:79" x14ac:dyDescent="0.25">
      <c r="O51">
        <v>42</v>
      </c>
      <c r="Q51">
        <f t="shared" si="9"/>
        <v>0</v>
      </c>
      <c r="R51">
        <f t="shared" si="2"/>
        <v>0</v>
      </c>
      <c r="AO51" s="161" t="s">
        <v>235</v>
      </c>
      <c r="AP51">
        <v>494.71000000000004</v>
      </c>
      <c r="AU51">
        <v>494.71000000000004</v>
      </c>
      <c r="AW51" t="str">
        <v>Nutrition Expense</v>
      </c>
      <c r="AX51" t="str">
        <v>Expense</v>
      </c>
      <c r="AY51">
        <f t="shared" si="5"/>
        <v>5055</v>
      </c>
      <c r="AZ51">
        <f t="shared" si="10"/>
        <v>4660.71</v>
      </c>
      <c r="BA51">
        <f t="shared" si="11"/>
        <v>-394.28999999999996</v>
      </c>
      <c r="BE51" t="str">
        <v>pest control</v>
      </c>
      <c r="BF51" t="str">
        <v>Home Expense</v>
      </c>
      <c r="BG51" t="str">
        <f>IFERROR(_xlfn.XLOOKUP($BF51,acct_ref[AccountName],acct_ref[AcctType],"Account Not Found",0),"")</f>
        <v>Expense</v>
      </c>
      <c r="BH51">
        <f t="shared" si="6"/>
        <v>0</v>
      </c>
      <c r="BI51">
        <f t="shared" si="12"/>
        <v>19.2</v>
      </c>
      <c r="BN51" s="165" t="s">
        <v>181</v>
      </c>
      <c r="BT51">
        <v>14.68</v>
      </c>
      <c r="BU51">
        <v>14.68</v>
      </c>
      <c r="CA51">
        <v>29.36</v>
      </c>
    </row>
    <row r="52" spans="15:79" x14ac:dyDescent="0.25">
      <c r="O52">
        <v>43</v>
      </c>
      <c r="Q52">
        <f t="shared" si="9"/>
        <v>0</v>
      </c>
      <c r="R52">
        <f t="shared" si="2"/>
        <v>0</v>
      </c>
      <c r="AO52" s="161" t="s">
        <v>229</v>
      </c>
      <c r="AP52">
        <v>121.93</v>
      </c>
      <c r="AU52">
        <v>121.93</v>
      </c>
      <c r="AW52" t="str">
        <v>Shop Expense</v>
      </c>
      <c r="AX52" t="str">
        <v>Expense</v>
      </c>
      <c r="AY52">
        <f t="shared" si="5"/>
        <v>0</v>
      </c>
      <c r="AZ52">
        <f t="shared" si="10"/>
        <v>92.65</v>
      </c>
      <c r="BA52">
        <f t="shared" si="11"/>
        <v>92.65</v>
      </c>
      <c r="BE52" t="str">
        <v>life insurance expense</v>
      </c>
      <c r="BF52" t="str">
        <v>Life Insurance Expense</v>
      </c>
      <c r="BG52" t="str">
        <f>IFERROR(_xlfn.XLOOKUP($BF52,acct_ref[AccountName],acct_ref[AcctType],"Account Not Found",0),"")</f>
        <v>Expense</v>
      </c>
      <c r="BH52">
        <f t="shared" si="6"/>
        <v>0</v>
      </c>
      <c r="BI52">
        <f t="shared" si="12"/>
        <v>161.76000000000002</v>
      </c>
      <c r="BN52" s="165" t="s">
        <v>136</v>
      </c>
      <c r="BS52">
        <v>14.68</v>
      </c>
      <c r="BT52">
        <v>14.68</v>
      </c>
      <c r="BU52">
        <v>14.68</v>
      </c>
      <c r="BV52">
        <v>14.68</v>
      </c>
      <c r="BW52">
        <v>14.68</v>
      </c>
      <c r="CA52">
        <v>73.400000000000006</v>
      </c>
    </row>
    <row r="53" spans="15:79" x14ac:dyDescent="0.25">
      <c r="O53">
        <v>44</v>
      </c>
      <c r="Q53">
        <f t="shared" si="9"/>
        <v>0</v>
      </c>
      <c r="R53">
        <f t="shared" si="2"/>
        <v>0</v>
      </c>
      <c r="AO53" s="161" t="s">
        <v>56</v>
      </c>
      <c r="AP53">
        <v>105.69999999999999</v>
      </c>
      <c r="AU53">
        <v>105.69999999999999</v>
      </c>
      <c r="AW53" t="str">
        <v>Office &amp; Computer Expense</v>
      </c>
      <c r="AX53" t="str">
        <v>Expense</v>
      </c>
      <c r="AY53">
        <f t="shared" si="5"/>
        <v>1318.5900000000001</v>
      </c>
      <c r="AZ53">
        <f t="shared" si="10"/>
        <v>1986.94</v>
      </c>
      <c r="BA53">
        <f t="shared" si="11"/>
        <v>668.34999999999991</v>
      </c>
      <c r="BE53" t="str">
        <v>loan osap</v>
      </c>
      <c r="BF53" t="str">
        <v>Loans - OSAP</v>
      </c>
      <c r="BG53" t="str">
        <f>IFERROR(_xlfn.XLOOKUP($BF53,acct_ref[AccountName],acct_ref[AcctType],"Account Not Found",0),"")</f>
        <v>Liability</v>
      </c>
      <c r="BH53">
        <f t="shared" si="6"/>
        <v>0</v>
      </c>
      <c r="BI53">
        <f t="shared" si="12"/>
        <v>0</v>
      </c>
      <c r="BN53" s="165" t="s">
        <v>235</v>
      </c>
      <c r="BR53">
        <v>131.92999999999998</v>
      </c>
      <c r="BS53">
        <v>332.98</v>
      </c>
      <c r="BT53">
        <v>29.799999999999997</v>
      </c>
      <c r="CA53">
        <v>494.71</v>
      </c>
    </row>
    <row r="54" spans="15:79" x14ac:dyDescent="0.25">
      <c r="O54">
        <v>45</v>
      </c>
      <c r="Q54">
        <f t="shared" si="9"/>
        <v>0</v>
      </c>
      <c r="R54">
        <f t="shared" si="2"/>
        <v>0</v>
      </c>
      <c r="AO54" s="161" t="s">
        <v>244</v>
      </c>
      <c r="AP54">
        <v>0.78</v>
      </c>
      <c r="AU54">
        <v>0.78</v>
      </c>
      <c r="AW54" t="str">
        <v>Self-Care Expense</v>
      </c>
      <c r="AX54" t="str">
        <v>Expense</v>
      </c>
      <c r="AY54">
        <f t="shared" si="5"/>
        <v>814.42000000000007</v>
      </c>
      <c r="AZ54">
        <f t="shared" si="10"/>
        <v>1838.18</v>
      </c>
      <c r="BA54">
        <f t="shared" si="11"/>
        <v>1023.76</v>
      </c>
      <c r="BE54" t="str">
        <v>CPAP machine</v>
      </c>
      <c r="BF54" t="str">
        <v>Medical Expense</v>
      </c>
      <c r="BG54" t="str">
        <f>IFERROR(_xlfn.XLOOKUP($BF54,acct_ref[AccountName],acct_ref[AcctType],"Account Not Found",0),"")</f>
        <v>Expense</v>
      </c>
      <c r="BH54">
        <f t="shared" si="6"/>
        <v>750</v>
      </c>
      <c r="BI54">
        <f t="shared" si="12"/>
        <v>0</v>
      </c>
      <c r="BN54" s="165" t="s">
        <v>229</v>
      </c>
      <c r="BV54">
        <v>62.63</v>
      </c>
      <c r="BW54">
        <v>59.3</v>
      </c>
      <c r="CA54">
        <v>121.93</v>
      </c>
    </row>
    <row r="55" spans="15:79" x14ac:dyDescent="0.25">
      <c r="O55">
        <v>46</v>
      </c>
      <c r="Q55">
        <f t="shared" si="9"/>
        <v>0</v>
      </c>
      <c r="R55">
        <f t="shared" si="2"/>
        <v>0</v>
      </c>
      <c r="AO55" s="161" t="s">
        <v>187</v>
      </c>
      <c r="AP55">
        <v>138.26</v>
      </c>
      <c r="AU55">
        <v>138.26</v>
      </c>
      <c r="AW55" t="str">
        <v>Travel Expense</v>
      </c>
      <c r="AX55" t="str">
        <v>Expense</v>
      </c>
      <c r="AY55" t="e">
        <f t="shared" si="5"/>
        <v>#REF!</v>
      </c>
      <c r="AZ55">
        <f t="shared" si="10"/>
        <v>0</v>
      </c>
      <c r="BA55" t="str">
        <f t="shared" si="11"/>
        <v/>
      </c>
      <c r="BE55" t="str">
        <v>dentist</v>
      </c>
      <c r="BF55" t="str">
        <v>Medical Expense</v>
      </c>
      <c r="BG55" t="str">
        <f>IFERROR(_xlfn.XLOOKUP($BF55,acct_ref[AccountName],acct_ref[AcctType],"Account Not Found",0),"")</f>
        <v>Expense</v>
      </c>
      <c r="BH55">
        <f t="shared" si="6"/>
        <v>150</v>
      </c>
      <c r="BI55">
        <f t="shared" si="12"/>
        <v>581.6</v>
      </c>
      <c r="BN55" s="165" t="s">
        <v>56</v>
      </c>
      <c r="BS55">
        <v>51.9</v>
      </c>
      <c r="BT55">
        <v>30.78</v>
      </c>
      <c r="BV55">
        <v>23.02</v>
      </c>
      <c r="CA55">
        <v>105.7</v>
      </c>
    </row>
    <row r="56" spans="15:79" x14ac:dyDescent="0.25">
      <c r="O56">
        <v>47</v>
      </c>
      <c r="Q56">
        <f t="shared" si="9"/>
        <v>0</v>
      </c>
      <c r="R56">
        <f t="shared" si="2"/>
        <v>0</v>
      </c>
      <c r="AO56" s="161" t="s">
        <v>246</v>
      </c>
      <c r="AP56">
        <v>16.899999999999999</v>
      </c>
      <c r="AU56">
        <v>16.899999999999999</v>
      </c>
      <c r="AW56" t="str">
        <v>Education Expense</v>
      </c>
      <c r="AX56" t="str">
        <v>Expense</v>
      </c>
      <c r="AY56">
        <f t="shared" si="5"/>
        <v>36</v>
      </c>
      <c r="AZ56">
        <f t="shared" si="10"/>
        <v>11899.03</v>
      </c>
      <c r="BA56">
        <f t="shared" si="11"/>
        <v>11863.03</v>
      </c>
      <c r="BE56" t="str">
        <v>medical supplies</v>
      </c>
      <c r="BF56" t="str">
        <v>Medical Expense</v>
      </c>
      <c r="BG56" t="str">
        <f>IFERROR(_xlfn.XLOOKUP($BF56,acct_ref[AccountName],acct_ref[AcctType],"Account Not Found",0),"")</f>
        <v>Expense</v>
      </c>
      <c r="BH56">
        <f t="shared" si="6"/>
        <v>0</v>
      </c>
      <c r="BI56">
        <f t="shared" si="12"/>
        <v>1157.72</v>
      </c>
      <c r="BN56" s="165" t="s">
        <v>244</v>
      </c>
      <c r="BV56">
        <v>0.78</v>
      </c>
      <c r="CA56">
        <v>0.78</v>
      </c>
    </row>
    <row r="57" spans="15:79" x14ac:dyDescent="0.25">
      <c r="O57">
        <v>48</v>
      </c>
      <c r="Q57">
        <f t="shared" si="9"/>
        <v>0</v>
      </c>
      <c r="R57">
        <f t="shared" si="2"/>
        <v>0</v>
      </c>
      <c r="AO57" s="161" t="s">
        <v>459</v>
      </c>
      <c r="AP57">
        <v>-743.13</v>
      </c>
      <c r="AU57">
        <v>-743.13</v>
      </c>
      <c r="AW57" t="str">
        <v>Connect Expense</v>
      </c>
      <c r="AX57" t="str">
        <v>Expense</v>
      </c>
      <c r="BE57" t="str">
        <v>meds zoloft</v>
      </c>
      <c r="BF57" t="str">
        <v>Medical Expense</v>
      </c>
      <c r="BG57" t="str">
        <f>IFERROR(_xlfn.XLOOKUP($BF57,acct_ref[AccountName],acct_ref[AcctType],"Account Not Found",0),"")</f>
        <v>Expense</v>
      </c>
      <c r="BH57">
        <f t="shared" si="6"/>
        <v>60</v>
      </c>
      <c r="BI57">
        <f t="shared" si="12"/>
        <v>0</v>
      </c>
      <c r="BN57" s="165" t="s">
        <v>187</v>
      </c>
      <c r="BR57">
        <v>36.729999999999997</v>
      </c>
      <c r="BS57">
        <v>56.34</v>
      </c>
      <c r="BW57">
        <v>45.19</v>
      </c>
      <c r="CA57">
        <v>138.26</v>
      </c>
    </row>
    <row r="58" spans="15:79" x14ac:dyDescent="0.25">
      <c r="O58">
        <v>49</v>
      </c>
      <c r="Q58">
        <f t="shared" si="9"/>
        <v>0</v>
      </c>
      <c r="R58">
        <f t="shared" si="2"/>
        <v>0</v>
      </c>
      <c r="V58" s="115"/>
      <c r="W58" s="115"/>
      <c r="AF58" s="160" t="str">
        <f>IFERROR(GETPIVOTDATA("Amount",#REF!,"Source","Exp_Plan","Item",$AE58),"")</f>
        <v/>
      </c>
      <c r="AG58" s="159" t="str">
        <f>IFERROR(GETPIVOTDATA("Amount",#REF!,"Source",$D$4,"Item",$AE58),"")</f>
        <v/>
      </c>
      <c r="AH58" t="str">
        <f t="shared" ref="AH58:AH70" si="13">IFERROR($AG58-$AF58,"")</f>
        <v/>
      </c>
      <c r="AO58" s="161" t="s">
        <v>197</v>
      </c>
      <c r="AP58">
        <v>38.619999999999997</v>
      </c>
      <c r="AU58">
        <v>38.619999999999997</v>
      </c>
      <c r="AW58" t="str">
        <v>Tax Sales</v>
      </c>
      <c r="AX58" t="str">
        <v>Expense</v>
      </c>
      <c r="BE58" t="str">
        <v>service fee</v>
      </c>
      <c r="BF58" t="str">
        <v>Misc Expense</v>
      </c>
      <c r="BG58" t="str">
        <f>IFERROR(_xlfn.XLOOKUP($BF58,acct_ref[AccountName],acct_ref[AcctType],"Account Not Found",0),"")</f>
        <v>Expense</v>
      </c>
      <c r="BH58">
        <f t="shared" si="6"/>
        <v>0</v>
      </c>
      <c r="BI58">
        <f t="shared" si="12"/>
        <v>0</v>
      </c>
      <c r="BN58" s="165" t="s">
        <v>459</v>
      </c>
      <c r="BO58">
        <v>-743.13</v>
      </c>
      <c r="CA58">
        <v>-743.13</v>
      </c>
    </row>
    <row r="59" spans="15:79" x14ac:dyDescent="0.25">
      <c r="O59">
        <v>50</v>
      </c>
      <c r="Q59">
        <f t="shared" si="9"/>
        <v>0</v>
      </c>
      <c r="R59">
        <f t="shared" si="2"/>
        <v>0</v>
      </c>
      <c r="V59" s="115"/>
      <c r="W59" s="115"/>
      <c r="AF59" s="160" t="str">
        <f>IFERROR(GETPIVOTDATA("Amount",#REF!,"Source","Exp_Plan","Item",$AE59),"")</f>
        <v/>
      </c>
      <c r="AG59" s="159" t="str">
        <f>IFERROR(GETPIVOTDATA("Amount",#REF!,"Source",$D$4,"Item",$AE59),"")</f>
        <v/>
      </c>
      <c r="AH59" t="str">
        <f t="shared" si="13"/>
        <v/>
      </c>
      <c r="AO59" s="161" t="s">
        <v>465</v>
      </c>
      <c r="AP59">
        <v>19.2</v>
      </c>
      <c r="AU59">
        <v>19.2</v>
      </c>
      <c r="AW59" t="str">
        <v>Receivable Expense</v>
      </c>
      <c r="AX59" t="str">
        <v>Expense</v>
      </c>
      <c r="BE59" t="str">
        <v>food mixed</v>
      </c>
      <c r="BF59" t="str">
        <v>Nutrition Expense</v>
      </c>
      <c r="BG59" t="str">
        <f>IFERROR(_xlfn.XLOOKUP($BF59,acct_ref[AccountName],acct_ref[AcctType],"Account Not Found",0),"")</f>
        <v>Expense</v>
      </c>
      <c r="BH59">
        <f t="shared" si="6"/>
        <v>0</v>
      </c>
      <c r="BI59">
        <f t="shared" si="12"/>
        <v>-27.4</v>
      </c>
      <c r="BN59" s="165" t="s">
        <v>197</v>
      </c>
      <c r="BV59">
        <v>38.619999999999997</v>
      </c>
      <c r="CA59">
        <v>38.619999999999997</v>
      </c>
    </row>
    <row r="60" spans="15:79" x14ac:dyDescent="0.25">
      <c r="V60" s="115"/>
      <c r="W60" s="115"/>
      <c r="AF60" s="160" t="str">
        <f>IFERROR(GETPIVOTDATA("Amount",#REF!,"Source","Exp_Plan","Item",$AE60),"")</f>
        <v/>
      </c>
      <c r="AG60" s="159" t="str">
        <f>IFERROR(GETPIVOTDATA("Amount",#REF!,"Source",$D$4,"Item",$AE60),"")</f>
        <v/>
      </c>
      <c r="AH60" t="str">
        <f t="shared" si="13"/>
        <v/>
      </c>
      <c r="AO60" s="161" t="s">
        <v>371</v>
      </c>
      <c r="AP60">
        <v>67</v>
      </c>
      <c r="AU60">
        <v>67</v>
      </c>
      <c r="AW60" t="str">
        <v>Misc Expense</v>
      </c>
      <c r="AX60" t="str">
        <v>Expense</v>
      </c>
      <c r="BE60" t="str">
        <v>groceries</v>
      </c>
      <c r="BF60" t="str">
        <v>Nutrition Expense</v>
      </c>
      <c r="BG60" t="str">
        <f>IFERROR(_xlfn.XLOOKUP($BF60,acct_ref[AccountName],acct_ref[AcctType],"Account Not Found",0),"")</f>
        <v>Expense</v>
      </c>
      <c r="BH60">
        <f t="shared" si="6"/>
        <v>4000</v>
      </c>
      <c r="BI60">
        <f t="shared" si="12"/>
        <v>3011.0799999999986</v>
      </c>
      <c r="BN60" s="165" t="s">
        <v>465</v>
      </c>
      <c r="BV60">
        <v>19.2</v>
      </c>
      <c r="CA60">
        <v>19.2</v>
      </c>
    </row>
    <row r="61" spans="15:79" x14ac:dyDescent="0.25">
      <c r="V61" s="115"/>
      <c r="W61" s="115"/>
      <c r="AF61" s="160" t="str">
        <f>IFERROR(GETPIVOTDATA("Amount",#REF!,"Source","Exp_Plan","Item",$AE61),"")</f>
        <v/>
      </c>
      <c r="AG61" s="159" t="str">
        <f>IFERROR(GETPIVOTDATA("Amount",#REF!,"Source",$D$4,"Item",$AE61),"")</f>
        <v/>
      </c>
      <c r="AH61" t="str">
        <f t="shared" si="13"/>
        <v/>
      </c>
      <c r="AO61" s="161" t="s">
        <v>468</v>
      </c>
      <c r="AP61">
        <v>18.07</v>
      </c>
      <c r="AU61">
        <v>18.07</v>
      </c>
      <c r="AW61" t="str" cm="1">
        <f t="array" ref="AW61:AY61">_xlfn.CHOOSECOLS(_xlfn._xlws.SORT(_xlfn._xlws.FILTER(CalcItemAll,(CalcItemAccountType="Expense")*(CalcItemAccountName="Rent Expense")*(ISNUMBER(CalcItemActual))*(CalcItemActual&lt;&gt;0),""),5,-1),1,5,6)</f>
        <v>rent</v>
      </c>
      <c r="AX61">
        <v>6460</v>
      </c>
      <c r="AY61">
        <v>0</v>
      </c>
      <c r="BE61" t="str">
        <v>nutritional supplements</v>
      </c>
      <c r="BF61" t="str">
        <v>Nutrition Expense</v>
      </c>
      <c r="BG61" t="str">
        <f>IFERROR(_xlfn.XLOOKUP($BF61,acct_ref[AccountName],acct_ref[AcctType],"Account Not Found",0),"")</f>
        <v>Expense</v>
      </c>
      <c r="BH61">
        <f t="shared" si="6"/>
        <v>0</v>
      </c>
      <c r="BI61">
        <f t="shared" si="12"/>
        <v>53.230000000000004</v>
      </c>
      <c r="BN61" s="165" t="s">
        <v>371</v>
      </c>
      <c r="BV61">
        <v>67</v>
      </c>
      <c r="CA61">
        <v>67</v>
      </c>
    </row>
    <row r="62" spans="15:79" x14ac:dyDescent="0.25">
      <c r="V62" s="43"/>
      <c r="AF62" s="160" t="str">
        <f>IFERROR(GETPIVOTDATA("Amount",#REF!,"Source","Exp_Plan","Item",$AE62),"")</f>
        <v/>
      </c>
      <c r="AG62" s="159" t="str">
        <f>IFERROR(GETPIVOTDATA("Amount",#REF!,"Source",$D$4,"Item",$AE62),"")</f>
        <v/>
      </c>
      <c r="AH62" t="str">
        <f t="shared" si="13"/>
        <v/>
      </c>
      <c r="AO62" s="161" t="s">
        <v>469</v>
      </c>
      <c r="AP62">
        <v>148.31</v>
      </c>
      <c r="AU62">
        <v>148.31</v>
      </c>
      <c r="BE62" t="str">
        <v>takeout/restaurant</v>
      </c>
      <c r="BF62" t="str">
        <v>Nutrition Expense</v>
      </c>
      <c r="BG62" t="str">
        <f>IFERROR(_xlfn.XLOOKUP($BF62,acct_ref[AccountName],acct_ref[AcctType],"Account Not Found",0),"")</f>
        <v>Expense</v>
      </c>
      <c r="BH62">
        <f t="shared" si="6"/>
        <v>1055</v>
      </c>
      <c r="BI62">
        <f t="shared" si="12"/>
        <v>1663.0200000000007</v>
      </c>
      <c r="BN62" s="165" t="s">
        <v>468</v>
      </c>
      <c r="BV62">
        <v>18.07</v>
      </c>
      <c r="CA62">
        <v>18.07</v>
      </c>
    </row>
    <row r="63" spans="15:79" x14ac:dyDescent="0.25">
      <c r="V63" s="43"/>
      <c r="AF63" s="160" t="str">
        <f>IFERROR(GETPIVOTDATA("Amount",#REF!,"Source","Exp_Plan","Item",$AE63),"")</f>
        <v/>
      </c>
      <c r="AG63" s="159" t="str">
        <f>IFERROR(GETPIVOTDATA("Amount",#REF!,"Source",$D$4,"Item",$AE63),"")</f>
        <v/>
      </c>
      <c r="AH63" t="str">
        <f t="shared" si="13"/>
        <v/>
      </c>
      <c r="AO63" s="161" t="s">
        <v>249</v>
      </c>
      <c r="AP63">
        <v>11.63</v>
      </c>
      <c r="AU63">
        <v>11.63</v>
      </c>
      <c r="BE63" t="str">
        <v>computer parts</v>
      </c>
      <c r="BF63" t="str">
        <v>Office &amp; Computer Expense</v>
      </c>
      <c r="BG63" t="str">
        <f>IFERROR(_xlfn.XLOOKUP($BF63,acct_ref[AccountName],acct_ref[AcctType],"Account Not Found",0),"")</f>
        <v>Expense</v>
      </c>
      <c r="BH63">
        <f t="shared" si="6"/>
        <v>450</v>
      </c>
      <c r="BI63">
        <f t="shared" si="12"/>
        <v>423.01</v>
      </c>
      <c r="BN63" s="165" t="s">
        <v>469</v>
      </c>
      <c r="BV63">
        <v>148.31</v>
      </c>
      <c r="CA63">
        <v>148.31</v>
      </c>
    </row>
    <row r="64" spans="15:79" x14ac:dyDescent="0.25">
      <c r="V64" s="43"/>
      <c r="AF64" s="160" t="str">
        <f>IFERROR(GETPIVOTDATA("Amount",#REF!,"Source","Exp_Plan","Item",$AE64),"")</f>
        <v/>
      </c>
      <c r="AG64" s="159" t="str">
        <f>IFERROR(GETPIVOTDATA("Amount",#REF!,"Source",$D$4,"Item",$AE64),"")</f>
        <v/>
      </c>
      <c r="AH64" t="str">
        <f t="shared" si="13"/>
        <v/>
      </c>
      <c r="AO64" s="161" t="s">
        <v>189</v>
      </c>
      <c r="AP64">
        <v>68.430000000000007</v>
      </c>
      <c r="AU64">
        <v>68.430000000000007</v>
      </c>
      <c r="BE64" t="str">
        <v>computer peripherals</v>
      </c>
      <c r="BF64" t="str">
        <v>Office &amp; Computer Expense</v>
      </c>
      <c r="BG64" t="str">
        <f>IFERROR(_xlfn.XLOOKUP($BF64,acct_ref[AccountName],acct_ref[AcctType],"Account Not Found",0),"")</f>
        <v>Expense</v>
      </c>
      <c r="BH64">
        <f t="shared" si="6"/>
        <v>0</v>
      </c>
      <c r="BI64">
        <f t="shared" si="12"/>
        <v>56.47</v>
      </c>
      <c r="BN64" s="165" t="s">
        <v>249</v>
      </c>
      <c r="BV64">
        <v>11.63</v>
      </c>
      <c r="CA64">
        <v>11.63</v>
      </c>
    </row>
    <row r="65" spans="20:79" x14ac:dyDescent="0.25">
      <c r="V65" s="43"/>
      <c r="AF65" s="160" t="str">
        <f>IFERROR(GETPIVOTDATA("Amount",#REF!,"Source","Exp_Plan","Item",$AE65),"")</f>
        <v/>
      </c>
      <c r="AG65" s="159" t="str">
        <f>IFERROR(GETPIVOTDATA("Amount",#REF!,"Source",$D$4,"Item",$AE65),"")</f>
        <v/>
      </c>
      <c r="AH65" t="str">
        <f t="shared" si="13"/>
        <v/>
      </c>
      <c r="AO65" s="161" t="s">
        <v>497</v>
      </c>
      <c r="AP65">
        <v>13.55</v>
      </c>
      <c r="AU65">
        <v>13.55</v>
      </c>
      <c r="BE65" t="str">
        <v>computer software</v>
      </c>
      <c r="BF65" t="str">
        <v>Office &amp; Computer Expense</v>
      </c>
      <c r="BG65" t="str">
        <f>IFERROR(_xlfn.XLOOKUP($BF65,acct_ref[AccountName],acct_ref[AcctType],"Account Not Found",0),"")</f>
        <v>Expense</v>
      </c>
      <c r="BH65">
        <f t="shared" si="6"/>
        <v>0</v>
      </c>
      <c r="BI65">
        <f t="shared" si="12"/>
        <v>132.51</v>
      </c>
      <c r="BN65" s="165" t="s">
        <v>189</v>
      </c>
      <c r="BV65">
        <v>42</v>
      </c>
      <c r="BW65">
        <v>26.43</v>
      </c>
      <c r="CA65">
        <v>68.430000000000007</v>
      </c>
    </row>
    <row r="66" spans="20:79" x14ac:dyDescent="0.25">
      <c r="T66" s="43"/>
      <c r="AF66" s="160" t="str">
        <f>IFERROR(GETPIVOTDATA("Amount",#REF!,"Source","Exp_Plan","Item",$AE66),"")</f>
        <v/>
      </c>
      <c r="AG66" s="159" t="str">
        <f>IFERROR(GETPIVOTDATA("Amount",#REF!,"Source",$D$4,"Item",$AE66),"")</f>
        <v/>
      </c>
      <c r="AH66" t="str">
        <f t="shared" si="13"/>
        <v/>
      </c>
      <c r="AO66" s="161" t="s">
        <v>490</v>
      </c>
      <c r="AP66">
        <v>53.230000000000004</v>
      </c>
      <c r="AU66">
        <v>53.230000000000004</v>
      </c>
      <c r="BE66" t="str">
        <v>electronics other</v>
      </c>
      <c r="BF66" t="str">
        <v>Office &amp; Computer Expense</v>
      </c>
      <c r="BG66" t="str">
        <f>IFERROR(_xlfn.XLOOKUP($BF66,acct_ref[AccountName],acct_ref[AcctType],"Account Not Found",0),"")</f>
        <v>Expense</v>
      </c>
      <c r="BH66">
        <f t="shared" si="6"/>
        <v>0</v>
      </c>
      <c r="BI66">
        <f t="shared" si="12"/>
        <v>263.55</v>
      </c>
      <c r="BN66" s="165" t="s">
        <v>497</v>
      </c>
      <c r="BW66">
        <v>13.55</v>
      </c>
      <c r="CA66">
        <v>13.55</v>
      </c>
    </row>
    <row r="67" spans="20:79" x14ac:dyDescent="0.25">
      <c r="T67" s="43"/>
      <c r="AF67" s="160" t="str">
        <f>IFERROR(GETPIVOTDATA("Amount",#REF!,"Source","Exp_Plan","Item",$AE67),"")</f>
        <v/>
      </c>
      <c r="AG67" s="159" t="str">
        <f>IFERROR(GETPIVOTDATA("Amount",#REF!,"Source",$D$4,"Item",$AE67),"")</f>
        <v/>
      </c>
      <c r="AH67" t="str">
        <f t="shared" si="13"/>
        <v/>
      </c>
      <c r="AO67" s="161" t="s">
        <v>498</v>
      </c>
      <c r="AP67">
        <v>230.38</v>
      </c>
      <c r="AU67">
        <v>230.38</v>
      </c>
      <c r="BE67" t="str">
        <v>office supplies</v>
      </c>
      <c r="BF67" t="str">
        <v>Office &amp; Computer Expense</v>
      </c>
      <c r="BG67" t="str">
        <f>IFERROR(_xlfn.XLOOKUP($BF67,acct_ref[AccountName],acct_ref[AcctType],"Account Not Found",0),"")</f>
        <v>Expense</v>
      </c>
      <c r="BH67">
        <f t="shared" si="6"/>
        <v>100</v>
      </c>
      <c r="BI67">
        <f t="shared" si="12"/>
        <v>135.26</v>
      </c>
      <c r="BN67" s="165" t="s">
        <v>490</v>
      </c>
      <c r="BW67">
        <v>53.230000000000004</v>
      </c>
      <c r="CA67">
        <v>53.230000000000004</v>
      </c>
    </row>
    <row r="68" spans="20:79" x14ac:dyDescent="0.25">
      <c r="T68" s="43"/>
      <c r="AF68" s="160" t="str">
        <f>IFERROR(GETPIVOTDATA("Amount",#REF!,"Source","Exp_Plan","Item",$AE68),"")</f>
        <v/>
      </c>
      <c r="AG68" s="159" t="str">
        <f>IFERROR(GETPIVOTDATA("Amount",#REF!,"Source",$D$4,"Item",$AE68),"")</f>
        <v/>
      </c>
      <c r="AH68" t="str">
        <f t="shared" si="13"/>
        <v/>
      </c>
      <c r="AO68" s="161" t="s">
        <v>206</v>
      </c>
      <c r="AP68">
        <v>1157.72</v>
      </c>
      <c r="AU68">
        <v>1157.72</v>
      </c>
      <c r="BE68" t="str">
        <v>sub acronis</v>
      </c>
      <c r="BF68" t="str">
        <v>Office &amp; Computer Expense</v>
      </c>
      <c r="BG68" t="str">
        <f>IFERROR(_xlfn.XLOOKUP($BF68,acct_ref[AccountName],acct_ref[AcctType],"Account Not Found",0),"")</f>
        <v>Expense</v>
      </c>
      <c r="BH68">
        <f t="shared" si="6"/>
        <v>142.99</v>
      </c>
      <c r="BI68">
        <f t="shared" si="12"/>
        <v>161.44999999999999</v>
      </c>
      <c r="BN68" s="165" t="s">
        <v>498</v>
      </c>
      <c r="BW68">
        <v>230.38</v>
      </c>
      <c r="CA68">
        <v>230.38</v>
      </c>
    </row>
    <row r="69" spans="20:79" x14ac:dyDescent="0.25">
      <c r="T69" s="43"/>
      <c r="AF69" s="160" t="str">
        <f>IFERROR(GETPIVOTDATA("Amount",#REF!,"Source","Exp_Plan","Item",$AE69),"")</f>
        <v/>
      </c>
      <c r="AG69" s="159" t="str">
        <f>IFERROR(GETPIVOTDATA("Amount",#REF!,"Source",$D$4,"Item",$AE69),"")</f>
        <v/>
      </c>
      <c r="AH69" t="str">
        <f t="shared" si="13"/>
        <v/>
      </c>
      <c r="AO69" s="41" t="s">
        <v>11</v>
      </c>
      <c r="AP69">
        <v>0</v>
      </c>
      <c r="AU69">
        <v>0</v>
      </c>
      <c r="BE69" t="str">
        <v>sub adobe</v>
      </c>
      <c r="BF69" t="str">
        <v>Office &amp; Computer Expense</v>
      </c>
      <c r="BG69" t="str">
        <f>IFERROR(_xlfn.XLOOKUP($BF69,acct_ref[AccountName],acct_ref[AcctType],"Account Not Found",0),"")</f>
        <v>Expense</v>
      </c>
      <c r="BH69">
        <f t="shared" si="6"/>
        <v>0</v>
      </c>
      <c r="BI69">
        <f t="shared" si="12"/>
        <v>230.38</v>
      </c>
      <c r="BN69" s="165" t="s">
        <v>206</v>
      </c>
      <c r="BW69">
        <v>1157.72</v>
      </c>
      <c r="CA69">
        <v>1157.72</v>
      </c>
    </row>
    <row r="70" spans="20:79" x14ac:dyDescent="0.25">
      <c r="T70" s="43"/>
      <c r="AF70" s="160" t="str">
        <f>IFERROR(GETPIVOTDATA("Amount",#REF!,"Source","Exp_Plan","Item",$AE70),"")</f>
        <v/>
      </c>
      <c r="AG70" s="159" t="str">
        <f>IFERROR(GETPIVOTDATA("Amount",#REF!,"Source",$D$4,"Item",$AE70),"")</f>
        <v/>
      </c>
      <c r="AH70" t="str">
        <f t="shared" si="13"/>
        <v/>
      </c>
      <c r="AO70" s="161" t="s">
        <v>200</v>
      </c>
      <c r="AP70">
        <v>207.5</v>
      </c>
      <c r="AU70">
        <v>207.5</v>
      </c>
      <c r="BE70" t="str">
        <v>sub chatGPT</v>
      </c>
      <c r="BF70" t="str">
        <v>Office &amp; Computer Expense</v>
      </c>
      <c r="BG70" t="str">
        <f>IFERROR(_xlfn.XLOOKUP($BF70,acct_ref[AccountName],acct_ref[AcctType],"Account Not Found",0),"")</f>
        <v>Expense</v>
      </c>
      <c r="BH70">
        <f t="shared" si="6"/>
        <v>287.28000000000009</v>
      </c>
      <c r="BI70">
        <f t="shared" si="12"/>
        <v>190.35999999999999</v>
      </c>
      <c r="BN70" s="41" t="s">
        <v>11</v>
      </c>
      <c r="BO70">
        <v>0.75</v>
      </c>
      <c r="BR70">
        <v>0</v>
      </c>
      <c r="BT70">
        <v>-0.75</v>
      </c>
      <c r="CA70">
        <v>0</v>
      </c>
    </row>
    <row r="71" spans="20:79" x14ac:dyDescent="0.25">
      <c r="T71" s="43"/>
      <c r="AO71" s="161" t="s">
        <v>240</v>
      </c>
      <c r="AP71">
        <v>-208.25</v>
      </c>
      <c r="AU71">
        <v>-208.25</v>
      </c>
      <c r="BE71" t="str">
        <v>sub Github</v>
      </c>
      <c r="BF71" t="str">
        <v>Office &amp; Computer Expense</v>
      </c>
      <c r="BG71" t="str">
        <f>IFERROR(_xlfn.XLOOKUP($BF71,acct_ref[AccountName],acct_ref[AcctType],"Account Not Found",0),"")</f>
        <v>Expense</v>
      </c>
      <c r="BH71">
        <f t="shared" si="6"/>
        <v>114.48</v>
      </c>
      <c r="BI71">
        <f t="shared" si="12"/>
        <v>112.92</v>
      </c>
      <c r="BN71" s="161" t="s">
        <v>333</v>
      </c>
      <c r="BO71">
        <v>0.75</v>
      </c>
      <c r="BR71">
        <v>0</v>
      </c>
      <c r="BT71">
        <v>-0.75</v>
      </c>
      <c r="CA71">
        <v>0</v>
      </c>
    </row>
    <row r="72" spans="20:79" x14ac:dyDescent="0.25">
      <c r="T72" s="43"/>
      <c r="AO72" s="161" t="s">
        <v>459</v>
      </c>
      <c r="AP72">
        <v>0.75</v>
      </c>
      <c r="AU72">
        <v>0.75</v>
      </c>
      <c r="BE72" t="str">
        <v xml:space="preserve">sub iobit driver booster </v>
      </c>
      <c r="BF72" t="str">
        <v>Office &amp; Computer Expense</v>
      </c>
      <c r="BG72" t="str">
        <f>IFERROR(_xlfn.XLOOKUP($BF72,acct_ref[AccountName],acct_ref[AcctType],"Account Not Found",0),"")</f>
        <v>Expense</v>
      </c>
      <c r="BH72">
        <f t="shared" si="6"/>
        <v>31.68</v>
      </c>
      <c r="BI72">
        <f t="shared" si="12"/>
        <v>0</v>
      </c>
      <c r="BN72" s="165" t="s">
        <v>200</v>
      </c>
      <c r="BR72">
        <v>207.5</v>
      </c>
      <c r="CA72">
        <v>207.5</v>
      </c>
    </row>
    <row r="73" spans="20:79" x14ac:dyDescent="0.25">
      <c r="T73" s="43"/>
      <c r="AO73" s="41" t="s">
        <v>105</v>
      </c>
      <c r="AP73">
        <v>10</v>
      </c>
      <c r="AU73">
        <v>10</v>
      </c>
      <c r="BE73" t="str">
        <v>sub iobit mix</v>
      </c>
      <c r="BF73" t="str">
        <v>Office &amp; Computer Expense</v>
      </c>
      <c r="BG73" t="str">
        <f>IFERROR(_xlfn.XLOOKUP($BF73,acct_ref[AccountName],acct_ref[AcctType],"Account Not Found",0),"")</f>
        <v>Expense</v>
      </c>
      <c r="BH73">
        <f t="shared" si="6"/>
        <v>0</v>
      </c>
      <c r="BI73">
        <f t="shared" si="12"/>
        <v>139.22999999999999</v>
      </c>
      <c r="BN73" s="165" t="s">
        <v>240</v>
      </c>
      <c r="BR73">
        <v>-207.5</v>
      </c>
      <c r="BT73">
        <v>-0.75</v>
      </c>
      <c r="CA73">
        <v>-208.25</v>
      </c>
    </row>
    <row r="74" spans="20:79" x14ac:dyDescent="0.25">
      <c r="T74" s="43"/>
      <c r="AO74" s="161" t="s">
        <v>344</v>
      </c>
      <c r="AP74">
        <v>0</v>
      </c>
      <c r="AU74">
        <v>0</v>
      </c>
      <c r="BE74" t="str">
        <v xml:space="preserve">sub iobit system care </v>
      </c>
      <c r="BF74" t="str">
        <v>Office &amp; Computer Expense</v>
      </c>
      <c r="BG74" t="str">
        <f>IFERROR(_xlfn.XLOOKUP($BF74,acct_ref[AccountName],acct_ref[AcctType],"Account Not Found",0),"")</f>
        <v>Expense</v>
      </c>
      <c r="BH74">
        <f t="shared" ref="BH74:BH137" si="14">IFERROR(IF($BG74="Revenue",GETPIVOTDATA("Amount",$AO$9,"Source","Inc_Plan","Account",$BF74,"Item",$BE74),
IF($BG74="Expense",SUM(GETPIVOTDATA("Amount",$AO$9,"Source","Exp_Plan","Account",$BF74,"Item",$BE74),GETPIVOTDATA("Amount",$AO$9,"Source","Shop_List","Account",$BF74,"Item",$BE74)),0)),0)</f>
        <v>41.4</v>
      </c>
      <c r="BI74">
        <f t="shared" ref="BI74:BI105" si="15">IFERROR(GETPIVOTDATA("Amount",$AO$9,"Source","Actual","Account",$BF74,"Item",$BE74),0)</f>
        <v>0</v>
      </c>
      <c r="BN74" s="165" t="s">
        <v>459</v>
      </c>
      <c r="BO74">
        <v>0.75</v>
      </c>
      <c r="CA74">
        <v>0.75</v>
      </c>
    </row>
    <row r="75" spans="20:79" x14ac:dyDescent="0.25">
      <c r="T75" s="43"/>
      <c r="AO75" s="161" t="s">
        <v>466</v>
      </c>
      <c r="AP75">
        <v>10</v>
      </c>
      <c r="AU75">
        <v>10</v>
      </c>
      <c r="BE75" t="str">
        <v xml:space="preserve">sub iobit uninstaller </v>
      </c>
      <c r="BF75" t="str">
        <v>Office &amp; Computer Expense</v>
      </c>
      <c r="BG75" t="str">
        <f>IFERROR(_xlfn.XLOOKUP($BF75,acct_ref[AccountName],acct_ref[AcctType],"Account Not Found",0),"")</f>
        <v>Expense</v>
      </c>
      <c r="BH75">
        <f t="shared" si="14"/>
        <v>27.59</v>
      </c>
      <c r="BI75">
        <f t="shared" si="15"/>
        <v>0</v>
      </c>
      <c r="BN75" s="41" t="s">
        <v>105</v>
      </c>
      <c r="BR75">
        <v>0</v>
      </c>
      <c r="BS75">
        <v>0</v>
      </c>
      <c r="BU75">
        <v>13.5</v>
      </c>
      <c r="BV75">
        <v>-3.5</v>
      </c>
      <c r="CA75">
        <v>10</v>
      </c>
    </row>
    <row r="76" spans="20:79" x14ac:dyDescent="0.25">
      <c r="T76" s="43"/>
      <c r="AO76" s="41" t="s">
        <v>323</v>
      </c>
      <c r="AP76">
        <v>30</v>
      </c>
      <c r="AU76">
        <v>30</v>
      </c>
      <c r="BE76" t="str">
        <v>sub office 365</v>
      </c>
      <c r="BF76" t="str">
        <v>Office &amp; Computer Expense</v>
      </c>
      <c r="BG76" t="str">
        <f>IFERROR(_xlfn.XLOOKUP($BF76,acct_ref[AccountName],acct_ref[AcctType],"Account Not Found",0),"")</f>
        <v>Expense</v>
      </c>
      <c r="BH76">
        <f t="shared" si="14"/>
        <v>123.17</v>
      </c>
      <c r="BI76">
        <f t="shared" si="15"/>
        <v>123.17</v>
      </c>
      <c r="BN76" s="161" t="s">
        <v>333</v>
      </c>
      <c r="BR76">
        <v>0</v>
      </c>
      <c r="BS76">
        <v>0</v>
      </c>
      <c r="BU76">
        <v>13.5</v>
      </c>
      <c r="BV76">
        <v>-3.5</v>
      </c>
      <c r="CA76">
        <v>10</v>
      </c>
    </row>
    <row r="77" spans="20:79" x14ac:dyDescent="0.25">
      <c r="T77" s="43"/>
      <c r="AO77" s="161" t="s">
        <v>344</v>
      </c>
      <c r="AP77">
        <v>0</v>
      </c>
      <c r="AU77">
        <v>0</v>
      </c>
      <c r="BE77" t="str">
        <v>bill phone</v>
      </c>
      <c r="BF77" t="str">
        <v>Phone Expense</v>
      </c>
      <c r="BG77" t="str">
        <f>IFERROR(_xlfn.XLOOKUP($BF77,acct_ref[AccountName],acct_ref[AcctType],"Account Not Found",0),"")</f>
        <v>Expense</v>
      </c>
      <c r="BH77">
        <f t="shared" si="14"/>
        <v>680</v>
      </c>
      <c r="BI77">
        <f t="shared" si="15"/>
        <v>513.36</v>
      </c>
      <c r="BN77" s="165" t="s">
        <v>344</v>
      </c>
      <c r="BR77">
        <v>0</v>
      </c>
      <c r="BS77">
        <v>0</v>
      </c>
      <c r="BU77">
        <v>13.5</v>
      </c>
      <c r="BV77">
        <v>-13.5</v>
      </c>
      <c r="CA77">
        <v>0</v>
      </c>
    </row>
    <row r="78" spans="20:79" x14ac:dyDescent="0.25">
      <c r="T78" s="43"/>
      <c r="AO78" s="161" t="s">
        <v>339</v>
      </c>
      <c r="AP78">
        <v>30</v>
      </c>
      <c r="AU78">
        <v>30</v>
      </c>
      <c r="BE78" t="str">
        <v>phone maintenance</v>
      </c>
      <c r="BF78" t="str">
        <v>Phone Expense</v>
      </c>
      <c r="BG78" t="str">
        <f>IFERROR(_xlfn.XLOOKUP($BF78,acct_ref[AccountName],acct_ref[AcctType],"Account Not Found",0),"")</f>
        <v>Expense</v>
      </c>
      <c r="BH78">
        <f t="shared" si="14"/>
        <v>0</v>
      </c>
      <c r="BI78">
        <f t="shared" si="15"/>
        <v>90.4</v>
      </c>
      <c r="BN78" s="165" t="s">
        <v>466</v>
      </c>
      <c r="BV78">
        <v>10</v>
      </c>
      <c r="CA78">
        <v>10</v>
      </c>
    </row>
    <row r="79" spans="20:79" x14ac:dyDescent="0.25">
      <c r="T79" s="43"/>
      <c r="AO79" s="161" t="s">
        <v>193</v>
      </c>
      <c r="AP79">
        <v>0</v>
      </c>
      <c r="AU79">
        <v>0</v>
      </c>
      <c r="BE79" t="str">
        <v>phone parts</v>
      </c>
      <c r="BF79" t="str">
        <v>Phone Expense</v>
      </c>
      <c r="BG79" t="str">
        <f>IFERROR(_xlfn.XLOOKUP($BF79,acct_ref[AccountName],acct_ref[AcctType],"Account Not Found",0),"")</f>
        <v>Expense</v>
      </c>
      <c r="BH79">
        <f t="shared" si="14"/>
        <v>0</v>
      </c>
      <c r="BI79">
        <f t="shared" si="15"/>
        <v>18.07</v>
      </c>
      <c r="BN79" s="41" t="s">
        <v>323</v>
      </c>
      <c r="BU79">
        <v>86</v>
      </c>
      <c r="BV79">
        <v>-56</v>
      </c>
      <c r="BW79">
        <v>0</v>
      </c>
      <c r="CA79">
        <v>30</v>
      </c>
    </row>
    <row r="80" spans="20:79" x14ac:dyDescent="0.25">
      <c r="T80" s="43"/>
      <c r="AO80" s="41" t="s">
        <v>8</v>
      </c>
      <c r="AP80">
        <v>5084.9599999999991</v>
      </c>
      <c r="AQ80">
        <v>820</v>
      </c>
      <c r="AU80">
        <v>5904.9599999999991</v>
      </c>
      <c r="BE80" t="str">
        <v>purchase return</v>
      </c>
      <c r="BF80" t="str">
        <v>Purchase Returns</v>
      </c>
      <c r="BG80" t="str">
        <f>IFERROR(_xlfn.XLOOKUP($BF80,acct_ref[AccountName],acct_ref[AcctType],"Account Not Found",0),"")</f>
        <v>Revenue</v>
      </c>
      <c r="BH80">
        <f t="shared" si="14"/>
        <v>0</v>
      </c>
      <c r="BI80">
        <f t="shared" si="15"/>
        <v>0</v>
      </c>
      <c r="BK80" t="e">
        <f>GETPIVOTDATA("Amount",$AO$9,"Source","Exp_Plan","Item",$BE80)</f>
        <v>#REF!</v>
      </c>
      <c r="BN80" s="161" t="s">
        <v>333</v>
      </c>
      <c r="BU80">
        <v>86</v>
      </c>
      <c r="BV80">
        <v>-56</v>
      </c>
      <c r="BW80">
        <v>0</v>
      </c>
      <c r="CA80">
        <v>30</v>
      </c>
    </row>
    <row r="81" spans="20:79" x14ac:dyDescent="0.25">
      <c r="T81" s="43"/>
      <c r="AO81" s="161" t="s">
        <v>200</v>
      </c>
      <c r="AP81">
        <v>384.85999999999996</v>
      </c>
      <c r="AU81">
        <v>384.85999999999996</v>
      </c>
      <c r="BE81" t="str">
        <v>rent</v>
      </c>
      <c r="BF81" t="str">
        <v>Rent Expense</v>
      </c>
      <c r="BG81" t="str">
        <f>IFERROR(_xlfn.XLOOKUP($BF81,acct_ref[AccountName],acct_ref[AcctType],"Account Not Found",0),"")</f>
        <v>Expense</v>
      </c>
      <c r="BH81">
        <f t="shared" si="14"/>
        <v>1700</v>
      </c>
      <c r="BI81">
        <f t="shared" si="15"/>
        <v>6460</v>
      </c>
      <c r="BN81" s="165" t="s">
        <v>344</v>
      </c>
      <c r="BU81">
        <v>0</v>
      </c>
      <c r="CA81">
        <v>0</v>
      </c>
    </row>
    <row r="82" spans="20:79" x14ac:dyDescent="0.25">
      <c r="T82" s="43"/>
      <c r="AO82" s="161" t="s">
        <v>201</v>
      </c>
      <c r="AP82">
        <v>4700.0999999999995</v>
      </c>
      <c r="AQ82">
        <v>820</v>
      </c>
      <c r="AU82">
        <v>5520.0999999999995</v>
      </c>
      <c r="BE82" t="str">
        <v>rent adjustment</v>
      </c>
      <c r="BF82" t="str">
        <v>Rent Expense</v>
      </c>
      <c r="BG82" t="str">
        <f>IFERROR(_xlfn.XLOOKUP($BF82,acct_ref[AccountName],acct_ref[AcctType],"Account Not Found",0),"")</f>
        <v>Expense</v>
      </c>
      <c r="BH82">
        <f t="shared" si="14"/>
        <v>0</v>
      </c>
      <c r="BI82">
        <f t="shared" si="15"/>
        <v>0</v>
      </c>
      <c r="BN82" s="165" t="s">
        <v>339</v>
      </c>
      <c r="BU82">
        <v>86</v>
      </c>
      <c r="BV82">
        <v>-56</v>
      </c>
      <c r="BW82">
        <v>0</v>
      </c>
      <c r="CA82">
        <v>30</v>
      </c>
    </row>
    <row r="83" spans="20:79" x14ac:dyDescent="0.25">
      <c r="T83" s="43"/>
      <c r="AO83" s="41" t="s">
        <v>2</v>
      </c>
      <c r="AP83">
        <v>74.669999999999945</v>
      </c>
      <c r="AU83">
        <v>74.669999999999945</v>
      </c>
      <c r="BE83" t="str">
        <v>bursary</v>
      </c>
      <c r="BF83" t="str">
        <v>Revenue Other</v>
      </c>
      <c r="BG83" t="str">
        <f>IFERROR(_xlfn.XLOOKUP($BF83,acct_ref[AccountName],acct_ref[AcctType],"Account Not Found",0),"")</f>
        <v>Revenue</v>
      </c>
      <c r="BH83">
        <f t="shared" si="14"/>
        <v>0</v>
      </c>
      <c r="BI83">
        <f t="shared" si="15"/>
        <v>750</v>
      </c>
      <c r="BN83" s="165" t="s">
        <v>193</v>
      </c>
      <c r="BW83">
        <v>0</v>
      </c>
      <c r="CA83">
        <v>0</v>
      </c>
    </row>
    <row r="84" spans="20:79" x14ac:dyDescent="0.25">
      <c r="T84" s="43"/>
      <c r="AO84" s="161" t="s">
        <v>200</v>
      </c>
      <c r="AP84">
        <v>-20.18</v>
      </c>
      <c r="AU84">
        <v>-20.18</v>
      </c>
      <c r="BE84" t="str">
        <v>credit balance debit</v>
      </c>
      <c r="BF84" t="str">
        <v>Revenue Other</v>
      </c>
      <c r="BG84" t="str">
        <f>IFERROR(_xlfn.XLOOKUP($BF84,acct_ref[AccountName],acct_ref[AcctType],"Account Not Found",0),"")</f>
        <v>Revenue</v>
      </c>
      <c r="BH84">
        <f t="shared" si="14"/>
        <v>0</v>
      </c>
      <c r="BI84">
        <f t="shared" si="15"/>
        <v>0</v>
      </c>
      <c r="BN84" s="41" t="s">
        <v>8</v>
      </c>
      <c r="BO84">
        <v>587.57000000000016</v>
      </c>
      <c r="BP84">
        <v>460.92</v>
      </c>
      <c r="BQ84">
        <v>17.23</v>
      </c>
      <c r="BR84">
        <v>598.70000000000005</v>
      </c>
      <c r="BS84">
        <v>1010.03</v>
      </c>
      <c r="BT84">
        <v>1312.2600000000002</v>
      </c>
      <c r="BU84">
        <v>280.78999999999996</v>
      </c>
      <c r="BV84">
        <v>1516.01</v>
      </c>
      <c r="BW84">
        <v>121.44999999999999</v>
      </c>
      <c r="CA84">
        <v>5904.96</v>
      </c>
    </row>
    <row r="85" spans="20:79" x14ac:dyDescent="0.25">
      <c r="T85" s="43"/>
      <c r="AO85" s="161" t="s">
        <v>201</v>
      </c>
      <c r="AP85">
        <v>-410.79999999999995</v>
      </c>
      <c r="AU85">
        <v>-410.79999999999995</v>
      </c>
      <c r="BE85" t="str">
        <v>insurance claim</v>
      </c>
      <c r="BF85" t="str">
        <v>Revenue Other</v>
      </c>
      <c r="BG85" t="str">
        <f>IFERROR(_xlfn.XLOOKUP($BF85,acct_ref[AccountName],acct_ref[AcctType],"Account Not Found",0),"")</f>
        <v>Revenue</v>
      </c>
      <c r="BH85">
        <f t="shared" si="14"/>
        <v>0</v>
      </c>
      <c r="BI85">
        <f t="shared" si="15"/>
        <v>500</v>
      </c>
      <c r="BN85" s="161" t="s">
        <v>333</v>
      </c>
      <c r="BO85">
        <v>587.57000000000016</v>
      </c>
      <c r="BP85">
        <v>460.92</v>
      </c>
      <c r="BQ85">
        <v>17.23</v>
      </c>
      <c r="BR85">
        <v>598.70000000000005</v>
      </c>
      <c r="BS85">
        <v>1010.03</v>
      </c>
      <c r="BT85">
        <v>1312.2600000000002</v>
      </c>
      <c r="BU85">
        <v>160.79</v>
      </c>
      <c r="BV85">
        <v>816.01</v>
      </c>
      <c r="BW85">
        <v>121.44999999999999</v>
      </c>
      <c r="CA85">
        <v>5084.96</v>
      </c>
    </row>
    <row r="86" spans="20:79" x14ac:dyDescent="0.25">
      <c r="T86" s="43"/>
      <c r="AO86" s="161" t="s">
        <v>209</v>
      </c>
      <c r="AP86">
        <v>-28.24</v>
      </c>
      <c r="AU86">
        <v>-28.24</v>
      </c>
      <c r="BE86" t="str">
        <v>personal sales</v>
      </c>
      <c r="BF86" t="str">
        <v>Revenue Other</v>
      </c>
      <c r="BG86" t="str">
        <f>IFERROR(_xlfn.XLOOKUP($BF86,acct_ref[AccountName],acct_ref[AcctType],"Account Not Found",0),"")</f>
        <v>Revenue</v>
      </c>
      <c r="BH86">
        <f t="shared" si="14"/>
        <v>0</v>
      </c>
      <c r="BI86">
        <f t="shared" si="15"/>
        <v>45</v>
      </c>
      <c r="BN86" s="165" t="s">
        <v>200</v>
      </c>
      <c r="BO86">
        <v>10.71</v>
      </c>
      <c r="BP86">
        <v>7.43</v>
      </c>
      <c r="BQ86">
        <v>17.23</v>
      </c>
      <c r="BR86">
        <v>33.589999999999996</v>
      </c>
      <c r="BS86">
        <v>22.439999999999998</v>
      </c>
      <c r="BT86">
        <v>38.68</v>
      </c>
      <c r="BU86">
        <v>78.91</v>
      </c>
      <c r="BV86">
        <v>54.419999999999995</v>
      </c>
      <c r="BW86">
        <v>121.44999999999999</v>
      </c>
      <c r="CA86">
        <v>384.86</v>
      </c>
    </row>
    <row r="87" spans="20:79" x14ac:dyDescent="0.25">
      <c r="T87" s="43"/>
      <c r="AO87" s="161" t="s">
        <v>186</v>
      </c>
      <c r="AP87">
        <v>-40</v>
      </c>
      <c r="AU87">
        <v>-40</v>
      </c>
      <c r="BE87" t="str">
        <v>revenue interest</v>
      </c>
      <c r="BF87" t="str">
        <v>Revenue Other</v>
      </c>
      <c r="BG87" t="str">
        <f>IFERROR(_xlfn.XLOOKUP($BF87,acct_ref[AccountName],acct_ref[AcctType],"Account Not Found",0),"")</f>
        <v>Revenue</v>
      </c>
      <c r="BH87">
        <f t="shared" si="14"/>
        <v>0</v>
      </c>
      <c r="BI87">
        <f t="shared" si="15"/>
        <v>0.28000000000000003</v>
      </c>
      <c r="BN87" s="165" t="s">
        <v>201</v>
      </c>
      <c r="BO87">
        <v>576.86000000000013</v>
      </c>
      <c r="BP87">
        <v>453.49</v>
      </c>
      <c r="BR87">
        <v>565.11</v>
      </c>
      <c r="BS87">
        <v>987.58999999999992</v>
      </c>
      <c r="BT87">
        <v>1273.5800000000002</v>
      </c>
      <c r="BU87">
        <v>81.88</v>
      </c>
      <c r="BV87">
        <v>761.59</v>
      </c>
      <c r="CA87">
        <v>4700.1000000000004</v>
      </c>
    </row>
    <row r="88" spans="20:79" x14ac:dyDescent="0.25">
      <c r="T88" s="43"/>
      <c r="AO88" s="161" t="s">
        <v>348</v>
      </c>
      <c r="AP88">
        <v>0</v>
      </c>
      <c r="AU88">
        <v>0</v>
      </c>
      <c r="BE88" t="str">
        <v>revenue misc</v>
      </c>
      <c r="BF88" t="str">
        <v>Revenue Other</v>
      </c>
      <c r="BG88" t="str">
        <f>IFERROR(_xlfn.XLOOKUP($BF88,acct_ref[AccountName],acct_ref[AcctType],"Account Not Found",0),"")</f>
        <v>Revenue</v>
      </c>
      <c r="BH88">
        <f t="shared" si="14"/>
        <v>0</v>
      </c>
      <c r="BI88">
        <f t="shared" si="15"/>
        <v>0</v>
      </c>
      <c r="BN88" s="161" t="s">
        <v>350</v>
      </c>
      <c r="BU88">
        <v>120</v>
      </c>
      <c r="BV88">
        <v>700</v>
      </c>
      <c r="CA88">
        <v>820</v>
      </c>
    </row>
    <row r="89" spans="20:79" x14ac:dyDescent="0.25">
      <c r="T89" s="43"/>
      <c r="AO89" s="161" t="s">
        <v>185</v>
      </c>
      <c r="BE89" t="str">
        <v>unknown revenue</v>
      </c>
      <c r="BF89" t="str">
        <v>Revenue Other</v>
      </c>
      <c r="BG89" t="str">
        <f>IFERROR(_xlfn.XLOOKUP($BF89,acct_ref[AccountName],acct_ref[AcctType],"Account Not Found",0),"")</f>
        <v>Revenue</v>
      </c>
      <c r="BH89">
        <f t="shared" si="14"/>
        <v>0</v>
      </c>
      <c r="BI89">
        <f t="shared" si="15"/>
        <v>70</v>
      </c>
      <c r="BN89" s="165" t="s">
        <v>201</v>
      </c>
      <c r="BU89">
        <v>120</v>
      </c>
      <c r="BV89">
        <v>700</v>
      </c>
      <c r="CA89">
        <v>820</v>
      </c>
    </row>
    <row r="90" spans="20:79" x14ac:dyDescent="0.25">
      <c r="T90" s="43"/>
      <c r="AO90" s="161" t="s">
        <v>344</v>
      </c>
      <c r="AP90">
        <v>70</v>
      </c>
      <c r="AU90">
        <v>70</v>
      </c>
      <c r="BE90" t="str">
        <v>salary qch</v>
      </c>
      <c r="BF90" t="str">
        <v>Salary Revenue</v>
      </c>
      <c r="BG90" t="str">
        <f>IFERROR(_xlfn.XLOOKUP($BF90,acct_ref[AccountName],acct_ref[AcctType],"Account Not Found",0),"")</f>
        <v>Revenue</v>
      </c>
      <c r="BH90">
        <f t="shared" si="14"/>
        <v>11600</v>
      </c>
      <c r="BI90">
        <f t="shared" si="15"/>
        <v>17586.84</v>
      </c>
      <c r="BN90" s="41" t="s">
        <v>2</v>
      </c>
      <c r="BO90">
        <v>-116.58</v>
      </c>
      <c r="BP90">
        <v>-27</v>
      </c>
      <c r="BR90">
        <v>-44.37</v>
      </c>
      <c r="BS90">
        <v>-2.0500000000000007</v>
      </c>
      <c r="BT90">
        <v>55</v>
      </c>
      <c r="BU90">
        <v>70</v>
      </c>
      <c r="BV90">
        <v>1184.6000000000001</v>
      </c>
      <c r="BW90">
        <v>-1044.93</v>
      </c>
      <c r="CA90">
        <v>74.669999999999945</v>
      </c>
    </row>
    <row r="91" spans="20:79" x14ac:dyDescent="0.25">
      <c r="T91" s="43"/>
      <c r="AO91" s="161" t="s">
        <v>232</v>
      </c>
      <c r="AP91">
        <v>-130</v>
      </c>
      <c r="AU91">
        <v>-130</v>
      </c>
      <c r="BE91" t="str">
        <v>art</v>
      </c>
      <c r="BF91" t="str">
        <v>Self-Care Expense</v>
      </c>
      <c r="BG91" t="str">
        <f>IFERROR(_xlfn.XLOOKUP($BF91,acct_ref[AccountName],acct_ref[AcctType],"Account Not Found",0),"")</f>
        <v>Expense</v>
      </c>
      <c r="BH91">
        <f t="shared" si="14"/>
        <v>0</v>
      </c>
      <c r="BI91">
        <f t="shared" si="15"/>
        <v>0</v>
      </c>
      <c r="BN91" s="161" t="s">
        <v>333</v>
      </c>
      <c r="BO91">
        <v>-116.58</v>
      </c>
      <c r="BP91">
        <v>-27</v>
      </c>
      <c r="BR91">
        <v>-44.37</v>
      </c>
      <c r="BS91">
        <v>-2.0500000000000007</v>
      </c>
      <c r="BT91">
        <v>55</v>
      </c>
      <c r="BU91">
        <v>70</v>
      </c>
      <c r="BV91">
        <v>1184.6000000000001</v>
      </c>
      <c r="BW91">
        <v>-1044.93</v>
      </c>
      <c r="CA91">
        <v>74.669999999999945</v>
      </c>
    </row>
    <row r="92" spans="20:79" x14ac:dyDescent="0.25">
      <c r="T92" s="43"/>
      <c r="AO92" s="161" t="s">
        <v>235</v>
      </c>
      <c r="AP92">
        <v>-56.33</v>
      </c>
      <c r="AU92">
        <v>-56.33</v>
      </c>
      <c r="BE92" t="str">
        <v>books</v>
      </c>
      <c r="BF92" t="str">
        <v>Self-Care Expense</v>
      </c>
      <c r="BG92" t="str">
        <f>IFERROR(_xlfn.XLOOKUP($BF92,acct_ref[AccountName],acct_ref[AcctType],"Account Not Found",0),"")</f>
        <v>Expense</v>
      </c>
      <c r="BH92">
        <f t="shared" si="14"/>
        <v>0</v>
      </c>
      <c r="BI92">
        <f t="shared" si="15"/>
        <v>0</v>
      </c>
      <c r="BN92" s="165" t="s">
        <v>200</v>
      </c>
      <c r="BV92">
        <v>-2.4</v>
      </c>
      <c r="BW92">
        <v>-17.78</v>
      </c>
      <c r="CA92">
        <v>-20.18</v>
      </c>
    </row>
    <row r="93" spans="20:79" x14ac:dyDescent="0.25">
      <c r="T93" s="43"/>
      <c r="AO93" s="161" t="s">
        <v>244</v>
      </c>
      <c r="AP93">
        <v>-27</v>
      </c>
      <c r="AU93">
        <v>-27</v>
      </c>
      <c r="BE93" t="str">
        <v>clothes</v>
      </c>
      <c r="BF93" t="str">
        <v>Self-Care Expense</v>
      </c>
      <c r="BG93" t="str">
        <f>IFERROR(_xlfn.XLOOKUP($BF93,acct_ref[AccountName],acct_ref[AcctType],"Account Not Found",0),"")</f>
        <v>Expense</v>
      </c>
      <c r="BH93">
        <f t="shared" si="14"/>
        <v>0</v>
      </c>
      <c r="BI93">
        <f t="shared" si="15"/>
        <v>288.31</v>
      </c>
      <c r="BN93" s="165" t="s">
        <v>201</v>
      </c>
      <c r="BT93">
        <v>200</v>
      </c>
      <c r="BV93">
        <v>-610.79999999999995</v>
      </c>
      <c r="CA93">
        <v>-410.79999999999995</v>
      </c>
    </row>
    <row r="94" spans="20:79" x14ac:dyDescent="0.25">
      <c r="T94" s="43"/>
      <c r="AO94" s="161" t="s">
        <v>252</v>
      </c>
      <c r="AP94">
        <v>700</v>
      </c>
      <c r="AU94">
        <v>700</v>
      </c>
      <c r="BE94" t="str">
        <v>date solo</v>
      </c>
      <c r="BF94" t="str">
        <v>Self-Care Expense</v>
      </c>
      <c r="BG94" t="str">
        <f>IFERROR(_xlfn.XLOOKUP($BF94,acct_ref[AccountName],acct_ref[AcctType],"Account Not Found",0),"")</f>
        <v>Expense</v>
      </c>
      <c r="BH94">
        <f t="shared" si="14"/>
        <v>0</v>
      </c>
      <c r="BI94">
        <f t="shared" si="15"/>
        <v>0</v>
      </c>
      <c r="BN94" s="165" t="s">
        <v>209</v>
      </c>
      <c r="BR94">
        <v>-28.24</v>
      </c>
      <c r="CA94">
        <v>-28.24</v>
      </c>
    </row>
    <row r="95" spans="20:79" x14ac:dyDescent="0.25">
      <c r="T95" s="43"/>
      <c r="AO95" s="161" t="s">
        <v>435</v>
      </c>
      <c r="AP95">
        <v>160</v>
      </c>
      <c r="AU95">
        <v>160</v>
      </c>
      <c r="BE95" t="str">
        <v>donation yuumei</v>
      </c>
      <c r="BF95" t="str">
        <v>Self-Care Expense</v>
      </c>
      <c r="BG95" t="str">
        <f>IFERROR(_xlfn.XLOOKUP($BF95,acct_ref[AccountName],acct_ref[AcctType],"Account Not Found",0),"")</f>
        <v>Expense</v>
      </c>
      <c r="BH95">
        <f t="shared" si="14"/>
        <v>92.29</v>
      </c>
      <c r="BI95">
        <f t="shared" si="15"/>
        <v>75.510000000000005</v>
      </c>
      <c r="BN95" s="165" t="s">
        <v>186</v>
      </c>
      <c r="BT95">
        <v>-15</v>
      </c>
      <c r="BV95">
        <v>-25</v>
      </c>
      <c r="CA95">
        <v>-40</v>
      </c>
    </row>
    <row r="96" spans="20:79" x14ac:dyDescent="0.25">
      <c r="T96" s="43"/>
      <c r="AO96" s="161" t="s">
        <v>467</v>
      </c>
      <c r="AP96">
        <v>-22.2</v>
      </c>
      <c r="AU96">
        <v>-22.2</v>
      </c>
      <c r="BE96" t="str">
        <v>games</v>
      </c>
      <c r="BF96" t="str">
        <v>Self-Care Expense</v>
      </c>
      <c r="BG96" t="str">
        <f>IFERROR(_xlfn.XLOOKUP($BF96,acct_ref[AccountName],acct_ref[AcctType],"Account Not Found",0),"")</f>
        <v>Expense</v>
      </c>
      <c r="BH96">
        <f t="shared" si="14"/>
        <v>0</v>
      </c>
      <c r="BI96">
        <f t="shared" si="15"/>
        <v>27.31</v>
      </c>
      <c r="BN96" s="165" t="s">
        <v>348</v>
      </c>
      <c r="BV96">
        <v>1000</v>
      </c>
      <c r="BW96">
        <v>-1000</v>
      </c>
      <c r="CA96">
        <v>0</v>
      </c>
    </row>
    <row r="97" spans="20:79" x14ac:dyDescent="0.25">
      <c r="T97" s="43"/>
      <c r="AO97" s="161" t="s">
        <v>335</v>
      </c>
      <c r="AP97">
        <v>-4</v>
      </c>
      <c r="AU97">
        <v>-4</v>
      </c>
      <c r="BE97" t="str">
        <v>hygiene products</v>
      </c>
      <c r="BF97" t="str">
        <v>Self-Care Expense</v>
      </c>
      <c r="BG97" t="str">
        <f>IFERROR(_xlfn.XLOOKUP($BF97,acct_ref[AccountName],acct_ref[AcctType],"Account Not Found",0),"")</f>
        <v>Expense</v>
      </c>
      <c r="BH97">
        <f t="shared" si="14"/>
        <v>0</v>
      </c>
      <c r="BI97">
        <f t="shared" si="15"/>
        <v>98.12</v>
      </c>
      <c r="BN97" s="165" t="s">
        <v>185</v>
      </c>
    </row>
    <row r="98" spans="20:79" x14ac:dyDescent="0.25">
      <c r="T98" s="43"/>
      <c r="AO98" s="161" t="s">
        <v>470</v>
      </c>
      <c r="AP98">
        <v>-116.58</v>
      </c>
      <c r="AU98">
        <v>-116.58</v>
      </c>
      <c r="BE98" t="str">
        <v>life insurance</v>
      </c>
      <c r="BF98" t="str">
        <v>Self-Care Expense</v>
      </c>
      <c r="BG98" t="str">
        <f>IFERROR(_xlfn.XLOOKUP($BF98,acct_ref[AccountName],acct_ref[AcctType],"Account Not Found",0),"")</f>
        <v>Expense</v>
      </c>
      <c r="BH98">
        <f t="shared" si="14"/>
        <v>0</v>
      </c>
      <c r="BI98">
        <f t="shared" si="15"/>
        <v>0</v>
      </c>
      <c r="BN98" s="165" t="s">
        <v>344</v>
      </c>
      <c r="BU98">
        <v>70</v>
      </c>
      <c r="CA98">
        <v>70</v>
      </c>
    </row>
    <row r="99" spans="20:79" x14ac:dyDescent="0.25">
      <c r="T99" s="43"/>
      <c r="AO99" s="41" t="s">
        <v>27</v>
      </c>
      <c r="AP99">
        <v>4671.4399999999969</v>
      </c>
      <c r="AU99">
        <v>4671.4399999999969</v>
      </c>
      <c r="BE99" t="str">
        <v>medication</v>
      </c>
      <c r="BF99" t="str">
        <v>Self-Care Expense</v>
      </c>
      <c r="BG99" t="str">
        <f>IFERROR(_xlfn.XLOOKUP($BF99,acct_ref[AccountName],acct_ref[AcctType],"Account Not Found",0),"")</f>
        <v>Expense</v>
      </c>
      <c r="BH99">
        <f t="shared" si="14"/>
        <v>0</v>
      </c>
      <c r="BI99">
        <f t="shared" si="15"/>
        <v>32.53</v>
      </c>
      <c r="BN99" s="165" t="s">
        <v>232</v>
      </c>
      <c r="BT99">
        <v>-130</v>
      </c>
      <c r="CA99">
        <v>-130</v>
      </c>
    </row>
    <row r="100" spans="20:79" x14ac:dyDescent="0.25">
      <c r="T100" s="43"/>
      <c r="AO100" s="161" t="s">
        <v>200</v>
      </c>
      <c r="AP100">
        <v>-235.22000000000003</v>
      </c>
      <c r="AU100">
        <v>-235.22000000000003</v>
      </c>
      <c r="BE100" t="str">
        <v>mobility supplies/tools</v>
      </c>
      <c r="BF100" t="str">
        <v>Self-Care Expense</v>
      </c>
      <c r="BG100" t="str">
        <f>IFERROR(_xlfn.XLOOKUP($BF100,acct_ref[AccountName],acct_ref[AcctType],"Account Not Found",0),"")</f>
        <v>Expense</v>
      </c>
      <c r="BH100">
        <f t="shared" si="14"/>
        <v>0</v>
      </c>
      <c r="BI100">
        <f t="shared" si="15"/>
        <v>31.63</v>
      </c>
      <c r="BN100" s="165" t="s">
        <v>235</v>
      </c>
      <c r="BR100">
        <v>-16.13</v>
      </c>
      <c r="BS100">
        <v>-2.0500000000000007</v>
      </c>
      <c r="BV100">
        <v>-11</v>
      </c>
      <c r="BW100">
        <v>-27.15</v>
      </c>
      <c r="CA100">
        <v>-56.33</v>
      </c>
    </row>
    <row r="101" spans="20:79" x14ac:dyDescent="0.25">
      <c r="T101" s="43"/>
      <c r="AO101" s="161" t="s">
        <v>201</v>
      </c>
      <c r="AP101">
        <v>-3327.83</v>
      </c>
      <c r="AU101">
        <v>-3327.83</v>
      </c>
      <c r="BE101" t="str">
        <v>movies</v>
      </c>
      <c r="BF101" t="str">
        <v>Self-Care Expense</v>
      </c>
      <c r="BG101" t="str">
        <f>IFERROR(_xlfn.XLOOKUP($BF101,acct_ref[AccountName],acct_ref[AcctType],"Account Not Found",0),"")</f>
        <v>Expense</v>
      </c>
      <c r="BH101">
        <f t="shared" si="14"/>
        <v>0</v>
      </c>
      <c r="BI101">
        <f t="shared" si="15"/>
        <v>193.96999999999997</v>
      </c>
      <c r="BN101" s="165" t="s">
        <v>244</v>
      </c>
      <c r="BP101">
        <v>-27</v>
      </c>
      <c r="CA101">
        <v>-27</v>
      </c>
    </row>
    <row r="102" spans="20:79" x14ac:dyDescent="0.25">
      <c r="T102" s="43"/>
      <c r="AO102" s="161" t="s">
        <v>131</v>
      </c>
      <c r="AP102">
        <v>-254.25</v>
      </c>
      <c r="AU102">
        <v>-254.25</v>
      </c>
      <c r="BE102" t="str">
        <v>phoneix membership</v>
      </c>
      <c r="BF102" t="str">
        <v>Self-Care Expense</v>
      </c>
      <c r="BG102" t="str">
        <f>IFERROR(_xlfn.XLOOKUP($BF102,acct_ref[AccountName],acct_ref[AcctType],"Account Not Found",0),"")</f>
        <v>Expense</v>
      </c>
      <c r="BH102">
        <f t="shared" si="14"/>
        <v>130</v>
      </c>
      <c r="BI102">
        <f t="shared" si="15"/>
        <v>0</v>
      </c>
      <c r="BN102" s="165" t="s">
        <v>252</v>
      </c>
      <c r="BV102">
        <v>700</v>
      </c>
      <c r="CA102">
        <v>700</v>
      </c>
    </row>
    <row r="103" spans="20:79" x14ac:dyDescent="0.25">
      <c r="T103" s="43"/>
      <c r="AO103" s="161" t="s">
        <v>188</v>
      </c>
      <c r="AP103">
        <v>-38.81</v>
      </c>
      <c r="AU103">
        <v>-38.81</v>
      </c>
      <c r="BE103" t="str">
        <v>self care misc.</v>
      </c>
      <c r="BF103" t="str">
        <v>Self-Care Expense</v>
      </c>
      <c r="BG103" t="str">
        <f>IFERROR(_xlfn.XLOOKUP($BF103,acct_ref[AccountName],acct_ref[AcctType],"Account Not Found",0),"")</f>
        <v>Expense</v>
      </c>
      <c r="BH103">
        <f t="shared" si="14"/>
        <v>0</v>
      </c>
      <c r="BI103">
        <f t="shared" si="15"/>
        <v>46.71</v>
      </c>
      <c r="BN103" s="165" t="s">
        <v>435</v>
      </c>
      <c r="BV103">
        <v>160</v>
      </c>
      <c r="CA103">
        <v>160</v>
      </c>
    </row>
    <row r="104" spans="20:79" x14ac:dyDescent="0.25">
      <c r="T104" s="43"/>
      <c r="AO104" s="161" t="s">
        <v>202</v>
      </c>
      <c r="AP104">
        <v>750</v>
      </c>
      <c r="AU104">
        <v>750</v>
      </c>
      <c r="BE104" t="str">
        <v>sub amazon music</v>
      </c>
      <c r="BF104" t="str">
        <v>Self-Care Expense</v>
      </c>
      <c r="BG104" t="str">
        <f>IFERROR(_xlfn.XLOOKUP($BF104,acct_ref[AccountName],acct_ref[AcctType],"Account Not Found",0),"")</f>
        <v>Expense</v>
      </c>
      <c r="BH104">
        <f t="shared" si="14"/>
        <v>0</v>
      </c>
      <c r="BI104">
        <f t="shared" si="15"/>
        <v>0</v>
      </c>
      <c r="BN104" s="165" t="s">
        <v>467</v>
      </c>
      <c r="BV104">
        <v>-22.2</v>
      </c>
      <c r="CA104">
        <v>-22.2</v>
      </c>
    </row>
    <row r="105" spans="20:79" x14ac:dyDescent="0.25">
      <c r="T105" s="43"/>
      <c r="AO105" s="161" t="s">
        <v>119</v>
      </c>
      <c r="AP105">
        <v>-65</v>
      </c>
      <c r="AU105">
        <v>-65</v>
      </c>
      <c r="BE105" t="str">
        <v>sub apple tv</v>
      </c>
      <c r="BF105" t="str">
        <v>Self-Care Expense</v>
      </c>
      <c r="BG105" t="str">
        <f>IFERROR(_xlfn.XLOOKUP($BF105,acct_ref[AccountName],acct_ref[AcctType],"Account Not Found",0),"")</f>
        <v>Expense</v>
      </c>
      <c r="BH105">
        <f t="shared" si="14"/>
        <v>0</v>
      </c>
      <c r="BI105">
        <f t="shared" si="15"/>
        <v>0</v>
      </c>
      <c r="BN105" s="165" t="s">
        <v>335</v>
      </c>
      <c r="BV105">
        <v>-4</v>
      </c>
      <c r="CA105">
        <v>-4</v>
      </c>
    </row>
    <row r="106" spans="20:79" x14ac:dyDescent="0.25">
      <c r="T106" s="43"/>
      <c r="AO106" s="161" t="s">
        <v>180</v>
      </c>
      <c r="AP106">
        <v>-390</v>
      </c>
      <c r="AU106">
        <v>-390</v>
      </c>
      <c r="BE106" t="str">
        <v>sub creative fabrica</v>
      </c>
      <c r="BF106" t="str">
        <v>Self-Care Expense</v>
      </c>
      <c r="BG106" t="str">
        <f>IFERROR(_xlfn.XLOOKUP($BF106,acct_ref[AccountName],acct_ref[AcctType],"Account Not Found",0),"")</f>
        <v>Expense</v>
      </c>
      <c r="BH106">
        <f t="shared" si="14"/>
        <v>0</v>
      </c>
      <c r="BI106">
        <f t="shared" ref="BI106:BI157" si="16">IFERROR(GETPIVOTDATA("Amount",$AO$9,"Source","Actual","Account",$BF106,"Item",$BE106),0)</f>
        <v>0</v>
      </c>
      <c r="BN106" s="165" t="s">
        <v>470</v>
      </c>
      <c r="BO106">
        <v>-116.58</v>
      </c>
      <c r="CA106">
        <v>-116.58</v>
      </c>
    </row>
    <row r="107" spans="20:79" x14ac:dyDescent="0.25">
      <c r="T107" s="43"/>
      <c r="AO107" s="161" t="s">
        <v>223</v>
      </c>
      <c r="AP107">
        <v>-80.55</v>
      </c>
      <c r="AU107">
        <v>-80.55</v>
      </c>
      <c r="BE107" t="str">
        <v>sub deviant art</v>
      </c>
      <c r="BF107" t="str">
        <v>Self-Care Expense</v>
      </c>
      <c r="BG107" t="str">
        <f>IFERROR(_xlfn.XLOOKUP($BF107,acct_ref[AccountName],acct_ref[AcctType],"Account Not Found",0),"")</f>
        <v>Expense</v>
      </c>
      <c r="BH107">
        <f t="shared" si="14"/>
        <v>0</v>
      </c>
      <c r="BI107">
        <f t="shared" si="16"/>
        <v>0</v>
      </c>
      <c r="BN107" s="41" t="s">
        <v>27</v>
      </c>
      <c r="BO107">
        <v>3419.8000000000006</v>
      </c>
      <c r="BP107">
        <v>-1700.49</v>
      </c>
      <c r="BQ107">
        <v>-632.04999999999995</v>
      </c>
      <c r="BR107">
        <v>2282.52</v>
      </c>
      <c r="BS107">
        <v>385.05999999999995</v>
      </c>
      <c r="BT107">
        <v>-1014.5200000000004</v>
      </c>
      <c r="BU107">
        <v>1129.1299999999999</v>
      </c>
      <c r="BV107">
        <v>760.1099999999999</v>
      </c>
      <c r="BW107">
        <v>41.87999999999991</v>
      </c>
      <c r="CA107">
        <v>4671.4399999999969</v>
      </c>
    </row>
    <row r="108" spans="20:79" x14ac:dyDescent="0.25">
      <c r="T108" s="43"/>
      <c r="AO108" s="161" t="s">
        <v>205</v>
      </c>
      <c r="AP108">
        <v>-271.17</v>
      </c>
      <c r="AU108">
        <v>-271.17</v>
      </c>
      <c r="BE108" t="str">
        <v>sub disney+</v>
      </c>
      <c r="BF108" t="str">
        <v>Self-Care Expense</v>
      </c>
      <c r="BG108" t="str">
        <f>IFERROR(_xlfn.XLOOKUP($BF108,acct_ref[AccountName],acct_ref[AcctType],"Account Not Found",0),"")</f>
        <v>Expense</v>
      </c>
      <c r="BH108">
        <f t="shared" si="14"/>
        <v>27.1</v>
      </c>
      <c r="BI108">
        <f t="shared" si="16"/>
        <v>13.55</v>
      </c>
      <c r="BN108" s="161" t="s">
        <v>333</v>
      </c>
      <c r="BO108">
        <v>3419.8000000000006</v>
      </c>
      <c r="BP108">
        <v>-1700.49</v>
      </c>
      <c r="BQ108">
        <v>-632.04999999999995</v>
      </c>
      <c r="BR108">
        <v>2282.52</v>
      </c>
      <c r="BS108">
        <v>385.05999999999995</v>
      </c>
      <c r="BT108">
        <v>-1014.5200000000004</v>
      </c>
      <c r="BU108">
        <v>1129.1299999999999</v>
      </c>
      <c r="BV108">
        <v>760.1099999999999</v>
      </c>
      <c r="BW108">
        <v>41.87999999999991</v>
      </c>
      <c r="CA108">
        <v>4671.4399999999969</v>
      </c>
    </row>
    <row r="109" spans="20:79" x14ac:dyDescent="0.25">
      <c r="T109" s="43"/>
      <c r="AO109" s="161" t="s">
        <v>240</v>
      </c>
      <c r="AP109">
        <v>-5885.87</v>
      </c>
      <c r="AU109">
        <v>-5885.87</v>
      </c>
      <c r="BE109" t="str">
        <v>sub dropout TV</v>
      </c>
      <c r="BF109" t="str">
        <v>Self-Care Expense</v>
      </c>
      <c r="BG109" t="str">
        <f>IFERROR(_xlfn.XLOOKUP($BF109,acct_ref[AccountName],acct_ref[AcctType],"Account Not Found",0),"")</f>
        <v>Expense</v>
      </c>
      <c r="BH109">
        <f t="shared" si="14"/>
        <v>53.55</v>
      </c>
      <c r="BI109">
        <f t="shared" si="16"/>
        <v>40.99</v>
      </c>
      <c r="BN109" s="165" t="s">
        <v>200</v>
      </c>
      <c r="BO109">
        <v>-10.71</v>
      </c>
      <c r="BP109">
        <v>-3.15</v>
      </c>
      <c r="BR109">
        <v>-17.61</v>
      </c>
      <c r="BS109">
        <v>-1.98</v>
      </c>
      <c r="BT109">
        <v>-24.240000000000002</v>
      </c>
      <c r="BU109">
        <v>-66.91</v>
      </c>
      <c r="BV109">
        <v>-40.26</v>
      </c>
      <c r="BW109">
        <v>-70.36</v>
      </c>
      <c r="CA109">
        <v>-235.21999999999997</v>
      </c>
    </row>
    <row r="110" spans="20:79" x14ac:dyDescent="0.25">
      <c r="T110" s="43"/>
      <c r="AO110" s="161" t="s">
        <v>186</v>
      </c>
      <c r="AP110">
        <v>-46.1</v>
      </c>
      <c r="AU110">
        <v>-46.1</v>
      </c>
      <c r="BE110" t="str">
        <v>sub guardian</v>
      </c>
      <c r="BF110" t="str">
        <v>Self-Care Expense</v>
      </c>
      <c r="BG110" t="str">
        <f>IFERROR(_xlfn.XLOOKUP($BF110,acct_ref[AccountName],acct_ref[AcctType],"Account Not Found",0),"")</f>
        <v>Expense</v>
      </c>
      <c r="BH110">
        <f t="shared" si="14"/>
        <v>0</v>
      </c>
      <c r="BI110">
        <f t="shared" si="16"/>
        <v>0</v>
      </c>
      <c r="BN110" s="165" t="s">
        <v>201</v>
      </c>
      <c r="BO110">
        <v>-514.5</v>
      </c>
      <c r="BP110">
        <v>-364.5</v>
      </c>
      <c r="BR110">
        <v>-315</v>
      </c>
      <c r="BS110">
        <v>-665.56</v>
      </c>
      <c r="BT110">
        <v>-1328.0900000000001</v>
      </c>
      <c r="BV110">
        <v>-140.18</v>
      </c>
      <c r="CA110">
        <v>-3327.83</v>
      </c>
    </row>
    <row r="111" spans="20:79" x14ac:dyDescent="0.25">
      <c r="T111" s="43"/>
      <c r="AO111" s="161" t="s">
        <v>319</v>
      </c>
      <c r="AP111">
        <v>-3</v>
      </c>
      <c r="AU111">
        <v>-3</v>
      </c>
      <c r="BE111" t="str">
        <v>sub kindle</v>
      </c>
      <c r="BF111" t="str">
        <v>Self-Care Expense</v>
      </c>
      <c r="BG111" t="str">
        <f>IFERROR(_xlfn.XLOOKUP($BF111,acct_ref[AccountName],acct_ref[AcctType],"Account Not Found",0),"")</f>
        <v>Expense</v>
      </c>
      <c r="BH111">
        <f t="shared" si="14"/>
        <v>135.47999999999996</v>
      </c>
      <c r="BI111">
        <f t="shared" si="16"/>
        <v>90.32</v>
      </c>
      <c r="BN111" s="165" t="s">
        <v>131</v>
      </c>
      <c r="BS111">
        <v>-50.85</v>
      </c>
      <c r="BU111">
        <v>-101.7</v>
      </c>
      <c r="BW111">
        <v>-101.7</v>
      </c>
      <c r="CA111">
        <v>-254.25</v>
      </c>
    </row>
    <row r="112" spans="20:79" x14ac:dyDescent="0.25">
      <c r="T112" s="43"/>
      <c r="AO112" s="161" t="s">
        <v>320</v>
      </c>
      <c r="AP112">
        <v>-8.39</v>
      </c>
      <c r="AU112">
        <v>-8.39</v>
      </c>
      <c r="BE112" t="str">
        <v>sub netflix</v>
      </c>
      <c r="BF112" t="str">
        <v>Self-Care Expense</v>
      </c>
      <c r="BG112" t="str">
        <f>IFERROR(_xlfn.XLOOKUP($BF112,acct_ref[AccountName],acct_ref[AcctType],"Account Not Found",0),"")</f>
        <v>Expense</v>
      </c>
      <c r="BH112">
        <f t="shared" si="14"/>
        <v>37.26</v>
      </c>
      <c r="BI112">
        <f t="shared" si="16"/>
        <v>93.149999999999991</v>
      </c>
      <c r="BN112" s="165" t="s">
        <v>188</v>
      </c>
      <c r="BS112">
        <v>-38.81</v>
      </c>
      <c r="CA112">
        <v>-38.81</v>
      </c>
    </row>
    <row r="113" spans="20:79" x14ac:dyDescent="0.25">
      <c r="T113" s="43"/>
      <c r="AO113" s="161" t="s">
        <v>213</v>
      </c>
      <c r="AP113">
        <v>-82.91</v>
      </c>
      <c r="AU113">
        <v>-82.91</v>
      </c>
      <c r="BE113" t="str">
        <v>sub paramount plus</v>
      </c>
      <c r="BF113" t="str">
        <v>Self-Care Expense</v>
      </c>
      <c r="BG113" t="str">
        <f>IFERROR(_xlfn.XLOOKUP($BF113,acct_ref[AccountName],acct_ref[AcctType],"Account Not Found",0),"")</f>
        <v>Expense</v>
      </c>
      <c r="BH113">
        <f t="shared" si="14"/>
        <v>0</v>
      </c>
      <c r="BI113">
        <f t="shared" si="16"/>
        <v>4.0999999999999996</v>
      </c>
      <c r="BN113" s="165" t="s">
        <v>202</v>
      </c>
      <c r="BQ113">
        <v>750</v>
      </c>
      <c r="CA113">
        <v>750</v>
      </c>
    </row>
    <row r="114" spans="20:79" x14ac:dyDescent="0.25">
      <c r="T114" s="43"/>
      <c r="AO114" s="161" t="s">
        <v>348</v>
      </c>
      <c r="AP114">
        <v>1160</v>
      </c>
      <c r="AU114">
        <v>1160</v>
      </c>
      <c r="BE114" t="str">
        <v>sub prime</v>
      </c>
      <c r="BF114" t="str">
        <v>Self-Care Expense</v>
      </c>
      <c r="BG114" t="str">
        <f>IFERROR(_xlfn.XLOOKUP($BF114,acct_ref[AccountName],acct_ref[AcctType],"Account Not Found",0),"")</f>
        <v>Expense</v>
      </c>
      <c r="BH114">
        <f t="shared" si="14"/>
        <v>111.87</v>
      </c>
      <c r="BI114">
        <f t="shared" si="16"/>
        <v>111.87</v>
      </c>
      <c r="BN114" s="165" t="s">
        <v>119</v>
      </c>
      <c r="BT114">
        <v>-65</v>
      </c>
      <c r="CA114">
        <v>-65</v>
      </c>
    </row>
    <row r="115" spans="20:79" x14ac:dyDescent="0.25">
      <c r="T115" s="43"/>
      <c r="AO115" s="161" t="s">
        <v>185</v>
      </c>
      <c r="AP115">
        <v>-1580.1799999999998</v>
      </c>
      <c r="AU115">
        <v>-1580.1799999999998</v>
      </c>
      <c r="BE115" t="str">
        <v>sub prime video ad-free</v>
      </c>
      <c r="BF115" t="str">
        <v>Self-Care Expense</v>
      </c>
      <c r="BG115" t="str">
        <f>IFERROR(_xlfn.XLOOKUP($BF115,acct_ref[AccountName],acct_ref[AcctType],"Account Not Found",0),"")</f>
        <v>Expense</v>
      </c>
      <c r="BH115">
        <f t="shared" si="14"/>
        <v>23.659999999999997</v>
      </c>
      <c r="BI115">
        <f t="shared" si="16"/>
        <v>16.899999999999999</v>
      </c>
      <c r="BN115" s="165" t="s">
        <v>180</v>
      </c>
      <c r="BQ115">
        <v>-65</v>
      </c>
      <c r="BS115">
        <v>-65</v>
      </c>
      <c r="BT115">
        <v>-65</v>
      </c>
      <c r="BU115">
        <v>-65</v>
      </c>
      <c r="BV115">
        <v>-65</v>
      </c>
      <c r="BW115">
        <v>-65</v>
      </c>
      <c r="CA115">
        <v>-390</v>
      </c>
    </row>
    <row r="116" spans="20:79" x14ac:dyDescent="0.25">
      <c r="T116" s="43"/>
      <c r="AO116" s="161" t="s">
        <v>195</v>
      </c>
      <c r="AP116">
        <v>500</v>
      </c>
      <c r="AU116">
        <v>500</v>
      </c>
      <c r="BE116" t="str">
        <v>sub shudder</v>
      </c>
      <c r="BF116" t="str">
        <v>Self-Care Expense</v>
      </c>
      <c r="BG116" t="str">
        <f>IFERROR(_xlfn.XLOOKUP($BF116,acct_ref[AccountName],acct_ref[AcctType],"Account Not Found",0),"")</f>
        <v>Expense</v>
      </c>
      <c r="BH116">
        <f t="shared" si="14"/>
        <v>0</v>
      </c>
      <c r="BI116">
        <f t="shared" si="16"/>
        <v>7.9</v>
      </c>
      <c r="BN116" s="165" t="s">
        <v>223</v>
      </c>
      <c r="BT116">
        <v>-80.55</v>
      </c>
      <c r="CA116">
        <v>-80.55</v>
      </c>
    </row>
    <row r="117" spans="20:79" x14ac:dyDescent="0.25">
      <c r="T117" s="43"/>
      <c r="AO117" s="161" t="s">
        <v>344</v>
      </c>
      <c r="AP117">
        <v>-33</v>
      </c>
      <c r="AU117">
        <v>-33</v>
      </c>
      <c r="BE117" t="str">
        <v>sub spotify</v>
      </c>
      <c r="BF117" t="str">
        <v>Self-Care Expense</v>
      </c>
      <c r="BG117" t="str">
        <f>IFERROR(_xlfn.XLOOKUP($BF117,acct_ref[AccountName],acct_ref[AcctType],"Account Not Found",0),"")</f>
        <v>Expense</v>
      </c>
      <c r="BH117">
        <f t="shared" si="14"/>
        <v>54.159999999999982</v>
      </c>
      <c r="BI117">
        <f t="shared" si="16"/>
        <v>27.08</v>
      </c>
      <c r="BN117" s="165" t="s">
        <v>205</v>
      </c>
      <c r="BT117">
        <v>-271.17</v>
      </c>
      <c r="CA117">
        <v>-271.17</v>
      </c>
    </row>
    <row r="118" spans="20:79" x14ac:dyDescent="0.25">
      <c r="T118" s="43"/>
      <c r="AO118" s="161" t="s">
        <v>251</v>
      </c>
      <c r="AP118">
        <v>-74.510000000000005</v>
      </c>
      <c r="AU118">
        <v>-74.510000000000005</v>
      </c>
      <c r="BE118" t="str">
        <v>sub stack tv</v>
      </c>
      <c r="BF118" t="str">
        <v>Self-Care Expense</v>
      </c>
      <c r="BG118" t="str">
        <f>IFERROR(_xlfn.XLOOKUP($BF118,acct_ref[AccountName],acct_ref[AcctType],"Account Not Found",0),"")</f>
        <v>Expense</v>
      </c>
      <c r="BH118">
        <f t="shared" si="14"/>
        <v>0</v>
      </c>
      <c r="BI118">
        <f t="shared" si="16"/>
        <v>29.36</v>
      </c>
      <c r="BN118" s="165" t="s">
        <v>240</v>
      </c>
      <c r="BR118">
        <v>-361.15</v>
      </c>
      <c r="BS118">
        <v>-675.5</v>
      </c>
      <c r="BT118">
        <v>-994.19</v>
      </c>
      <c r="BU118">
        <v>-827.6400000000001</v>
      </c>
      <c r="BV118">
        <v>-1021.8400000000001</v>
      </c>
      <c r="BW118">
        <v>-2005.55</v>
      </c>
      <c r="CA118">
        <v>-5885.8700000000008</v>
      </c>
    </row>
    <row r="119" spans="20:79" x14ac:dyDescent="0.25">
      <c r="T119" s="43"/>
      <c r="AO119" s="161" t="s">
        <v>190</v>
      </c>
      <c r="AP119">
        <v>26.96</v>
      </c>
      <c r="AU119">
        <v>26.96</v>
      </c>
      <c r="BE119" t="str">
        <v>sub yt premium</v>
      </c>
      <c r="BF119" t="str">
        <v>Self-Care Expense</v>
      </c>
      <c r="BG119" t="str">
        <f>IFERROR(_xlfn.XLOOKUP($BF119,acct_ref[AccountName],acct_ref[AcctType],"Account Not Found",0),"")</f>
        <v>Expense</v>
      </c>
      <c r="BH119">
        <f t="shared" si="14"/>
        <v>149.05000000000001</v>
      </c>
      <c r="BI119">
        <f t="shared" si="16"/>
        <v>132.12000000000003</v>
      </c>
      <c r="BN119" s="165" t="s">
        <v>186</v>
      </c>
      <c r="BT119">
        <v>-46.1</v>
      </c>
      <c r="CA119">
        <v>-46.1</v>
      </c>
    </row>
    <row r="120" spans="20:79" x14ac:dyDescent="0.25">
      <c r="T120" s="43"/>
      <c r="AO120" s="161" t="s">
        <v>321</v>
      </c>
      <c r="AP120">
        <v>-188.72000000000003</v>
      </c>
      <c r="AU120">
        <v>-188.72000000000003</v>
      </c>
      <c r="BE120" t="str">
        <v>therapy</v>
      </c>
      <c r="BF120" t="str">
        <v>Self-Care Expense</v>
      </c>
      <c r="BG120" t="str">
        <f>IFERROR(_xlfn.XLOOKUP($BF120,acct_ref[AccountName],acct_ref[AcctType],"Account Not Found",0),"")</f>
        <v>Expense</v>
      </c>
      <c r="BH120">
        <f t="shared" si="14"/>
        <v>0</v>
      </c>
      <c r="BI120">
        <f t="shared" si="16"/>
        <v>0</v>
      </c>
      <c r="BN120" s="165" t="s">
        <v>319</v>
      </c>
      <c r="BP120">
        <v>-3</v>
      </c>
      <c r="CA120">
        <v>-3</v>
      </c>
    </row>
    <row r="121" spans="20:79" x14ac:dyDescent="0.25">
      <c r="T121" s="43"/>
      <c r="AO121" s="161" t="s">
        <v>339</v>
      </c>
      <c r="AP121">
        <v>135</v>
      </c>
      <c r="AU121">
        <v>135</v>
      </c>
      <c r="BE121" t="str">
        <v>video games</v>
      </c>
      <c r="BF121" t="str">
        <v>Self-Care Expense</v>
      </c>
      <c r="BG121" t="str">
        <f>IFERROR(_xlfn.XLOOKUP($BF121,acct_ref[AccountName],acct_ref[AcctType],"Account Not Found",0),"")</f>
        <v>Expense</v>
      </c>
      <c r="BH121">
        <f t="shared" si="14"/>
        <v>0</v>
      </c>
      <c r="BI121">
        <f t="shared" si="16"/>
        <v>427.75000000000006</v>
      </c>
      <c r="BN121" s="165" t="s">
        <v>320</v>
      </c>
      <c r="BO121">
        <v>-8.39</v>
      </c>
      <c r="CA121">
        <v>-8.39</v>
      </c>
    </row>
    <row r="122" spans="20:79" x14ac:dyDescent="0.25">
      <c r="T122" s="43"/>
      <c r="AO122" s="161" t="s">
        <v>222</v>
      </c>
      <c r="AP122">
        <v>-122.54</v>
      </c>
      <c r="AU122">
        <v>-122.54</v>
      </c>
      <c r="BE122" t="str">
        <v>shop supplies</v>
      </c>
      <c r="BF122" t="str">
        <v>Shop Expense</v>
      </c>
      <c r="BG122" t="str">
        <f>IFERROR(_xlfn.XLOOKUP($BF122,acct_ref[AccountName],acct_ref[AcctType],"Account Not Found",0),"")</f>
        <v>Expense</v>
      </c>
      <c r="BH122">
        <f t="shared" si="14"/>
        <v>0</v>
      </c>
      <c r="BI122">
        <f t="shared" si="16"/>
        <v>0</v>
      </c>
      <c r="BN122" s="165" t="s">
        <v>213</v>
      </c>
      <c r="BT122">
        <v>-58.63</v>
      </c>
      <c r="BU122">
        <v>-24.28</v>
      </c>
      <c r="CA122">
        <v>-82.91</v>
      </c>
    </row>
    <row r="123" spans="20:79" x14ac:dyDescent="0.25">
      <c r="T123" s="43"/>
      <c r="AO123" s="161" t="s">
        <v>132</v>
      </c>
      <c r="AP123">
        <v>-6460</v>
      </c>
      <c r="AU123">
        <v>-6460</v>
      </c>
      <c r="BE123" t="str">
        <v>shop tools</v>
      </c>
      <c r="BF123" t="str">
        <v>Shop Expense</v>
      </c>
      <c r="BG123" t="str">
        <f>IFERROR(_xlfn.XLOOKUP($BF123,acct_ref[AccountName],acct_ref[AcctType],"Account Not Found",0),"")</f>
        <v>Expense</v>
      </c>
      <c r="BH123">
        <f t="shared" si="14"/>
        <v>0</v>
      </c>
      <c r="BI123">
        <f t="shared" si="16"/>
        <v>92.65</v>
      </c>
      <c r="BN123" s="165" t="s">
        <v>348</v>
      </c>
      <c r="BV123">
        <v>60</v>
      </c>
      <c r="BW123">
        <v>1100</v>
      </c>
      <c r="CA123">
        <v>1160</v>
      </c>
    </row>
    <row r="124" spans="20:79" x14ac:dyDescent="0.25">
      <c r="T124" s="43"/>
      <c r="AO124" s="161" t="s">
        <v>193</v>
      </c>
      <c r="AP124">
        <v>17586.84</v>
      </c>
      <c r="AU124">
        <v>17586.84</v>
      </c>
      <c r="BE124" t="str">
        <v>bike</v>
      </c>
      <c r="BF124" t="str">
        <v>Transportation Expense</v>
      </c>
      <c r="BG124" t="str">
        <f>IFERROR(_xlfn.XLOOKUP($BF124,acct_ref[AccountName],acct_ref[AcctType],"Account Not Found",0),"")</f>
        <v>Expense</v>
      </c>
      <c r="BH124">
        <f t="shared" si="14"/>
        <v>0</v>
      </c>
      <c r="BI124">
        <f t="shared" si="16"/>
        <v>0</v>
      </c>
      <c r="BN124" s="165" t="s">
        <v>185</v>
      </c>
      <c r="BQ124">
        <v>-150.11000000000001</v>
      </c>
      <c r="BR124">
        <v>-105.88999999999999</v>
      </c>
      <c r="BT124">
        <v>-425.46999999999997</v>
      </c>
      <c r="BU124">
        <v>-376.01</v>
      </c>
      <c r="BV124">
        <v>-370.80999999999995</v>
      </c>
      <c r="BW124">
        <v>-151.88999999999999</v>
      </c>
      <c r="CA124">
        <v>-1580.1799999999998</v>
      </c>
    </row>
    <row r="125" spans="20:79" x14ac:dyDescent="0.25">
      <c r="T125" s="43"/>
      <c r="AO125" s="161" t="s">
        <v>210</v>
      </c>
      <c r="AP125">
        <v>-73.400000000000006</v>
      </c>
      <c r="AU125">
        <v>-73.400000000000006</v>
      </c>
      <c r="BE125" t="str">
        <v>bike maintenance</v>
      </c>
      <c r="BF125" t="str">
        <v>Transportation Expense</v>
      </c>
      <c r="BG125" t="str">
        <f>IFERROR(_xlfn.XLOOKUP($BF125,acct_ref[AccountName],acct_ref[AcctType],"Account Not Found",0),"")</f>
        <v>Expense</v>
      </c>
      <c r="BH125">
        <f t="shared" si="14"/>
        <v>0</v>
      </c>
      <c r="BI125">
        <f t="shared" si="16"/>
        <v>0</v>
      </c>
      <c r="BN125" s="165" t="s">
        <v>195</v>
      </c>
      <c r="BP125">
        <v>307</v>
      </c>
      <c r="BQ125">
        <v>193</v>
      </c>
      <c r="CA125">
        <v>500</v>
      </c>
    </row>
    <row r="126" spans="20:79" x14ac:dyDescent="0.25">
      <c r="T126" s="43"/>
      <c r="AO126" s="161" t="s">
        <v>142</v>
      </c>
      <c r="AP126">
        <v>-11.29</v>
      </c>
      <c r="AU126">
        <v>-11.29</v>
      </c>
      <c r="BE126" t="str">
        <v>bike supplies</v>
      </c>
      <c r="BF126" t="str">
        <v>Transportation Expense</v>
      </c>
      <c r="BG126" t="str">
        <f>IFERROR(_xlfn.XLOOKUP($BF126,acct_ref[AccountName],acct_ref[AcctType],"Account Not Found",0),"")</f>
        <v>Expense</v>
      </c>
      <c r="BH126">
        <f t="shared" si="14"/>
        <v>0</v>
      </c>
      <c r="BI126">
        <f t="shared" si="16"/>
        <v>0</v>
      </c>
      <c r="BN126" s="165" t="s">
        <v>344</v>
      </c>
      <c r="BR126">
        <v>-9.5</v>
      </c>
      <c r="BV126">
        <v>-23.5</v>
      </c>
      <c r="CA126">
        <v>-33</v>
      </c>
    </row>
    <row r="127" spans="20:79" x14ac:dyDescent="0.25">
      <c r="T127" s="43"/>
      <c r="AO127" s="161" t="s">
        <v>235</v>
      </c>
      <c r="AP127">
        <v>-490.5</v>
      </c>
      <c r="AU127">
        <v>-490.5</v>
      </c>
      <c r="BE127" t="str">
        <v>bus tickets</v>
      </c>
      <c r="BF127" t="str">
        <v>Transportation Expense</v>
      </c>
      <c r="BG127" t="str">
        <f>IFERROR(_xlfn.XLOOKUP($BF127,acct_ref[AccountName],acct_ref[AcctType],"Account Not Found",0),"")</f>
        <v>Expense</v>
      </c>
      <c r="BH127">
        <f t="shared" si="14"/>
        <v>0</v>
      </c>
      <c r="BI127">
        <f t="shared" si="16"/>
        <v>23.6</v>
      </c>
      <c r="BN127" s="165" t="s">
        <v>251</v>
      </c>
      <c r="BT127">
        <v>-74.510000000000005</v>
      </c>
      <c r="CA127">
        <v>-74.510000000000005</v>
      </c>
    </row>
    <row r="128" spans="20:79" x14ac:dyDescent="0.25">
      <c r="T128" s="43"/>
      <c r="AO128" s="161" t="s">
        <v>203</v>
      </c>
      <c r="AP128">
        <v>4066.68</v>
      </c>
      <c r="AU128">
        <v>4066.68</v>
      </c>
      <c r="BE128" t="str">
        <v>CAA membership</v>
      </c>
      <c r="BF128" t="str">
        <v>Transportation Expense</v>
      </c>
      <c r="BG128" t="str">
        <f>IFERROR(_xlfn.XLOOKUP($BF128,acct_ref[AccountName],acct_ref[AcctType],"Account Not Found",0),"")</f>
        <v>Expense</v>
      </c>
      <c r="BH128">
        <f t="shared" si="14"/>
        <v>0</v>
      </c>
      <c r="BI128">
        <f t="shared" si="16"/>
        <v>0</v>
      </c>
      <c r="BN128" s="165" t="s">
        <v>190</v>
      </c>
      <c r="BQ128">
        <v>26.96</v>
      </c>
      <c r="CA128">
        <v>26.96</v>
      </c>
    </row>
    <row r="129" spans="20:79" x14ac:dyDescent="0.25">
      <c r="T129" s="43"/>
      <c r="AO129" s="161" t="s">
        <v>234</v>
      </c>
      <c r="AP129">
        <v>340</v>
      </c>
      <c r="AU129">
        <v>340</v>
      </c>
      <c r="BE129" t="str">
        <v>car gas</v>
      </c>
      <c r="BF129" t="str">
        <v>Transportation Expense</v>
      </c>
      <c r="BG129" t="str">
        <f>IFERROR(_xlfn.XLOOKUP($BF129,acct_ref[AccountName],acct_ref[AcctType],"Account Not Found",0),"")</f>
        <v>Expense</v>
      </c>
      <c r="BH129">
        <f t="shared" si="14"/>
        <v>100</v>
      </c>
      <c r="BI129">
        <f t="shared" si="16"/>
        <v>130.26</v>
      </c>
      <c r="BN129" s="165" t="s">
        <v>321</v>
      </c>
      <c r="BP129">
        <v>-26.96</v>
      </c>
      <c r="BR129">
        <v>-26.96</v>
      </c>
      <c r="BS129">
        <v>-26.96</v>
      </c>
      <c r="BT129">
        <v>-26.96</v>
      </c>
      <c r="BU129">
        <v>-26.96</v>
      </c>
      <c r="BV129">
        <v>-26.96</v>
      </c>
      <c r="BW129">
        <v>-26.96</v>
      </c>
      <c r="CA129">
        <v>-188.72000000000003</v>
      </c>
    </row>
    <row r="130" spans="20:79" x14ac:dyDescent="0.25">
      <c r="T130" s="43"/>
      <c r="AO130" s="161" t="s">
        <v>147</v>
      </c>
      <c r="AP130">
        <v>-6970</v>
      </c>
      <c r="AU130">
        <v>-6970</v>
      </c>
      <c r="BE130" t="str">
        <v>car insurance</v>
      </c>
      <c r="BF130" t="str">
        <v>Transportation Expense</v>
      </c>
      <c r="BG130" t="str">
        <f>IFERROR(_xlfn.XLOOKUP($BF130,acct_ref[AccountName],acct_ref[AcctType],"Account Not Found",0),"")</f>
        <v>Expense</v>
      </c>
      <c r="BH130">
        <f t="shared" si="14"/>
        <v>455</v>
      </c>
      <c r="BI130">
        <f t="shared" si="16"/>
        <v>390</v>
      </c>
      <c r="BN130" s="165" t="s">
        <v>339</v>
      </c>
      <c r="BU130">
        <v>50</v>
      </c>
      <c r="BW130">
        <v>85</v>
      </c>
      <c r="CA130">
        <v>135</v>
      </c>
    </row>
    <row r="131" spans="20:79" x14ac:dyDescent="0.25">
      <c r="T131" s="43"/>
      <c r="AO131" s="161" t="s">
        <v>228</v>
      </c>
      <c r="AP131">
        <v>51.13</v>
      </c>
      <c r="AU131">
        <v>51.13</v>
      </c>
      <c r="BE131" t="str">
        <v>car maintainenance</v>
      </c>
      <c r="BF131" t="str">
        <v>Transportation Expense</v>
      </c>
      <c r="BG131" t="str">
        <f>IFERROR(_xlfn.XLOOKUP($BF131,acct_ref[AccountName],acct_ref[AcctType],"Account Not Found",0),"")</f>
        <v>Expense</v>
      </c>
      <c r="BH131">
        <f t="shared" si="14"/>
        <v>65</v>
      </c>
      <c r="BI131">
        <f t="shared" si="16"/>
        <v>80.55</v>
      </c>
      <c r="BN131" s="165" t="s">
        <v>222</v>
      </c>
      <c r="BP131">
        <v>-26.5</v>
      </c>
      <c r="BR131">
        <v>-20</v>
      </c>
      <c r="BS131">
        <v>-38.47</v>
      </c>
      <c r="BU131">
        <v>-20.34</v>
      </c>
      <c r="BV131">
        <v>-17.23</v>
      </c>
      <c r="CA131">
        <v>-122.54</v>
      </c>
    </row>
    <row r="132" spans="20:79" x14ac:dyDescent="0.25">
      <c r="T132" s="43"/>
      <c r="AO132" s="161" t="s">
        <v>262</v>
      </c>
      <c r="AP132">
        <v>129.75</v>
      </c>
      <c r="AU132">
        <v>129.75</v>
      </c>
      <c r="BE132" t="str">
        <v>car supplies</v>
      </c>
      <c r="BF132" t="str">
        <v>Transportation Expense</v>
      </c>
      <c r="BG132" t="str">
        <f>IFERROR(_xlfn.XLOOKUP($BF132,acct_ref[AccountName],acct_ref[AcctType],"Account Not Found",0),"")</f>
        <v>Expense</v>
      </c>
      <c r="BH132">
        <f t="shared" si="14"/>
        <v>0</v>
      </c>
      <c r="BI132">
        <f t="shared" si="16"/>
        <v>0</v>
      </c>
      <c r="BN132" s="165" t="s">
        <v>132</v>
      </c>
      <c r="BO132">
        <v>-500</v>
      </c>
      <c r="BP132">
        <v>-500</v>
      </c>
      <c r="BQ132">
        <v>-445</v>
      </c>
      <c r="BR132">
        <v>-515</v>
      </c>
      <c r="BS132">
        <v>-500</v>
      </c>
      <c r="BT132">
        <v>-500</v>
      </c>
      <c r="BU132">
        <v>-500</v>
      </c>
      <c r="BV132">
        <v>-500</v>
      </c>
      <c r="BW132">
        <v>-2500</v>
      </c>
      <c r="CA132">
        <v>-6460</v>
      </c>
    </row>
    <row r="133" spans="20:79" x14ac:dyDescent="0.25">
      <c r="T133" s="43"/>
      <c r="AO133" s="161" t="s">
        <v>244</v>
      </c>
      <c r="AP133">
        <v>-255.88</v>
      </c>
      <c r="AU133">
        <v>-255.88</v>
      </c>
      <c r="BE133" t="str">
        <v>parking</v>
      </c>
      <c r="BF133" t="str">
        <v>Transportation Expense</v>
      </c>
      <c r="BG133" t="str">
        <f>IFERROR(_xlfn.XLOOKUP($BF133,acct_ref[AccountName],acct_ref[AcctType],"Account Not Found",0),"")</f>
        <v>Expense</v>
      </c>
      <c r="BH133">
        <f t="shared" si="14"/>
        <v>0</v>
      </c>
      <c r="BI133">
        <f t="shared" si="16"/>
        <v>6</v>
      </c>
      <c r="BN133" s="165" t="s">
        <v>193</v>
      </c>
      <c r="BO133">
        <v>2192.2799999999997</v>
      </c>
      <c r="BQ133">
        <v>463.01</v>
      </c>
      <c r="BS133">
        <v>2483.44</v>
      </c>
      <c r="BT133">
        <v>3032.85</v>
      </c>
      <c r="BU133">
        <v>3201.33</v>
      </c>
      <c r="BV133">
        <v>3798.26</v>
      </c>
      <c r="BW133">
        <v>2415.67</v>
      </c>
      <c r="CA133">
        <v>17586.84</v>
      </c>
    </row>
    <row r="134" spans="20:79" x14ac:dyDescent="0.25">
      <c r="T134" s="43"/>
      <c r="AO134" s="161" t="s">
        <v>187</v>
      </c>
      <c r="AP134">
        <v>-36.729999999999997</v>
      </c>
      <c r="AU134">
        <v>-36.729999999999997</v>
      </c>
      <c r="BE134" t="str">
        <v>uber</v>
      </c>
      <c r="BF134" t="str">
        <v>Transportation Expense</v>
      </c>
      <c r="BG134" t="str">
        <f>IFERROR(_xlfn.XLOOKUP($BF134,acct_ref[AccountName],acct_ref[AcctType],"Account Not Found",0),"")</f>
        <v>Expense</v>
      </c>
      <c r="BH134">
        <f t="shared" si="14"/>
        <v>0</v>
      </c>
      <c r="BI134">
        <f t="shared" si="16"/>
        <v>227.92000000000002</v>
      </c>
      <c r="BN134" s="165" t="s">
        <v>210</v>
      </c>
      <c r="BV134">
        <v>-73.400000000000006</v>
      </c>
      <c r="CA134">
        <v>-73.400000000000006</v>
      </c>
    </row>
    <row r="135" spans="20:79" x14ac:dyDescent="0.25">
      <c r="T135" s="43"/>
      <c r="AO135" s="161" t="s">
        <v>252</v>
      </c>
      <c r="AP135">
        <v>-700</v>
      </c>
      <c r="AU135">
        <v>-700</v>
      </c>
      <c r="BE135" t="str">
        <v>bill internet</v>
      </c>
      <c r="BF135" t="str">
        <v>TV/Internet Expense</v>
      </c>
      <c r="BG135" t="str">
        <f>IFERROR(_xlfn.XLOOKUP($BF135,acct_ref[AccountName],acct_ref[AcctType],"Account Not Found",0),"")</f>
        <v>Expense</v>
      </c>
      <c r="BH135">
        <f t="shared" si="14"/>
        <v>1250</v>
      </c>
      <c r="BI135">
        <f t="shared" si="16"/>
        <v>0</v>
      </c>
      <c r="BN135" s="165" t="s">
        <v>142</v>
      </c>
      <c r="BO135">
        <v>-11.29</v>
      </c>
      <c r="CA135">
        <v>-11.29</v>
      </c>
    </row>
    <row r="136" spans="20:79" x14ac:dyDescent="0.25">
      <c r="T136" s="43"/>
      <c r="AO136" s="161" t="s">
        <v>421</v>
      </c>
      <c r="AP136">
        <v>-4017.34</v>
      </c>
      <c r="AU136">
        <v>-4017.34</v>
      </c>
      <c r="BE136" t="str">
        <v>retro expense payments</v>
      </c>
      <c r="BF136" t="str">
        <v>Unknown Expense</v>
      </c>
      <c r="BG136" t="str">
        <f>IFERROR(_xlfn.XLOOKUP($BF136,acct_ref[AccountName],acct_ref[AcctType],"Account Not Found",0),"")</f>
        <v>Expense</v>
      </c>
      <c r="BH136">
        <f t="shared" si="14"/>
        <v>0</v>
      </c>
      <c r="BI136">
        <f t="shared" si="16"/>
        <v>0</v>
      </c>
      <c r="BN136" s="165" t="s">
        <v>235</v>
      </c>
      <c r="BO136">
        <v>-5.97</v>
      </c>
      <c r="BQ136">
        <v>-25.54</v>
      </c>
      <c r="BR136">
        <v>-11.28</v>
      </c>
      <c r="BT136">
        <v>-87.46</v>
      </c>
      <c r="BU136">
        <v>-152.71</v>
      </c>
      <c r="BV136">
        <v>-118.97</v>
      </c>
      <c r="BW136">
        <v>-88.570000000000007</v>
      </c>
      <c r="CA136">
        <v>-490.50000000000006</v>
      </c>
    </row>
    <row r="137" spans="20:79" x14ac:dyDescent="0.25">
      <c r="T137" s="43"/>
      <c r="AO137" s="161" t="s">
        <v>219</v>
      </c>
      <c r="AP137">
        <v>-90.4</v>
      </c>
      <c r="AU137">
        <v>-90.4</v>
      </c>
      <c r="BE137" t="str">
        <v>unknown Amazon purchase</v>
      </c>
      <c r="BF137" t="str">
        <v>Unknown Expense</v>
      </c>
      <c r="BG137" t="str">
        <f>IFERROR(_xlfn.XLOOKUP($BF137,acct_ref[AccountName],acct_ref[AcctType],"Account Not Found",0),"")</f>
        <v>Expense</v>
      </c>
      <c r="BH137">
        <f t="shared" si="14"/>
        <v>0</v>
      </c>
      <c r="BI137">
        <f t="shared" si="16"/>
        <v>377.11999999999995</v>
      </c>
      <c r="BN137" s="165" t="s">
        <v>203</v>
      </c>
      <c r="BO137">
        <v>122</v>
      </c>
      <c r="BR137">
        <v>3944.68</v>
      </c>
      <c r="CA137">
        <v>4066.68</v>
      </c>
    </row>
    <row r="138" spans="20:79" x14ac:dyDescent="0.25">
      <c r="T138" s="43"/>
      <c r="AO138" s="161" t="s">
        <v>435</v>
      </c>
      <c r="AP138">
        <v>13643.6</v>
      </c>
      <c r="AU138">
        <v>13643.6</v>
      </c>
      <c r="BE138" t="str">
        <v>unknown transaction</v>
      </c>
      <c r="BF138" t="str">
        <v>Unknown Expense</v>
      </c>
      <c r="BG138" t="str">
        <f>IFERROR(_xlfn.XLOOKUP($BF138,acct_ref[AccountName],acct_ref[AcctType],"Account Not Found",0),"")</f>
        <v>Expense</v>
      </c>
      <c r="BH138">
        <f t="shared" ref="BH138:BH157" si="17">IFERROR(IF($BG138="Revenue",GETPIVOTDATA("Amount",$AO$9,"Source","Inc_Plan","Account",$BF138,"Item",$BE138),
IF($BG138="Expense",SUM(GETPIVOTDATA("Amount",$AO$9,"Source","Exp_Plan","Account",$BF138,"Item",$BE138),GETPIVOTDATA("Amount",$AO$9,"Source","Shop_List","Account",$BF138,"Item",$BE138)),0)),0)</f>
        <v>0</v>
      </c>
      <c r="BI138">
        <f t="shared" si="16"/>
        <v>351.39</v>
      </c>
      <c r="BN138" s="165" t="s">
        <v>234</v>
      </c>
      <c r="BP138">
        <v>340</v>
      </c>
      <c r="CA138">
        <v>340</v>
      </c>
    </row>
    <row r="139" spans="20:79" x14ac:dyDescent="0.25">
      <c r="T139" s="43"/>
      <c r="AO139" s="161" t="s">
        <v>446</v>
      </c>
      <c r="AP139">
        <v>70</v>
      </c>
      <c r="AU139">
        <v>70</v>
      </c>
      <c r="BE139" t="str">
        <v>Amazon Purchase mix</v>
      </c>
      <c r="BF139" t="str">
        <v>Unknown Revenue</v>
      </c>
      <c r="BG139" t="str">
        <f>IFERROR(_xlfn.XLOOKUP($BF139,acct_ref[AccountName],acct_ref[AcctType],"Account Not Found",0),"")</f>
        <v>Revenue</v>
      </c>
      <c r="BH139">
        <f t="shared" si="17"/>
        <v>0</v>
      </c>
      <c r="BI139">
        <f t="shared" si="16"/>
        <v>0</v>
      </c>
      <c r="BN139" s="165" t="s">
        <v>147</v>
      </c>
      <c r="BO139">
        <v>-6970</v>
      </c>
      <c r="BW139">
        <v>0</v>
      </c>
      <c r="CA139">
        <v>-6970</v>
      </c>
    </row>
    <row r="140" spans="20:79" x14ac:dyDescent="0.25">
      <c r="T140" s="43"/>
      <c r="AO140" s="161" t="s">
        <v>447</v>
      </c>
      <c r="AP140">
        <v>45</v>
      </c>
      <c r="AU140">
        <v>45</v>
      </c>
      <c r="BG140" t="str">
        <f>IFERROR(_xlfn.XLOOKUP($BF140,acct_ref[AccountName],acct_ref[AcctType],"Account Not Found",0),"")</f>
        <v>Account Not Found</v>
      </c>
      <c r="BH140">
        <f t="shared" si="17"/>
        <v>0</v>
      </c>
      <c r="BI140">
        <f t="shared" si="16"/>
        <v>0</v>
      </c>
      <c r="BN140" s="165" t="s">
        <v>228</v>
      </c>
      <c r="BP140">
        <v>51.13</v>
      </c>
      <c r="CA140">
        <v>51.13</v>
      </c>
    </row>
    <row r="141" spans="20:79" x14ac:dyDescent="0.25">
      <c r="T141" s="43"/>
      <c r="AO141" s="161" t="s">
        <v>460</v>
      </c>
      <c r="AP141">
        <v>-581.6</v>
      </c>
      <c r="AU141">
        <v>-581.6</v>
      </c>
      <c r="BG141" t="str">
        <f>IFERROR(_xlfn.XLOOKUP($BF141,acct_ref[AccountName],acct_ref[AcctType],"Account Not Found",0),"")</f>
        <v>Account Not Found</v>
      </c>
      <c r="BH141">
        <f t="shared" si="17"/>
        <v>0</v>
      </c>
      <c r="BI141">
        <f t="shared" si="16"/>
        <v>0</v>
      </c>
      <c r="BN141" s="165" t="s">
        <v>262</v>
      </c>
      <c r="BU141">
        <v>129.75</v>
      </c>
      <c r="CA141">
        <v>129.75</v>
      </c>
    </row>
    <row r="142" spans="20:79" x14ac:dyDescent="0.25">
      <c r="T142" s="43"/>
      <c r="AO142" s="161" t="s">
        <v>467</v>
      </c>
      <c r="AP142">
        <v>-27.79</v>
      </c>
      <c r="AU142">
        <v>-27.79</v>
      </c>
      <c r="BG142" t="str">
        <f>IFERROR(_xlfn.XLOOKUP($BF142,acct_ref[AccountName],acct_ref[AcctType],"Account Not Found",0),"")</f>
        <v>Account Not Found</v>
      </c>
      <c r="BH142">
        <f t="shared" si="17"/>
        <v>0</v>
      </c>
      <c r="BI142">
        <f t="shared" si="16"/>
        <v>0</v>
      </c>
      <c r="BN142" s="165" t="s">
        <v>244</v>
      </c>
      <c r="BO142">
        <v>-75</v>
      </c>
      <c r="BP142">
        <v>-35</v>
      </c>
      <c r="BQ142">
        <v>-145.88</v>
      </c>
      <c r="CA142">
        <v>-255.88</v>
      </c>
    </row>
    <row r="143" spans="20:79" x14ac:dyDescent="0.25">
      <c r="T143" s="43"/>
      <c r="AO143" s="161" t="s">
        <v>335</v>
      </c>
      <c r="AP143">
        <v>-78.62</v>
      </c>
      <c r="AU143">
        <v>-78.62</v>
      </c>
      <c r="BG143" t="str">
        <f>IFERROR(_xlfn.XLOOKUP($BF143,acct_ref[AccountName],acct_ref[AcctType],"Account Not Found",0),"")</f>
        <v>Account Not Found</v>
      </c>
      <c r="BH143">
        <f t="shared" si="17"/>
        <v>0</v>
      </c>
      <c r="BI143">
        <f t="shared" si="16"/>
        <v>0</v>
      </c>
      <c r="BN143" s="165" t="s">
        <v>187</v>
      </c>
      <c r="BR143">
        <v>-36.729999999999997</v>
      </c>
      <c r="CA143">
        <v>-36.729999999999997</v>
      </c>
    </row>
    <row r="144" spans="20:79" x14ac:dyDescent="0.25">
      <c r="T144" s="43"/>
      <c r="AO144" s="161" t="s">
        <v>470</v>
      </c>
      <c r="AP144">
        <v>-2909.57</v>
      </c>
      <c r="AU144">
        <v>-2909.57</v>
      </c>
      <c r="BG144" t="str">
        <f>IFERROR(_xlfn.XLOOKUP($BF144,acct_ref[AccountName],acct_ref[AcctType],"Account Not Found",0),"")</f>
        <v>Account Not Found</v>
      </c>
      <c r="BH144">
        <f t="shared" si="17"/>
        <v>0</v>
      </c>
      <c r="BI144">
        <f t="shared" si="16"/>
        <v>0</v>
      </c>
      <c r="BN144" s="165" t="s">
        <v>252</v>
      </c>
      <c r="BV144">
        <v>-700</v>
      </c>
      <c r="CA144">
        <v>-700</v>
      </c>
    </row>
    <row r="145" spans="20:79" x14ac:dyDescent="0.25">
      <c r="T145" s="43"/>
      <c r="AO145" s="161" t="s">
        <v>485</v>
      </c>
      <c r="AP145">
        <v>277.83</v>
      </c>
      <c r="AU145">
        <v>277.83</v>
      </c>
      <c r="BG145" t="str">
        <f>IFERROR(_xlfn.XLOOKUP($BF145,acct_ref[AccountName],acct_ref[AcctType],"Account Not Found",0),"")</f>
        <v>Account Not Found</v>
      </c>
      <c r="BH145">
        <f t="shared" si="17"/>
        <v>0</v>
      </c>
      <c r="BI145">
        <f t="shared" si="16"/>
        <v>0</v>
      </c>
      <c r="BN145" s="165" t="s">
        <v>421</v>
      </c>
      <c r="BO145">
        <v>-1393.7499999999998</v>
      </c>
      <c r="BP145">
        <v>-1111.81</v>
      </c>
      <c r="BQ145">
        <v>-1233.49</v>
      </c>
      <c r="BR145">
        <v>-243.04</v>
      </c>
      <c r="BS145">
        <v>-35.25</v>
      </c>
      <c r="CA145">
        <v>-4017.3399999999992</v>
      </c>
    </row>
    <row r="146" spans="20:79" x14ac:dyDescent="0.25">
      <c r="T146" s="43"/>
      <c r="AO146" s="161" t="s">
        <v>487</v>
      </c>
      <c r="AP146">
        <v>1402.04</v>
      </c>
      <c r="AU146">
        <v>1402.04</v>
      </c>
      <c r="BG146" t="str">
        <f>IFERROR(_xlfn.XLOOKUP($BF146,acct_ref[AccountName],acct_ref[AcctType],"Account Not Found",0),"")</f>
        <v>Account Not Found</v>
      </c>
      <c r="BH146">
        <f t="shared" si="17"/>
        <v>0</v>
      </c>
      <c r="BI146">
        <f t="shared" si="16"/>
        <v>0</v>
      </c>
      <c r="BN146" s="165" t="s">
        <v>219</v>
      </c>
      <c r="BU146">
        <v>-90.4</v>
      </c>
      <c r="CA146">
        <v>-90.4</v>
      </c>
    </row>
    <row r="147" spans="20:79" x14ac:dyDescent="0.25">
      <c r="T147" s="43"/>
      <c r="AO147" s="161" t="s">
        <v>496</v>
      </c>
      <c r="AP147">
        <v>-32.53</v>
      </c>
      <c r="AU147">
        <v>-32.53</v>
      </c>
      <c r="BG147" t="str">
        <f>IFERROR(_xlfn.XLOOKUP($BF147,acct_ref[AccountName],acct_ref[AcctType],"Account Not Found",0),"")</f>
        <v>Account Not Found</v>
      </c>
      <c r="BH147">
        <f t="shared" si="17"/>
        <v>0</v>
      </c>
      <c r="BI147">
        <f t="shared" si="16"/>
        <v>0</v>
      </c>
      <c r="BN147" s="165" t="s">
        <v>435</v>
      </c>
      <c r="BO147">
        <v>13643.6</v>
      </c>
      <c r="CA147">
        <v>13643.6</v>
      </c>
    </row>
    <row r="148" spans="20:79" x14ac:dyDescent="0.25">
      <c r="T148" s="43"/>
      <c r="AO148" s="161" t="s">
        <v>500</v>
      </c>
      <c r="AP148">
        <v>-89.69</v>
      </c>
      <c r="AU148">
        <v>-89.69</v>
      </c>
      <c r="BG148" t="str">
        <f>IFERROR(_xlfn.XLOOKUP($BF148,acct_ref[AccountName],acct_ref[AcctType],"Account Not Found",0),"")</f>
        <v>Account Not Found</v>
      </c>
      <c r="BH148">
        <f t="shared" si="17"/>
        <v>0</v>
      </c>
      <c r="BI148">
        <f t="shared" si="16"/>
        <v>0</v>
      </c>
      <c r="BN148" s="165" t="s">
        <v>446</v>
      </c>
      <c r="BO148">
        <v>70</v>
      </c>
      <c r="CA148">
        <v>70</v>
      </c>
    </row>
    <row r="149" spans="20:79" x14ac:dyDescent="0.25">
      <c r="T149" s="43"/>
      <c r="AO149" s="41" t="s">
        <v>212</v>
      </c>
      <c r="AP149">
        <v>725.51</v>
      </c>
      <c r="AQ149">
        <v>500</v>
      </c>
      <c r="AT149">
        <v>50</v>
      </c>
      <c r="AU149">
        <v>1275.51</v>
      </c>
      <c r="BG149" t="str">
        <f>IFERROR(_xlfn.XLOOKUP($BF149,acct_ref[AccountName],acct_ref[AcctType],"Account Not Found",0),"")</f>
        <v>Account Not Found</v>
      </c>
      <c r="BH149">
        <f t="shared" si="17"/>
        <v>0</v>
      </c>
      <c r="BI149">
        <f t="shared" si="16"/>
        <v>0</v>
      </c>
      <c r="BN149" s="165" t="s">
        <v>447</v>
      </c>
      <c r="BO149">
        <v>45</v>
      </c>
      <c r="CA149">
        <v>45</v>
      </c>
    </row>
    <row r="150" spans="20:79" x14ac:dyDescent="0.25">
      <c r="T150" s="43"/>
      <c r="AO150" s="161" t="s">
        <v>186</v>
      </c>
      <c r="AP150">
        <v>68.42</v>
      </c>
      <c r="AU150">
        <v>68.42</v>
      </c>
      <c r="BG150" t="str">
        <f>IFERROR(_xlfn.XLOOKUP($BF150,acct_ref[AccountName],acct_ref[AcctType],"Account Not Found",0),"")</f>
        <v>Account Not Found</v>
      </c>
      <c r="BH150">
        <f t="shared" si="17"/>
        <v>0</v>
      </c>
      <c r="BI150">
        <f t="shared" si="16"/>
        <v>0</v>
      </c>
      <c r="BN150" s="165" t="s">
        <v>460</v>
      </c>
      <c r="BO150">
        <v>-253.9</v>
      </c>
      <c r="BP150">
        <v>-327.7</v>
      </c>
      <c r="CA150">
        <v>-581.6</v>
      </c>
    </row>
    <row r="151" spans="20:79" x14ac:dyDescent="0.25">
      <c r="T151" s="43"/>
      <c r="AO151" s="161" t="s">
        <v>213</v>
      </c>
      <c r="AP151">
        <v>508.77999999999992</v>
      </c>
      <c r="AQ151">
        <v>500</v>
      </c>
      <c r="AT151">
        <v>50</v>
      </c>
      <c r="AU151">
        <v>1058.78</v>
      </c>
      <c r="BG151" t="str">
        <f>IFERROR(_xlfn.XLOOKUP($BF151,acct_ref[AccountName],acct_ref[AcctType],"Account Not Found",0),"")</f>
        <v>Account Not Found</v>
      </c>
      <c r="BH151">
        <f t="shared" si="17"/>
        <v>0</v>
      </c>
      <c r="BI151">
        <f t="shared" si="16"/>
        <v>0</v>
      </c>
      <c r="BN151" s="165" t="s">
        <v>467</v>
      </c>
      <c r="BW151">
        <v>-27.79</v>
      </c>
      <c r="CA151">
        <v>-27.79</v>
      </c>
    </row>
    <row r="152" spans="20:79" x14ac:dyDescent="0.25">
      <c r="T152" s="43"/>
      <c r="AO152" s="161" t="s">
        <v>469</v>
      </c>
      <c r="AP152">
        <v>148.31</v>
      </c>
      <c r="AU152">
        <v>148.31</v>
      </c>
      <c r="BG152" t="str">
        <f>IFERROR(_xlfn.XLOOKUP($BF152,acct_ref[AccountName],acct_ref[AcctType],"Account Not Found",0),"")</f>
        <v>Account Not Found</v>
      </c>
      <c r="BH152">
        <f t="shared" si="17"/>
        <v>0</v>
      </c>
      <c r="BI152">
        <f t="shared" si="16"/>
        <v>0</v>
      </c>
      <c r="BN152" s="165" t="s">
        <v>335</v>
      </c>
      <c r="BW152">
        <v>-78.62</v>
      </c>
      <c r="CA152">
        <v>-78.62</v>
      </c>
    </row>
    <row r="153" spans="20:79" x14ac:dyDescent="0.25">
      <c r="T153" s="43"/>
      <c r="AO153" s="41" t="s">
        <v>53</v>
      </c>
      <c r="AP153">
        <v>11899.029999999999</v>
      </c>
      <c r="AQ153">
        <v>36</v>
      </c>
      <c r="AU153">
        <v>11935.029999999999</v>
      </c>
      <c r="BG153" t="str">
        <f>IFERROR(_xlfn.XLOOKUP($BF153,acct_ref[AccountName],acct_ref[AcctType],"Account Not Found",0),"")</f>
        <v>Account Not Found</v>
      </c>
      <c r="BH153">
        <f t="shared" si="17"/>
        <v>0</v>
      </c>
      <c r="BI153">
        <f t="shared" si="16"/>
        <v>0</v>
      </c>
      <c r="BN153" s="165" t="s">
        <v>470</v>
      </c>
      <c r="BO153">
        <v>-2909.57</v>
      </c>
      <c r="CA153">
        <v>-2909.57</v>
      </c>
    </row>
    <row r="154" spans="20:79" x14ac:dyDescent="0.25">
      <c r="T154" s="43"/>
      <c r="AO154" s="161" t="s">
        <v>200</v>
      </c>
      <c r="AP154">
        <v>39.67</v>
      </c>
      <c r="AU154">
        <v>39.67</v>
      </c>
      <c r="BG154" t="str">
        <f>IFERROR(_xlfn.XLOOKUP($BF154,acct_ref[AccountName],acct_ref[AcctType],"Account Not Found",0),"")</f>
        <v>Account Not Found</v>
      </c>
      <c r="BH154">
        <f t="shared" si="17"/>
        <v>0</v>
      </c>
      <c r="BI154">
        <f t="shared" si="16"/>
        <v>0</v>
      </c>
      <c r="BN154" s="165" t="s">
        <v>485</v>
      </c>
      <c r="BW154">
        <v>277.83</v>
      </c>
      <c r="CA154">
        <v>277.83</v>
      </c>
    </row>
    <row r="155" spans="20:79" x14ac:dyDescent="0.25">
      <c r="T155" s="43"/>
      <c r="AO155" s="161" t="s">
        <v>188</v>
      </c>
      <c r="AP155">
        <v>50.1</v>
      </c>
      <c r="AU155">
        <v>50.1</v>
      </c>
      <c r="BG155" t="str">
        <f>IFERROR(_xlfn.XLOOKUP($BF155,acct_ref[AccountName],acct_ref[AcctType],"Account Not Found",0),"")</f>
        <v>Account Not Found</v>
      </c>
      <c r="BH155">
        <f t="shared" si="17"/>
        <v>0</v>
      </c>
      <c r="BI155">
        <f t="shared" si="16"/>
        <v>0</v>
      </c>
      <c r="BN155" s="165" t="s">
        <v>487</v>
      </c>
      <c r="BW155">
        <v>1402.04</v>
      </c>
      <c r="CA155">
        <v>1402.04</v>
      </c>
    </row>
    <row r="156" spans="20:79" x14ac:dyDescent="0.25">
      <c r="T156" s="43"/>
      <c r="AO156" s="161" t="s">
        <v>319</v>
      </c>
      <c r="AP156">
        <v>15</v>
      </c>
      <c r="AQ156">
        <v>36</v>
      </c>
      <c r="AU156">
        <v>51</v>
      </c>
      <c r="BG156" t="str">
        <f>IFERROR(_xlfn.XLOOKUP($BF156,acct_ref[AccountName],acct_ref[AcctType],"Account Not Found",0),"")</f>
        <v>Account Not Found</v>
      </c>
      <c r="BH156">
        <f t="shared" si="17"/>
        <v>0</v>
      </c>
      <c r="BI156">
        <f t="shared" si="16"/>
        <v>0</v>
      </c>
      <c r="BN156" s="165" t="s">
        <v>496</v>
      </c>
      <c r="BW156">
        <v>-32.53</v>
      </c>
      <c r="CA156">
        <v>-32.53</v>
      </c>
    </row>
    <row r="157" spans="20:79" x14ac:dyDescent="0.25">
      <c r="T157" s="43"/>
      <c r="AO157" s="161" t="s">
        <v>151</v>
      </c>
      <c r="AP157">
        <v>31.52</v>
      </c>
      <c r="AU157">
        <v>31.52</v>
      </c>
      <c r="BG157" t="str">
        <f>IFERROR(_xlfn.XLOOKUP($BF157,acct_ref[AccountName],acct_ref[AcctType],"Account Not Found",0),"")</f>
        <v>Account Not Found</v>
      </c>
      <c r="BH157">
        <f t="shared" si="17"/>
        <v>0</v>
      </c>
      <c r="BI157">
        <f t="shared" si="16"/>
        <v>0</v>
      </c>
      <c r="BN157" s="165" t="s">
        <v>500</v>
      </c>
      <c r="BW157">
        <v>-89.69</v>
      </c>
      <c r="CA157">
        <v>-89.69</v>
      </c>
    </row>
    <row r="158" spans="20:79" x14ac:dyDescent="0.25">
      <c r="T158" s="43"/>
      <c r="AO158" s="161" t="s">
        <v>142</v>
      </c>
      <c r="AP158">
        <v>11.29</v>
      </c>
      <c r="AU158">
        <v>11.29</v>
      </c>
      <c r="BN158" s="41" t="s">
        <v>212</v>
      </c>
      <c r="BO158">
        <v>176.26</v>
      </c>
      <c r="BP158">
        <v>0</v>
      </c>
      <c r="BQ158">
        <v>86.25</v>
      </c>
      <c r="BR158">
        <v>0</v>
      </c>
      <c r="BS158">
        <v>0</v>
      </c>
      <c r="BT158">
        <v>171.39</v>
      </c>
      <c r="BU158">
        <v>133.30000000000001</v>
      </c>
      <c r="BV158">
        <v>158.31</v>
      </c>
      <c r="BW158">
        <v>0</v>
      </c>
      <c r="BX158">
        <v>0</v>
      </c>
      <c r="BY158">
        <v>550</v>
      </c>
      <c r="BZ158">
        <v>0</v>
      </c>
      <c r="CA158">
        <v>1275.51</v>
      </c>
    </row>
    <row r="159" spans="20:79" x14ac:dyDescent="0.25">
      <c r="T159" s="43"/>
      <c r="AO159" s="161" t="s">
        <v>134</v>
      </c>
      <c r="AQ159">
        <v>0</v>
      </c>
      <c r="AU159">
        <v>0</v>
      </c>
      <c r="BN159" s="161" t="s">
        <v>333</v>
      </c>
      <c r="BO159">
        <v>176.26</v>
      </c>
      <c r="BQ159">
        <v>86.25</v>
      </c>
      <c r="BT159">
        <v>171.39</v>
      </c>
      <c r="BU159">
        <v>133.30000000000001</v>
      </c>
      <c r="BV159">
        <v>158.31</v>
      </c>
      <c r="CA159">
        <v>725.51</v>
      </c>
    </row>
    <row r="160" spans="20:79" x14ac:dyDescent="0.25">
      <c r="T160" s="43"/>
      <c r="AO160" s="161" t="s">
        <v>229</v>
      </c>
      <c r="AP160">
        <v>306.06</v>
      </c>
      <c r="AU160">
        <v>306.06</v>
      </c>
      <c r="BN160" s="165" t="s">
        <v>186</v>
      </c>
      <c r="BO160">
        <v>22.32</v>
      </c>
      <c r="BT160">
        <v>46.1</v>
      </c>
      <c r="CA160">
        <v>68.42</v>
      </c>
    </row>
    <row r="161" spans="20:79" x14ac:dyDescent="0.25">
      <c r="T161" s="43"/>
      <c r="AO161" s="161" t="s">
        <v>147</v>
      </c>
      <c r="AP161">
        <v>10223.16</v>
      </c>
      <c r="AU161">
        <v>10223.16</v>
      </c>
      <c r="BN161" s="165" t="s">
        <v>213</v>
      </c>
      <c r="BO161">
        <v>153.94</v>
      </c>
      <c r="BQ161">
        <v>86.25</v>
      </c>
      <c r="BT161">
        <v>125.28999999999999</v>
      </c>
      <c r="BU161">
        <v>133.30000000000001</v>
      </c>
      <c r="BV161">
        <v>10</v>
      </c>
      <c r="CA161">
        <v>508.78000000000003</v>
      </c>
    </row>
    <row r="162" spans="20:79" x14ac:dyDescent="0.25">
      <c r="T162" s="43"/>
      <c r="AO162" s="161" t="s">
        <v>194</v>
      </c>
      <c r="AP162">
        <v>16</v>
      </c>
      <c r="AU162">
        <v>16</v>
      </c>
      <c r="BN162" s="165" t="s">
        <v>469</v>
      </c>
      <c r="BV162">
        <v>148.31</v>
      </c>
      <c r="CA162">
        <v>148.31</v>
      </c>
    </row>
    <row r="163" spans="20:79" x14ac:dyDescent="0.25">
      <c r="T163" s="43"/>
      <c r="AO163" s="161" t="s">
        <v>371</v>
      </c>
      <c r="AP163">
        <v>67</v>
      </c>
      <c r="AU163">
        <v>67</v>
      </c>
      <c r="BN163" s="161" t="s">
        <v>350</v>
      </c>
      <c r="BO163">
        <v>0</v>
      </c>
      <c r="BP163">
        <v>0</v>
      </c>
      <c r="BQ163">
        <v>0</v>
      </c>
      <c r="BR163">
        <v>0</v>
      </c>
      <c r="BS163">
        <v>0</v>
      </c>
      <c r="BT163">
        <v>0</v>
      </c>
      <c r="BU163">
        <v>0</v>
      </c>
      <c r="BW163">
        <v>0</v>
      </c>
      <c r="BX163">
        <v>0</v>
      </c>
      <c r="BY163">
        <v>500</v>
      </c>
      <c r="BZ163">
        <v>0</v>
      </c>
      <c r="CA163">
        <v>500</v>
      </c>
    </row>
    <row r="164" spans="20:79" x14ac:dyDescent="0.25">
      <c r="T164" s="43"/>
      <c r="AO164" s="161" t="s">
        <v>189</v>
      </c>
      <c r="AP164">
        <v>68.430000000000007</v>
      </c>
      <c r="AU164">
        <v>68.430000000000007</v>
      </c>
      <c r="BN164" s="165" t="s">
        <v>213</v>
      </c>
      <c r="BO164">
        <v>0</v>
      </c>
      <c r="BP164">
        <v>0</v>
      </c>
      <c r="BQ164">
        <v>0</v>
      </c>
      <c r="BR164">
        <v>0</v>
      </c>
      <c r="BS164">
        <v>0</v>
      </c>
      <c r="BT164">
        <v>0</v>
      </c>
      <c r="BU164">
        <v>0</v>
      </c>
      <c r="BW164">
        <v>0</v>
      </c>
      <c r="BX164">
        <v>0</v>
      </c>
      <c r="BY164">
        <v>500</v>
      </c>
      <c r="BZ164">
        <v>0</v>
      </c>
      <c r="CA164">
        <v>500</v>
      </c>
    </row>
    <row r="165" spans="20:79" x14ac:dyDescent="0.25">
      <c r="T165" s="43"/>
      <c r="AO165" s="161" t="s">
        <v>479</v>
      </c>
      <c r="AP165">
        <v>1070.8</v>
      </c>
      <c r="AU165">
        <v>1070.8</v>
      </c>
      <c r="BN165" s="161" t="s">
        <v>171</v>
      </c>
      <c r="BY165">
        <v>50</v>
      </c>
      <c r="CA165">
        <v>50</v>
      </c>
    </row>
    <row r="166" spans="20:79" x14ac:dyDescent="0.25">
      <c r="T166" s="43"/>
      <c r="AO166" s="41" t="s">
        <v>33</v>
      </c>
      <c r="AP166">
        <v>0</v>
      </c>
      <c r="AU166">
        <v>0</v>
      </c>
      <c r="BN166" s="165" t="s">
        <v>213</v>
      </c>
      <c r="BY166">
        <v>50</v>
      </c>
      <c r="CA166">
        <v>50</v>
      </c>
    </row>
    <row r="167" spans="20:79" x14ac:dyDescent="0.25">
      <c r="T167" s="43"/>
      <c r="AO167" s="161" t="s">
        <v>213</v>
      </c>
      <c r="AP167">
        <v>-20</v>
      </c>
      <c r="AU167">
        <v>-20</v>
      </c>
      <c r="BN167" s="41" t="s">
        <v>53</v>
      </c>
      <c r="BO167">
        <v>7160.13</v>
      </c>
      <c r="BP167">
        <v>14</v>
      </c>
      <c r="BQ167">
        <v>50.67</v>
      </c>
      <c r="BR167">
        <v>3</v>
      </c>
      <c r="BS167">
        <v>44.81</v>
      </c>
      <c r="BT167">
        <v>3</v>
      </c>
      <c r="BU167">
        <v>4341.25</v>
      </c>
      <c r="BV167">
        <v>174.63</v>
      </c>
      <c r="BW167">
        <v>134.54</v>
      </c>
      <c r="BX167">
        <v>3</v>
      </c>
      <c r="BY167">
        <v>3</v>
      </c>
      <c r="BZ167">
        <v>3</v>
      </c>
      <c r="CA167">
        <v>11935.029999999999</v>
      </c>
    </row>
    <row r="168" spans="20:79" x14ac:dyDescent="0.25">
      <c r="T168" s="43"/>
      <c r="AO168" s="161" t="s">
        <v>239</v>
      </c>
      <c r="AP168">
        <v>60</v>
      </c>
      <c r="AU168">
        <v>60</v>
      </c>
      <c r="BN168" s="161" t="s">
        <v>333</v>
      </c>
      <c r="BO168">
        <v>7157.13</v>
      </c>
      <c r="BP168">
        <v>11</v>
      </c>
      <c r="BQ168">
        <v>47.67</v>
      </c>
      <c r="BS168">
        <v>41.81</v>
      </c>
      <c r="BU168">
        <v>4338.25</v>
      </c>
      <c r="BV168">
        <v>171.63</v>
      </c>
      <c r="BW168">
        <v>131.54</v>
      </c>
      <c r="CA168">
        <v>11899.029999999999</v>
      </c>
    </row>
    <row r="169" spans="20:79" x14ac:dyDescent="0.25">
      <c r="T169" s="43"/>
      <c r="AO169" s="161" t="s">
        <v>208</v>
      </c>
      <c r="AP169">
        <v>-20</v>
      </c>
      <c r="AU169">
        <v>-20</v>
      </c>
      <c r="BN169" s="165" t="s">
        <v>200</v>
      </c>
      <c r="BQ169">
        <v>39.67</v>
      </c>
      <c r="CA169">
        <v>39.67</v>
      </c>
    </row>
    <row r="170" spans="20:79" x14ac:dyDescent="0.25">
      <c r="T170" s="43"/>
      <c r="AO170" s="161" t="s">
        <v>249</v>
      </c>
      <c r="AP170">
        <v>-20</v>
      </c>
      <c r="AU170">
        <v>-20</v>
      </c>
      <c r="BN170" s="165" t="s">
        <v>188</v>
      </c>
      <c r="BS170">
        <v>38.81</v>
      </c>
      <c r="BU170">
        <v>11.29</v>
      </c>
      <c r="CA170">
        <v>50.1</v>
      </c>
    </row>
    <row r="171" spans="20:79" x14ac:dyDescent="0.25">
      <c r="T171" s="43"/>
      <c r="AO171" s="41" t="s">
        <v>58</v>
      </c>
      <c r="AP171">
        <v>1100</v>
      </c>
      <c r="AR171">
        <v>1000</v>
      </c>
      <c r="AU171">
        <v>2100</v>
      </c>
      <c r="BN171" s="165" t="s">
        <v>319</v>
      </c>
      <c r="BO171">
        <v>3</v>
      </c>
      <c r="BP171">
        <v>3</v>
      </c>
      <c r="BS171">
        <v>3</v>
      </c>
      <c r="BU171">
        <v>3</v>
      </c>
      <c r="BW171">
        <v>3</v>
      </c>
      <c r="CA171">
        <v>15</v>
      </c>
    </row>
    <row r="172" spans="20:79" x14ac:dyDescent="0.25">
      <c r="T172" s="43"/>
      <c r="AO172" s="161" t="s">
        <v>348</v>
      </c>
      <c r="AP172">
        <v>1100</v>
      </c>
      <c r="AR172">
        <v>1000</v>
      </c>
      <c r="AU172">
        <v>2100</v>
      </c>
      <c r="BN172" s="165" t="s">
        <v>151</v>
      </c>
      <c r="BW172">
        <v>31.52</v>
      </c>
      <c r="CA172">
        <v>31.52</v>
      </c>
    </row>
    <row r="173" spans="20:79" x14ac:dyDescent="0.25">
      <c r="T173" s="43"/>
      <c r="AO173" s="41" t="s">
        <v>215</v>
      </c>
      <c r="AP173">
        <v>6494.43</v>
      </c>
      <c r="AU173">
        <v>6494.43</v>
      </c>
      <c r="BN173" s="165" t="s">
        <v>142</v>
      </c>
      <c r="BW173">
        <v>11.29</v>
      </c>
      <c r="CA173">
        <v>11.29</v>
      </c>
    </row>
    <row r="174" spans="20:79" x14ac:dyDescent="0.25">
      <c r="T174" s="43"/>
      <c r="AO174" s="161" t="s">
        <v>203</v>
      </c>
      <c r="AP174">
        <v>4066.68</v>
      </c>
      <c r="AU174">
        <v>4066.68</v>
      </c>
      <c r="BN174" s="165" t="s">
        <v>229</v>
      </c>
      <c r="BO174">
        <v>184.13</v>
      </c>
      <c r="BV174">
        <v>62.63</v>
      </c>
      <c r="BW174">
        <v>59.3</v>
      </c>
      <c r="CA174">
        <v>306.06</v>
      </c>
    </row>
    <row r="175" spans="20:79" x14ac:dyDescent="0.25">
      <c r="T175" s="43"/>
      <c r="AO175" s="161" t="s">
        <v>262</v>
      </c>
      <c r="AP175">
        <v>129.75</v>
      </c>
      <c r="AU175">
        <v>129.75</v>
      </c>
      <c r="BN175" s="165" t="s">
        <v>147</v>
      </c>
      <c r="BO175">
        <v>6970</v>
      </c>
      <c r="BU175">
        <v>3253.16</v>
      </c>
      <c r="CA175">
        <v>10223.16</v>
      </c>
    </row>
    <row r="176" spans="20:79" x14ac:dyDescent="0.25">
      <c r="T176" s="43"/>
      <c r="AO176" s="161" t="s">
        <v>487</v>
      </c>
      <c r="AP176">
        <v>2298</v>
      </c>
      <c r="AU176">
        <v>2298</v>
      </c>
      <c r="BN176" s="165" t="s">
        <v>194</v>
      </c>
      <c r="BP176">
        <v>8</v>
      </c>
      <c r="BQ176">
        <v>8</v>
      </c>
      <c r="CA176">
        <v>16</v>
      </c>
    </row>
    <row r="177" spans="20:79" x14ac:dyDescent="0.25">
      <c r="T177" s="43"/>
      <c r="AO177" s="41" t="s">
        <v>48</v>
      </c>
      <c r="AP177">
        <v>548.99</v>
      </c>
      <c r="AU177">
        <v>548.99</v>
      </c>
      <c r="BN177" s="165" t="s">
        <v>371</v>
      </c>
      <c r="BV177">
        <v>67</v>
      </c>
      <c r="CA177">
        <v>67</v>
      </c>
    </row>
    <row r="178" spans="20:79" x14ac:dyDescent="0.25">
      <c r="T178" s="43"/>
      <c r="AO178" s="161" t="s">
        <v>256</v>
      </c>
      <c r="AP178">
        <v>56.49</v>
      </c>
      <c r="AU178">
        <v>56.49</v>
      </c>
      <c r="BN178" s="165" t="s">
        <v>189</v>
      </c>
      <c r="BV178">
        <v>42</v>
      </c>
      <c r="BW178">
        <v>26.43</v>
      </c>
      <c r="CA178">
        <v>68.430000000000007</v>
      </c>
    </row>
    <row r="179" spans="20:79" x14ac:dyDescent="0.25">
      <c r="T179" s="43"/>
      <c r="AO179" s="161" t="s">
        <v>251</v>
      </c>
      <c r="AP179">
        <v>93.710000000000008</v>
      </c>
      <c r="AU179">
        <v>93.710000000000008</v>
      </c>
      <c r="BN179" s="165" t="s">
        <v>479</v>
      </c>
      <c r="BU179">
        <v>1070.8</v>
      </c>
      <c r="CA179">
        <v>1070.8</v>
      </c>
    </row>
    <row r="180" spans="20:79" x14ac:dyDescent="0.25">
      <c r="T180" s="43"/>
      <c r="AO180" s="161" t="s">
        <v>210</v>
      </c>
      <c r="AP180">
        <v>77.690000000000012</v>
      </c>
      <c r="AU180">
        <v>77.690000000000012</v>
      </c>
      <c r="BN180" s="161" t="s">
        <v>350</v>
      </c>
      <c r="BO180">
        <v>3</v>
      </c>
      <c r="BP180">
        <v>3</v>
      </c>
      <c r="BQ180">
        <v>3</v>
      </c>
      <c r="BR180">
        <v>3</v>
      </c>
      <c r="BS180">
        <v>3</v>
      </c>
      <c r="BT180">
        <v>3</v>
      </c>
      <c r="BU180">
        <v>3</v>
      </c>
      <c r="BV180">
        <v>3</v>
      </c>
      <c r="BW180">
        <v>3</v>
      </c>
      <c r="BX180">
        <v>3</v>
      </c>
      <c r="BY180">
        <v>3</v>
      </c>
      <c r="BZ180">
        <v>3</v>
      </c>
      <c r="CA180">
        <v>36</v>
      </c>
    </row>
    <row r="181" spans="20:79" x14ac:dyDescent="0.25">
      <c r="T181" s="43"/>
      <c r="AO181" s="161" t="s">
        <v>398</v>
      </c>
      <c r="AP181">
        <v>218.09</v>
      </c>
      <c r="AU181">
        <v>218.09</v>
      </c>
      <c r="BN181" s="165" t="s">
        <v>319</v>
      </c>
      <c r="BO181">
        <v>3</v>
      </c>
      <c r="BP181">
        <v>3</v>
      </c>
      <c r="BQ181">
        <v>3</v>
      </c>
      <c r="BR181">
        <v>3</v>
      </c>
      <c r="BS181">
        <v>3</v>
      </c>
      <c r="BT181">
        <v>3</v>
      </c>
      <c r="BU181">
        <v>3</v>
      </c>
      <c r="BV181">
        <v>3</v>
      </c>
      <c r="BW181">
        <v>3</v>
      </c>
      <c r="BX181">
        <v>3</v>
      </c>
      <c r="BY181">
        <v>3</v>
      </c>
      <c r="BZ181">
        <v>3</v>
      </c>
      <c r="CA181">
        <v>36</v>
      </c>
    </row>
    <row r="182" spans="20:79" x14ac:dyDescent="0.25">
      <c r="T182" s="43"/>
      <c r="AO182" s="161" t="s">
        <v>221</v>
      </c>
      <c r="AP182">
        <v>45.19</v>
      </c>
      <c r="AU182">
        <v>45.19</v>
      </c>
      <c r="BN182" s="165" t="s">
        <v>134</v>
      </c>
      <c r="BO182">
        <v>0</v>
      </c>
      <c r="BP182">
        <v>0</v>
      </c>
      <c r="BQ182">
        <v>0</v>
      </c>
      <c r="BR182">
        <v>0</v>
      </c>
      <c r="BS182">
        <v>0</v>
      </c>
      <c r="BT182">
        <v>0</v>
      </c>
      <c r="BU182">
        <v>0</v>
      </c>
      <c r="BV182">
        <v>0</v>
      </c>
      <c r="BW182">
        <v>0</v>
      </c>
      <c r="BX182">
        <v>0</v>
      </c>
      <c r="BY182">
        <v>0</v>
      </c>
      <c r="BZ182">
        <v>0</v>
      </c>
      <c r="CA182">
        <v>0</v>
      </c>
    </row>
    <row r="183" spans="20:79" x14ac:dyDescent="0.25">
      <c r="T183" s="43"/>
      <c r="AO183" s="161" t="s">
        <v>197</v>
      </c>
      <c r="AP183">
        <v>38.619999999999997</v>
      </c>
      <c r="AU183">
        <v>38.619999999999997</v>
      </c>
      <c r="BN183" s="41" t="s">
        <v>33</v>
      </c>
      <c r="BS183">
        <v>0</v>
      </c>
      <c r="BT183">
        <v>0</v>
      </c>
      <c r="BV183">
        <v>0</v>
      </c>
      <c r="CA183">
        <v>0</v>
      </c>
    </row>
    <row r="184" spans="20:79" x14ac:dyDescent="0.25">
      <c r="T184" s="43"/>
      <c r="AO184" s="161" t="s">
        <v>465</v>
      </c>
      <c r="AP184">
        <v>19.2</v>
      </c>
      <c r="AU184">
        <v>19.2</v>
      </c>
      <c r="BN184" s="161" t="s">
        <v>333</v>
      </c>
      <c r="BS184">
        <v>0</v>
      </c>
      <c r="BT184">
        <v>0</v>
      </c>
      <c r="BV184">
        <v>0</v>
      </c>
      <c r="CA184">
        <v>0</v>
      </c>
    </row>
    <row r="185" spans="20:79" x14ac:dyDescent="0.25">
      <c r="T185" s="43"/>
      <c r="AO185" s="41" t="s">
        <v>35</v>
      </c>
      <c r="AP185">
        <v>161.76000000000002</v>
      </c>
      <c r="AU185">
        <v>161.76000000000002</v>
      </c>
      <c r="BN185" s="165" t="s">
        <v>213</v>
      </c>
      <c r="BT185">
        <v>-20</v>
      </c>
      <c r="CA185">
        <v>-20</v>
      </c>
    </row>
    <row r="186" spans="20:79" x14ac:dyDescent="0.25">
      <c r="T186" s="43"/>
      <c r="AO186" s="161" t="s">
        <v>321</v>
      </c>
      <c r="AP186">
        <v>161.76000000000002</v>
      </c>
      <c r="AU186">
        <v>161.76000000000002</v>
      </c>
      <c r="BN186" s="165" t="s">
        <v>239</v>
      </c>
      <c r="BS186">
        <v>20</v>
      </c>
      <c r="BT186">
        <v>20</v>
      </c>
      <c r="BV186">
        <v>20</v>
      </c>
      <c r="CA186">
        <v>60</v>
      </c>
    </row>
    <row r="187" spans="20:79" x14ac:dyDescent="0.25">
      <c r="T187" s="43"/>
      <c r="AO187" s="41" t="s">
        <v>47</v>
      </c>
      <c r="AP187">
        <v>10398</v>
      </c>
      <c r="AS187">
        <v>4949</v>
      </c>
      <c r="AU187">
        <v>15347</v>
      </c>
      <c r="BN187" s="165" t="s">
        <v>208</v>
      </c>
      <c r="BS187">
        <v>-20</v>
      </c>
      <c r="CA187">
        <v>-20</v>
      </c>
    </row>
    <row r="188" spans="20:79" x14ac:dyDescent="0.25">
      <c r="T188" s="43"/>
      <c r="AO188" s="161" t="s">
        <v>343</v>
      </c>
      <c r="AS188">
        <v>4949</v>
      </c>
      <c r="AU188">
        <v>4949</v>
      </c>
      <c r="BN188" s="165" t="s">
        <v>249</v>
      </c>
      <c r="BV188">
        <v>-20</v>
      </c>
      <c r="CA188">
        <v>-20</v>
      </c>
    </row>
    <row r="189" spans="20:79" x14ac:dyDescent="0.25">
      <c r="T189" s="43"/>
      <c r="AO189" s="161" t="s">
        <v>147</v>
      </c>
      <c r="AP189">
        <v>3428</v>
      </c>
      <c r="AU189">
        <v>3428</v>
      </c>
      <c r="BN189" s="41" t="s">
        <v>58</v>
      </c>
      <c r="BV189">
        <v>1000</v>
      </c>
      <c r="BW189">
        <v>600</v>
      </c>
      <c r="BZ189">
        <v>500</v>
      </c>
      <c r="CA189">
        <v>2100</v>
      </c>
    </row>
    <row r="190" spans="20:79" x14ac:dyDescent="0.25">
      <c r="T190" s="43"/>
      <c r="AO190" s="161" t="s">
        <v>435</v>
      </c>
      <c r="AP190">
        <v>6970</v>
      </c>
      <c r="AU190">
        <v>6970</v>
      </c>
      <c r="BN190" s="161" t="s">
        <v>333</v>
      </c>
      <c r="BV190">
        <v>1000</v>
      </c>
      <c r="BW190">
        <v>100</v>
      </c>
      <c r="CA190">
        <v>1100</v>
      </c>
    </row>
    <row r="191" spans="20:79" x14ac:dyDescent="0.25">
      <c r="T191" s="43"/>
      <c r="AO191" s="41" t="s">
        <v>51</v>
      </c>
      <c r="AP191">
        <v>2079.3200000000002</v>
      </c>
      <c r="AQ191">
        <v>60</v>
      </c>
      <c r="AT191">
        <v>900</v>
      </c>
      <c r="AU191">
        <v>3039.3199999999997</v>
      </c>
      <c r="BN191" s="165" t="s">
        <v>348</v>
      </c>
      <c r="BV191">
        <v>1000</v>
      </c>
      <c r="BW191">
        <v>100</v>
      </c>
      <c r="CA191">
        <v>1100</v>
      </c>
    </row>
    <row r="192" spans="20:79" x14ac:dyDescent="0.25">
      <c r="T192" s="43"/>
      <c r="AO192" s="161" t="s">
        <v>247</v>
      </c>
      <c r="AT192">
        <v>750</v>
      </c>
      <c r="AU192">
        <v>750</v>
      </c>
      <c r="BN192" s="161" t="s">
        <v>349</v>
      </c>
      <c r="BW192">
        <v>500</v>
      </c>
      <c r="BZ192">
        <v>500</v>
      </c>
      <c r="CA192">
        <v>1000</v>
      </c>
    </row>
    <row r="193" spans="20:79" x14ac:dyDescent="0.25">
      <c r="T193" s="43"/>
      <c r="AO193" s="161" t="s">
        <v>143</v>
      </c>
      <c r="AQ193">
        <v>60</v>
      </c>
      <c r="AU193">
        <v>60</v>
      </c>
      <c r="BN193" s="165" t="s">
        <v>348</v>
      </c>
      <c r="BW193">
        <v>500</v>
      </c>
      <c r="BZ193">
        <v>500</v>
      </c>
      <c r="CA193">
        <v>1000</v>
      </c>
    </row>
    <row r="194" spans="20:79" x14ac:dyDescent="0.25">
      <c r="T194" s="43"/>
      <c r="AO194" s="161" t="s">
        <v>234</v>
      </c>
      <c r="AP194">
        <v>340</v>
      </c>
      <c r="AU194">
        <v>340</v>
      </c>
      <c r="BN194" s="41" t="s">
        <v>215</v>
      </c>
      <c r="BO194">
        <v>122</v>
      </c>
      <c r="BR194">
        <v>3944.68</v>
      </c>
      <c r="BU194">
        <v>129.75</v>
      </c>
      <c r="BW194">
        <v>2298</v>
      </c>
      <c r="CA194">
        <v>6494.43</v>
      </c>
    </row>
    <row r="195" spans="20:79" x14ac:dyDescent="0.25">
      <c r="T195" s="43"/>
      <c r="AO195" s="161" t="s">
        <v>460</v>
      </c>
      <c r="AP195">
        <v>581.6</v>
      </c>
      <c r="AT195">
        <v>150</v>
      </c>
      <c r="AU195">
        <v>731.6</v>
      </c>
      <c r="BN195" s="161" t="s">
        <v>333</v>
      </c>
      <c r="BO195">
        <v>122</v>
      </c>
      <c r="BR195">
        <v>3944.68</v>
      </c>
      <c r="BU195">
        <v>129.75</v>
      </c>
      <c r="BW195">
        <v>2298</v>
      </c>
      <c r="CA195">
        <v>6494.43</v>
      </c>
    </row>
    <row r="196" spans="20:79" x14ac:dyDescent="0.25">
      <c r="T196" s="43"/>
      <c r="AO196" s="161" t="s">
        <v>206</v>
      </c>
      <c r="AP196">
        <v>1157.72</v>
      </c>
      <c r="AU196">
        <v>1157.72</v>
      </c>
      <c r="BN196" s="165" t="s">
        <v>203</v>
      </c>
      <c r="BO196">
        <v>122</v>
      </c>
      <c r="BR196">
        <v>3944.68</v>
      </c>
      <c r="BU196">
        <v>0</v>
      </c>
      <c r="CA196">
        <v>4066.68</v>
      </c>
    </row>
    <row r="197" spans="20:79" x14ac:dyDescent="0.25">
      <c r="T197" s="43"/>
      <c r="AO197" s="41" t="s">
        <v>55</v>
      </c>
      <c r="AP197">
        <v>43025.89</v>
      </c>
      <c r="AU197">
        <v>43025.89</v>
      </c>
      <c r="BN197" s="165" t="s">
        <v>262</v>
      </c>
      <c r="BU197">
        <v>129.75</v>
      </c>
      <c r="CA197">
        <v>129.75</v>
      </c>
    </row>
    <row r="198" spans="20:79" x14ac:dyDescent="0.25">
      <c r="T198" s="43"/>
      <c r="AO198" s="161" t="s">
        <v>435</v>
      </c>
      <c r="AP198">
        <v>43025.89</v>
      </c>
      <c r="AU198">
        <v>43025.89</v>
      </c>
      <c r="BN198" s="165" t="s">
        <v>487</v>
      </c>
      <c r="BW198">
        <v>2298</v>
      </c>
      <c r="CA198">
        <v>2298</v>
      </c>
    </row>
    <row r="199" spans="20:79" x14ac:dyDescent="0.25">
      <c r="T199" s="43"/>
      <c r="AO199" s="41" t="s">
        <v>211</v>
      </c>
      <c r="AP199">
        <v>4660.7099999999991</v>
      </c>
      <c r="AQ199">
        <v>5055</v>
      </c>
      <c r="AU199">
        <v>9715.7099999999973</v>
      </c>
      <c r="BN199" s="41" t="s">
        <v>48</v>
      </c>
      <c r="BQ199">
        <v>45.19</v>
      </c>
      <c r="BS199">
        <v>4.29</v>
      </c>
      <c r="BT199">
        <v>131</v>
      </c>
      <c r="BU199">
        <v>218.09</v>
      </c>
      <c r="BV199">
        <v>150.41999999999999</v>
      </c>
      <c r="CA199">
        <v>548.99</v>
      </c>
    </row>
    <row r="200" spans="20:79" x14ac:dyDescent="0.25">
      <c r="T200" s="43"/>
      <c r="AO200" s="161" t="s">
        <v>200</v>
      </c>
      <c r="AP200">
        <v>24.28</v>
      </c>
      <c r="AU200">
        <v>24.28</v>
      </c>
      <c r="BN200" s="161" t="s">
        <v>333</v>
      </c>
      <c r="BQ200">
        <v>45.19</v>
      </c>
      <c r="BS200">
        <v>4.29</v>
      </c>
      <c r="BT200">
        <v>131</v>
      </c>
      <c r="BU200">
        <v>218.09</v>
      </c>
      <c r="BV200">
        <v>150.41999999999999</v>
      </c>
      <c r="CA200">
        <v>548.99</v>
      </c>
    </row>
    <row r="201" spans="20:79" x14ac:dyDescent="0.25">
      <c r="T201" s="43"/>
      <c r="AO201" s="161" t="s">
        <v>185</v>
      </c>
      <c r="AP201">
        <v>3011.0799999999986</v>
      </c>
      <c r="AQ201">
        <v>4000</v>
      </c>
      <c r="AU201">
        <v>7011.0799999999981</v>
      </c>
      <c r="BN201" s="165" t="s">
        <v>256</v>
      </c>
      <c r="BT201">
        <v>56.49</v>
      </c>
      <c r="CA201">
        <v>56.49</v>
      </c>
    </row>
    <row r="202" spans="20:79" x14ac:dyDescent="0.25">
      <c r="T202" s="43"/>
      <c r="AO202" s="161" t="s">
        <v>235</v>
      </c>
      <c r="AP202">
        <v>1663.0200000000007</v>
      </c>
      <c r="AQ202">
        <v>1055</v>
      </c>
      <c r="AU202">
        <v>2718.0200000000004</v>
      </c>
      <c r="BN202" s="165" t="s">
        <v>251</v>
      </c>
      <c r="BT202">
        <v>74.510000000000005</v>
      </c>
      <c r="BV202">
        <v>19.2</v>
      </c>
      <c r="CA202">
        <v>93.710000000000008</v>
      </c>
    </row>
    <row r="203" spans="20:79" x14ac:dyDescent="0.25">
      <c r="T203" s="43"/>
      <c r="AO203" s="161" t="s">
        <v>467</v>
      </c>
      <c r="AP203">
        <v>-27.4</v>
      </c>
      <c r="AU203">
        <v>-27.4</v>
      </c>
      <c r="BN203" s="165" t="s">
        <v>210</v>
      </c>
      <c r="BS203">
        <v>4.29</v>
      </c>
      <c r="BV203">
        <v>73.400000000000006</v>
      </c>
      <c r="CA203">
        <v>77.690000000000012</v>
      </c>
    </row>
    <row r="204" spans="20:79" x14ac:dyDescent="0.25">
      <c r="T204" s="43"/>
      <c r="AO204" s="161" t="s">
        <v>335</v>
      </c>
      <c r="AP204">
        <v>-63.5</v>
      </c>
      <c r="AU204">
        <v>-63.5</v>
      </c>
      <c r="BN204" s="165" t="s">
        <v>398</v>
      </c>
      <c r="BU204">
        <v>218.09</v>
      </c>
      <c r="CA204">
        <v>218.09</v>
      </c>
    </row>
    <row r="205" spans="20:79" x14ac:dyDescent="0.25">
      <c r="T205" s="43"/>
      <c r="AO205" s="161" t="s">
        <v>490</v>
      </c>
      <c r="AP205">
        <v>53.230000000000004</v>
      </c>
      <c r="AU205">
        <v>53.230000000000004</v>
      </c>
      <c r="BN205" s="165" t="s">
        <v>221</v>
      </c>
      <c r="BQ205">
        <v>45.19</v>
      </c>
      <c r="CA205">
        <v>45.19</v>
      </c>
    </row>
    <row r="206" spans="20:79" x14ac:dyDescent="0.25">
      <c r="T206" s="43"/>
      <c r="AO206" s="41" t="s">
        <v>129</v>
      </c>
      <c r="AP206">
        <v>1986.94</v>
      </c>
      <c r="AQ206">
        <v>768.59</v>
      </c>
      <c r="AT206">
        <v>550</v>
      </c>
      <c r="AU206">
        <v>3305.5300000000007</v>
      </c>
      <c r="BN206" s="165" t="s">
        <v>197</v>
      </c>
      <c r="BV206">
        <v>38.619999999999997</v>
      </c>
      <c r="CA206">
        <v>38.619999999999997</v>
      </c>
    </row>
    <row r="207" spans="20:79" x14ac:dyDescent="0.25">
      <c r="T207" s="43"/>
      <c r="AO207" s="161" t="s">
        <v>198</v>
      </c>
      <c r="AP207">
        <v>423.01</v>
      </c>
      <c r="AT207">
        <v>450</v>
      </c>
      <c r="AU207">
        <v>873.01</v>
      </c>
      <c r="BN207" s="165" t="s">
        <v>465</v>
      </c>
      <c r="BV207">
        <v>19.2</v>
      </c>
      <c r="CA207">
        <v>19.2</v>
      </c>
    </row>
    <row r="208" spans="20:79" x14ac:dyDescent="0.25">
      <c r="T208" s="43"/>
      <c r="AO208" s="161" t="s">
        <v>209</v>
      </c>
      <c r="AP208">
        <v>56.47</v>
      </c>
      <c r="AU208">
        <v>56.47</v>
      </c>
      <c r="BN208" s="41" t="s">
        <v>35</v>
      </c>
      <c r="BO208">
        <v>0</v>
      </c>
      <c r="BP208">
        <v>26.96</v>
      </c>
      <c r="BQ208">
        <v>-26.96</v>
      </c>
      <c r="BR208">
        <v>26.96</v>
      </c>
      <c r="BS208">
        <v>26.96</v>
      </c>
      <c r="BT208">
        <v>26.96</v>
      </c>
      <c r="BU208">
        <v>26.96</v>
      </c>
      <c r="BV208">
        <v>26.96</v>
      </c>
      <c r="BW208">
        <v>26.96</v>
      </c>
      <c r="CA208">
        <v>161.76000000000002</v>
      </c>
    </row>
    <row r="209" spans="20:79" x14ac:dyDescent="0.25">
      <c r="T209" s="43"/>
      <c r="AO209" s="161" t="s">
        <v>236</v>
      </c>
      <c r="AP209">
        <v>132.51</v>
      </c>
      <c r="AU209">
        <v>132.51</v>
      </c>
      <c r="BN209" s="161" t="s">
        <v>333</v>
      </c>
      <c r="BO209">
        <v>0</v>
      </c>
      <c r="BP209">
        <v>26.96</v>
      </c>
      <c r="BQ209">
        <v>-26.96</v>
      </c>
      <c r="BR209">
        <v>26.96</v>
      </c>
      <c r="BS209">
        <v>26.96</v>
      </c>
      <c r="BT209">
        <v>26.96</v>
      </c>
      <c r="BU209">
        <v>26.96</v>
      </c>
      <c r="BV209">
        <v>26.96</v>
      </c>
      <c r="BW209">
        <v>26.96</v>
      </c>
      <c r="CA209">
        <v>161.76000000000002</v>
      </c>
    </row>
    <row r="210" spans="20:79" x14ac:dyDescent="0.25">
      <c r="T210" s="43"/>
      <c r="AO210" s="161" t="s">
        <v>230</v>
      </c>
      <c r="AP210">
        <v>263.55</v>
      </c>
      <c r="AU210">
        <v>263.55</v>
      </c>
      <c r="BN210" s="165" t="s">
        <v>321</v>
      </c>
      <c r="BO210">
        <v>0</v>
      </c>
      <c r="BP210">
        <v>26.96</v>
      </c>
      <c r="BQ210">
        <v>-26.96</v>
      </c>
      <c r="BR210">
        <v>26.96</v>
      </c>
      <c r="BS210">
        <v>26.96</v>
      </c>
      <c r="BT210">
        <v>26.96</v>
      </c>
      <c r="BU210">
        <v>26.96</v>
      </c>
      <c r="BV210">
        <v>26.96</v>
      </c>
      <c r="BW210">
        <v>26.96</v>
      </c>
      <c r="CA210">
        <v>161.76000000000002</v>
      </c>
    </row>
    <row r="211" spans="20:79" x14ac:dyDescent="0.25">
      <c r="T211" s="43"/>
      <c r="AO211" s="161" t="s">
        <v>227</v>
      </c>
      <c r="AP211">
        <v>135.26</v>
      </c>
      <c r="AT211">
        <v>100</v>
      </c>
      <c r="AU211">
        <v>235.26</v>
      </c>
      <c r="BN211" s="41" t="s">
        <v>47</v>
      </c>
      <c r="BO211">
        <v>6970</v>
      </c>
      <c r="BW211">
        <v>8377</v>
      </c>
      <c r="CA211">
        <v>15347</v>
      </c>
    </row>
    <row r="212" spans="20:79" x14ac:dyDescent="0.25">
      <c r="T212" s="43"/>
      <c r="AO212" s="161" t="s">
        <v>141</v>
      </c>
      <c r="AP212">
        <v>161.44999999999999</v>
      </c>
      <c r="AQ212">
        <v>142.99</v>
      </c>
      <c r="AU212">
        <v>304.44</v>
      </c>
      <c r="BN212" s="161" t="s">
        <v>333</v>
      </c>
      <c r="BO212">
        <v>6970</v>
      </c>
      <c r="BW212">
        <v>3428</v>
      </c>
      <c r="CA212">
        <v>10398</v>
      </c>
    </row>
    <row r="213" spans="20:79" x14ac:dyDescent="0.25">
      <c r="T213" s="43"/>
      <c r="AO213" s="161" t="s">
        <v>151</v>
      </c>
      <c r="AP213">
        <v>190.35999999999999</v>
      </c>
      <c r="AQ213">
        <v>287.28000000000009</v>
      </c>
      <c r="AU213">
        <v>477.6400000000001</v>
      </c>
      <c r="BN213" s="165" t="s">
        <v>147</v>
      </c>
      <c r="BW213">
        <v>3428</v>
      </c>
      <c r="CA213">
        <v>3428</v>
      </c>
    </row>
    <row r="214" spans="20:79" x14ac:dyDescent="0.25">
      <c r="T214" s="43"/>
      <c r="AO214" s="161" t="s">
        <v>152</v>
      </c>
      <c r="AP214">
        <v>112.92</v>
      </c>
      <c r="AQ214">
        <v>114.48</v>
      </c>
      <c r="AU214">
        <v>227.4</v>
      </c>
      <c r="BN214" s="165" t="s">
        <v>435</v>
      </c>
      <c r="BO214">
        <v>6970</v>
      </c>
      <c r="CA214">
        <v>6970</v>
      </c>
    </row>
    <row r="215" spans="20:79" x14ac:dyDescent="0.25">
      <c r="T215" s="43"/>
      <c r="AO215" s="161" t="s">
        <v>138</v>
      </c>
      <c r="AQ215">
        <v>31.68</v>
      </c>
      <c r="AU215">
        <v>31.68</v>
      </c>
      <c r="BN215" s="161" t="s">
        <v>351</v>
      </c>
      <c r="BW215">
        <v>4949</v>
      </c>
      <c r="CA215">
        <v>4949</v>
      </c>
    </row>
    <row r="216" spans="20:79" x14ac:dyDescent="0.25">
      <c r="T216" s="43"/>
      <c r="AO216" s="161" t="s">
        <v>237</v>
      </c>
      <c r="AP216">
        <v>139.22999999999999</v>
      </c>
      <c r="AU216">
        <v>139.22999999999999</v>
      </c>
      <c r="BN216" s="165" t="s">
        <v>343</v>
      </c>
      <c r="BW216">
        <v>4949</v>
      </c>
      <c r="CA216">
        <v>4949</v>
      </c>
    </row>
    <row r="217" spans="20:79" x14ac:dyDescent="0.25">
      <c r="T217" s="43"/>
      <c r="AO217" s="161" t="s">
        <v>139</v>
      </c>
      <c r="AQ217">
        <v>41.4</v>
      </c>
      <c r="AU217">
        <v>41.4</v>
      </c>
      <c r="BN217" s="41" t="s">
        <v>51</v>
      </c>
      <c r="BO217">
        <v>253.9</v>
      </c>
      <c r="BP217">
        <v>667.7</v>
      </c>
      <c r="BQ217">
        <v>0</v>
      </c>
      <c r="BR217">
        <v>0</v>
      </c>
      <c r="BS217">
        <v>0</v>
      </c>
      <c r="BT217">
        <v>0</v>
      </c>
      <c r="BU217">
        <v>0</v>
      </c>
      <c r="BV217">
        <v>0</v>
      </c>
      <c r="BW217">
        <v>1157.72</v>
      </c>
      <c r="BX217">
        <v>960</v>
      </c>
      <c r="BY217">
        <v>0</v>
      </c>
      <c r="BZ217">
        <v>0</v>
      </c>
      <c r="CA217">
        <v>3039.32</v>
      </c>
    </row>
    <row r="218" spans="20:79" x14ac:dyDescent="0.25">
      <c r="T218" s="43"/>
      <c r="AO218" s="161" t="s">
        <v>137</v>
      </c>
      <c r="AQ218">
        <v>27.59</v>
      </c>
      <c r="AU218">
        <v>27.59</v>
      </c>
      <c r="BN218" s="161" t="s">
        <v>333</v>
      </c>
      <c r="BO218">
        <v>253.9</v>
      </c>
      <c r="BP218">
        <v>667.7</v>
      </c>
      <c r="BW218">
        <v>1157.72</v>
      </c>
      <c r="CA218">
        <v>2079.3200000000002</v>
      </c>
    </row>
    <row r="219" spans="20:79" x14ac:dyDescent="0.25">
      <c r="T219" s="43"/>
      <c r="AO219" s="161" t="s">
        <v>150</v>
      </c>
      <c r="AP219">
        <v>18.63</v>
      </c>
      <c r="AU219">
        <v>18.63</v>
      </c>
      <c r="BN219" s="165" t="s">
        <v>234</v>
      </c>
      <c r="BP219">
        <v>340</v>
      </c>
      <c r="CA219">
        <v>340</v>
      </c>
    </row>
    <row r="220" spans="20:79" x14ac:dyDescent="0.25">
      <c r="T220" s="43"/>
      <c r="AO220" s="161" t="s">
        <v>144</v>
      </c>
      <c r="AP220">
        <v>123.17</v>
      </c>
      <c r="AQ220">
        <v>123.17</v>
      </c>
      <c r="AU220">
        <v>246.34</v>
      </c>
      <c r="BN220" s="165" t="s">
        <v>460</v>
      </c>
      <c r="BO220">
        <v>253.9</v>
      </c>
      <c r="BP220">
        <v>327.7</v>
      </c>
      <c r="CA220">
        <v>581.6</v>
      </c>
    </row>
    <row r="221" spans="20:79" x14ac:dyDescent="0.25">
      <c r="T221" s="43"/>
      <c r="AO221" s="161" t="s">
        <v>498</v>
      </c>
      <c r="AP221">
        <v>230.38</v>
      </c>
      <c r="AU221">
        <v>230.38</v>
      </c>
      <c r="BN221" s="165" t="s">
        <v>206</v>
      </c>
      <c r="BW221">
        <v>1157.72</v>
      </c>
      <c r="CA221">
        <v>1157.72</v>
      </c>
    </row>
    <row r="222" spans="20:79" x14ac:dyDescent="0.25">
      <c r="T222" s="43"/>
      <c r="AO222" s="41" t="s">
        <v>36</v>
      </c>
      <c r="AP222">
        <v>621.83000000000004</v>
      </c>
      <c r="AQ222">
        <v>680</v>
      </c>
      <c r="AU222">
        <v>1301.8300000000002</v>
      </c>
      <c r="BN222" s="161" t="s">
        <v>350</v>
      </c>
      <c r="BO222">
        <v>0</v>
      </c>
      <c r="BP222">
        <v>0</v>
      </c>
      <c r="BQ222">
        <v>0</v>
      </c>
      <c r="BR222">
        <v>0</v>
      </c>
      <c r="BS222">
        <v>0</v>
      </c>
      <c r="BT222">
        <v>0</v>
      </c>
      <c r="BU222">
        <v>0</v>
      </c>
      <c r="BV222">
        <v>0</v>
      </c>
      <c r="BX222">
        <v>60</v>
      </c>
      <c r="BY222">
        <v>0</v>
      </c>
      <c r="BZ222">
        <v>0</v>
      </c>
      <c r="CA222">
        <v>60</v>
      </c>
    </row>
    <row r="223" spans="20:79" x14ac:dyDescent="0.25">
      <c r="T223" s="43"/>
      <c r="AO223" s="161" t="s">
        <v>131</v>
      </c>
      <c r="AP223">
        <v>513.36</v>
      </c>
      <c r="AQ223">
        <v>680</v>
      </c>
      <c r="AU223">
        <v>1193.3600000000001</v>
      </c>
      <c r="BN223" s="165" t="s">
        <v>143</v>
      </c>
      <c r="BO223">
        <v>0</v>
      </c>
      <c r="BP223">
        <v>0</v>
      </c>
      <c r="BQ223">
        <v>0</v>
      </c>
      <c r="BR223">
        <v>0</v>
      </c>
      <c r="BS223">
        <v>0</v>
      </c>
      <c r="BT223">
        <v>0</v>
      </c>
      <c r="BU223">
        <v>0</v>
      </c>
      <c r="BV223">
        <v>0</v>
      </c>
      <c r="BX223">
        <v>60</v>
      </c>
      <c r="BY223">
        <v>0</v>
      </c>
      <c r="BZ223">
        <v>0</v>
      </c>
      <c r="CA223">
        <v>60</v>
      </c>
    </row>
    <row r="224" spans="20:79" x14ac:dyDescent="0.25">
      <c r="T224" s="43"/>
      <c r="AO224" s="161" t="s">
        <v>219</v>
      </c>
      <c r="AP224">
        <v>90.4</v>
      </c>
      <c r="AU224">
        <v>90.4</v>
      </c>
      <c r="BN224" s="161" t="s">
        <v>171</v>
      </c>
      <c r="BX224">
        <v>900</v>
      </c>
      <c r="CA224">
        <v>900</v>
      </c>
    </row>
    <row r="225" spans="20:79" x14ac:dyDescent="0.25">
      <c r="T225" s="43"/>
      <c r="AO225" s="161" t="s">
        <v>468</v>
      </c>
      <c r="AP225">
        <v>18.07</v>
      </c>
      <c r="AU225">
        <v>18.07</v>
      </c>
      <c r="BN225" s="165" t="s">
        <v>247</v>
      </c>
      <c r="BX225">
        <v>750</v>
      </c>
      <c r="CA225">
        <v>750</v>
      </c>
    </row>
    <row r="226" spans="20:79" x14ac:dyDescent="0.25">
      <c r="T226" s="43"/>
      <c r="AO226" s="41" t="s">
        <v>102</v>
      </c>
      <c r="AP226">
        <v>31.400000000000009</v>
      </c>
      <c r="AU226">
        <v>31.400000000000009</v>
      </c>
      <c r="BN226" s="165" t="s">
        <v>460</v>
      </c>
      <c r="BX226">
        <v>150</v>
      </c>
      <c r="CA226">
        <v>150</v>
      </c>
    </row>
    <row r="227" spans="20:79" x14ac:dyDescent="0.25">
      <c r="T227" s="43"/>
      <c r="AO227" s="161" t="s">
        <v>115</v>
      </c>
      <c r="AP227">
        <v>31.400000000000009</v>
      </c>
      <c r="AU227">
        <v>31.400000000000009</v>
      </c>
      <c r="BN227" s="41" t="s">
        <v>55</v>
      </c>
      <c r="BO227">
        <v>7666.42</v>
      </c>
      <c r="BV227">
        <v>35359.47</v>
      </c>
      <c r="CA227">
        <v>43025.89</v>
      </c>
    </row>
    <row r="228" spans="20:79" x14ac:dyDescent="0.25">
      <c r="T228" s="43"/>
      <c r="AO228" s="41" t="s">
        <v>91</v>
      </c>
      <c r="AP228">
        <v>377.63</v>
      </c>
      <c r="AU228">
        <v>377.63</v>
      </c>
      <c r="BN228" s="161" t="s">
        <v>333</v>
      </c>
      <c r="BO228">
        <v>7666.42</v>
      </c>
      <c r="BV228">
        <v>35359.47</v>
      </c>
      <c r="CA228">
        <v>43025.89</v>
      </c>
    </row>
    <row r="229" spans="20:79" x14ac:dyDescent="0.25">
      <c r="T229" s="43"/>
      <c r="AO229" s="161" t="s">
        <v>344</v>
      </c>
      <c r="AP229">
        <v>-13.5</v>
      </c>
      <c r="AU229">
        <v>-13.5</v>
      </c>
      <c r="BN229" s="165" t="s">
        <v>435</v>
      </c>
      <c r="BO229">
        <v>7666.42</v>
      </c>
      <c r="BV229">
        <v>35359.47</v>
      </c>
      <c r="CA229">
        <v>43025.89</v>
      </c>
    </row>
    <row r="230" spans="20:79" x14ac:dyDescent="0.25">
      <c r="T230" s="43"/>
      <c r="AO230" s="161" t="s">
        <v>234</v>
      </c>
      <c r="AP230">
        <v>340</v>
      </c>
      <c r="AU230">
        <v>340</v>
      </c>
      <c r="BN230" s="41" t="s">
        <v>211</v>
      </c>
      <c r="BO230">
        <v>483.80000000000007</v>
      </c>
      <c r="BP230">
        <v>886.76</v>
      </c>
      <c r="BQ230">
        <v>1045.75</v>
      </c>
      <c r="BR230">
        <v>919.8</v>
      </c>
      <c r="BS230">
        <v>1325.52</v>
      </c>
      <c r="BT230">
        <v>1048.2</v>
      </c>
      <c r="BU230">
        <v>941.72</v>
      </c>
      <c r="BV230">
        <v>915.22</v>
      </c>
      <c r="BW230">
        <v>773.94</v>
      </c>
      <c r="BX230">
        <v>475</v>
      </c>
      <c r="BY230">
        <v>450</v>
      </c>
      <c r="BZ230">
        <v>450</v>
      </c>
      <c r="CA230">
        <v>9715.7099999999991</v>
      </c>
    </row>
    <row r="231" spans="20:79" x14ac:dyDescent="0.25">
      <c r="T231" s="43"/>
      <c r="AO231" s="161" t="s">
        <v>228</v>
      </c>
      <c r="AP231">
        <v>51.13</v>
      </c>
      <c r="AU231">
        <v>51.13</v>
      </c>
      <c r="BN231" s="161" t="s">
        <v>333</v>
      </c>
      <c r="BO231">
        <v>483.80000000000007</v>
      </c>
      <c r="BP231">
        <v>426.76</v>
      </c>
      <c r="BQ231">
        <v>585.75</v>
      </c>
      <c r="BR231">
        <v>459.8</v>
      </c>
      <c r="BS231">
        <v>675.52</v>
      </c>
      <c r="BT231">
        <v>598.20000000000005</v>
      </c>
      <c r="BU231">
        <v>516.72</v>
      </c>
      <c r="BV231">
        <v>515.22</v>
      </c>
      <c r="BW231">
        <v>398.94000000000005</v>
      </c>
      <c r="CA231">
        <v>4660.71</v>
      </c>
    </row>
    <row r="232" spans="20:79" x14ac:dyDescent="0.25">
      <c r="T232" s="43"/>
      <c r="AO232" s="41" t="s">
        <v>34</v>
      </c>
      <c r="AP232">
        <v>6460</v>
      </c>
      <c r="AQ232">
        <v>1700</v>
      </c>
      <c r="AU232">
        <v>8160</v>
      </c>
      <c r="BN232" s="165" t="s">
        <v>200</v>
      </c>
      <c r="BP232">
        <v>15.8</v>
      </c>
      <c r="BW232">
        <v>8.48</v>
      </c>
      <c r="CA232">
        <v>24.28</v>
      </c>
    </row>
    <row r="233" spans="20:79" x14ac:dyDescent="0.25">
      <c r="T233" s="43"/>
      <c r="AO233" s="161" t="s">
        <v>132</v>
      </c>
      <c r="AP233">
        <v>6460</v>
      </c>
      <c r="AQ233">
        <v>1700</v>
      </c>
      <c r="AU233">
        <v>8160</v>
      </c>
      <c r="BN233" s="165" t="s">
        <v>185</v>
      </c>
      <c r="BO233">
        <v>272.8</v>
      </c>
      <c r="BP233">
        <v>222.32999999999998</v>
      </c>
      <c r="BQ233">
        <v>438.86999999999995</v>
      </c>
      <c r="BR233">
        <v>246.98</v>
      </c>
      <c r="BS233">
        <v>333.49000000000007</v>
      </c>
      <c r="BT233">
        <v>480.94</v>
      </c>
      <c r="BU233">
        <v>359.01</v>
      </c>
      <c r="BV233">
        <v>394.40999999999997</v>
      </c>
      <c r="BW233">
        <v>262.25</v>
      </c>
      <c r="CA233">
        <v>3011.08</v>
      </c>
    </row>
    <row r="234" spans="20:79" x14ac:dyDescent="0.25">
      <c r="T234" s="43"/>
      <c r="AO234" s="41" t="s">
        <v>87</v>
      </c>
      <c r="AP234">
        <v>2556.4100000000003</v>
      </c>
      <c r="AU234">
        <v>2556.4100000000003</v>
      </c>
      <c r="BN234" s="165" t="s">
        <v>235</v>
      </c>
      <c r="BO234">
        <v>211.00000000000003</v>
      </c>
      <c r="BP234">
        <v>188.63</v>
      </c>
      <c r="BQ234">
        <v>146.88</v>
      </c>
      <c r="BR234">
        <v>240.22</v>
      </c>
      <c r="BS234">
        <v>342.03</v>
      </c>
      <c r="BT234">
        <v>117.26</v>
      </c>
      <c r="BU234">
        <v>157.71</v>
      </c>
      <c r="BV234">
        <v>136.57</v>
      </c>
      <c r="BW234">
        <v>122.72</v>
      </c>
      <c r="CA234">
        <v>1663.02</v>
      </c>
    </row>
    <row r="235" spans="20:79" x14ac:dyDescent="0.25">
      <c r="T235" s="43"/>
      <c r="AO235" s="161" t="s">
        <v>202</v>
      </c>
      <c r="AP235">
        <v>750</v>
      </c>
      <c r="AU235">
        <v>750</v>
      </c>
      <c r="BN235" s="165" t="s">
        <v>467</v>
      </c>
      <c r="BR235">
        <v>-27.4</v>
      </c>
      <c r="CA235">
        <v>-27.4</v>
      </c>
    </row>
    <row r="236" spans="20:79" x14ac:dyDescent="0.25">
      <c r="T236" s="43"/>
      <c r="AO236" s="161" t="s">
        <v>239</v>
      </c>
      <c r="AP236">
        <v>60</v>
      </c>
      <c r="AU236">
        <v>60</v>
      </c>
      <c r="BN236" s="165" t="s">
        <v>335</v>
      </c>
      <c r="BV236">
        <v>-15.76</v>
      </c>
      <c r="BW236">
        <v>-47.74</v>
      </c>
      <c r="CA236">
        <v>-63.5</v>
      </c>
    </row>
    <row r="237" spans="20:79" x14ac:dyDescent="0.25">
      <c r="T237" s="43"/>
      <c r="AO237" s="161" t="s">
        <v>348</v>
      </c>
      <c r="AP237">
        <v>60</v>
      </c>
      <c r="AU237">
        <v>60</v>
      </c>
      <c r="BN237" s="165" t="s">
        <v>490</v>
      </c>
      <c r="BW237">
        <v>53.230000000000004</v>
      </c>
      <c r="CA237">
        <v>53.230000000000004</v>
      </c>
    </row>
    <row r="238" spans="20:79" x14ac:dyDescent="0.25">
      <c r="T238" s="43"/>
      <c r="AO238" s="161" t="s">
        <v>195</v>
      </c>
      <c r="AP238">
        <v>500</v>
      </c>
      <c r="AU238">
        <v>500</v>
      </c>
      <c r="BN238" s="161" t="s">
        <v>350</v>
      </c>
      <c r="BO238">
        <v>0</v>
      </c>
      <c r="BP238">
        <v>460</v>
      </c>
      <c r="BQ238">
        <v>460</v>
      </c>
      <c r="BR238">
        <v>460</v>
      </c>
      <c r="BS238">
        <v>650</v>
      </c>
      <c r="BT238">
        <v>450</v>
      </c>
      <c r="BU238">
        <v>425</v>
      </c>
      <c r="BV238">
        <v>400</v>
      </c>
      <c r="BW238">
        <v>375</v>
      </c>
      <c r="BX238">
        <v>475</v>
      </c>
      <c r="BY238">
        <v>450</v>
      </c>
      <c r="BZ238">
        <v>450</v>
      </c>
      <c r="CA238">
        <v>5055</v>
      </c>
    </row>
    <row r="239" spans="20:79" x14ac:dyDescent="0.25">
      <c r="T239" s="43"/>
      <c r="AO239" s="161" t="s">
        <v>344</v>
      </c>
      <c r="AP239">
        <v>70</v>
      </c>
      <c r="AU239">
        <v>70</v>
      </c>
      <c r="BN239" s="165" t="s">
        <v>185</v>
      </c>
      <c r="BO239">
        <v>0</v>
      </c>
      <c r="BP239">
        <v>400</v>
      </c>
      <c r="BQ239">
        <v>400</v>
      </c>
      <c r="BR239">
        <v>400</v>
      </c>
      <c r="BS239">
        <v>400</v>
      </c>
      <c r="BT239">
        <v>300</v>
      </c>
      <c r="BU239">
        <v>300</v>
      </c>
      <c r="BV239">
        <v>300</v>
      </c>
      <c r="BW239">
        <v>300</v>
      </c>
      <c r="BX239">
        <v>400</v>
      </c>
      <c r="BY239">
        <v>400</v>
      </c>
      <c r="BZ239">
        <v>400</v>
      </c>
      <c r="CA239">
        <v>4000</v>
      </c>
    </row>
    <row r="240" spans="20:79" x14ac:dyDescent="0.25">
      <c r="T240" s="43"/>
      <c r="AO240" s="161" t="s">
        <v>339</v>
      </c>
      <c r="AP240">
        <v>251</v>
      </c>
      <c r="AU240">
        <v>251</v>
      </c>
      <c r="BN240" s="165" t="s">
        <v>235</v>
      </c>
      <c r="BO240">
        <v>0</v>
      </c>
      <c r="BP240">
        <v>60</v>
      </c>
      <c r="BQ240">
        <v>60</v>
      </c>
      <c r="BR240">
        <v>60</v>
      </c>
      <c r="BS240">
        <v>250</v>
      </c>
      <c r="BT240">
        <v>150</v>
      </c>
      <c r="BU240">
        <v>125</v>
      </c>
      <c r="BV240">
        <v>100</v>
      </c>
      <c r="BW240">
        <v>75</v>
      </c>
      <c r="BX240">
        <v>75</v>
      </c>
      <c r="BY240">
        <v>50</v>
      </c>
      <c r="BZ240">
        <v>50</v>
      </c>
      <c r="CA240">
        <v>1055</v>
      </c>
    </row>
    <row r="241" spans="20:79" x14ac:dyDescent="0.25">
      <c r="T241" s="43"/>
      <c r="AO241" s="161" t="s">
        <v>235</v>
      </c>
      <c r="AP241">
        <v>7</v>
      </c>
      <c r="AU241">
        <v>7</v>
      </c>
      <c r="BN241" s="41" t="s">
        <v>129</v>
      </c>
      <c r="BO241">
        <v>0</v>
      </c>
      <c r="BP241">
        <v>0</v>
      </c>
      <c r="BQ241">
        <v>177.07999999999998</v>
      </c>
      <c r="BR241">
        <v>125</v>
      </c>
      <c r="BS241">
        <v>124.96000000000001</v>
      </c>
      <c r="BT241">
        <v>498.85</v>
      </c>
      <c r="BU241">
        <v>868.38</v>
      </c>
      <c r="BV241">
        <v>281.95</v>
      </c>
      <c r="BW241">
        <v>989.94999999999982</v>
      </c>
      <c r="BX241">
        <v>146.9</v>
      </c>
      <c r="BY241">
        <v>46.230000000000004</v>
      </c>
      <c r="BZ241">
        <v>46.230000000000004</v>
      </c>
      <c r="CA241">
        <v>3305.5300000000007</v>
      </c>
    </row>
    <row r="242" spans="20:79" x14ac:dyDescent="0.25">
      <c r="T242" s="43"/>
      <c r="AO242" s="161" t="s">
        <v>446</v>
      </c>
      <c r="AP242">
        <v>70</v>
      </c>
      <c r="AU242">
        <v>70</v>
      </c>
      <c r="BN242" s="161" t="s">
        <v>333</v>
      </c>
      <c r="BQ242">
        <v>177.07999999999998</v>
      </c>
      <c r="BR242">
        <v>93.08</v>
      </c>
      <c r="BS242">
        <v>78.73</v>
      </c>
      <c r="BT242">
        <v>452.62</v>
      </c>
      <c r="BU242">
        <v>372.15</v>
      </c>
      <c r="BV242">
        <v>235.71999999999997</v>
      </c>
      <c r="BW242">
        <v>577.55999999999995</v>
      </c>
      <c r="CA242">
        <v>1986.9400000000005</v>
      </c>
    </row>
    <row r="243" spans="20:79" x14ac:dyDescent="0.25">
      <c r="T243" s="43"/>
      <c r="AO243" s="161" t="s">
        <v>447</v>
      </c>
      <c r="AP243">
        <v>45</v>
      </c>
      <c r="AU243">
        <v>45</v>
      </c>
      <c r="BN243" s="165" t="s">
        <v>198</v>
      </c>
      <c r="BT243">
        <v>247.55</v>
      </c>
      <c r="BW243">
        <v>175.46</v>
      </c>
      <c r="CA243">
        <v>423.01</v>
      </c>
    </row>
    <row r="244" spans="20:79" x14ac:dyDescent="0.25">
      <c r="T244" s="43"/>
      <c r="AO244" s="161" t="s">
        <v>459</v>
      </c>
      <c r="AP244">
        <v>743.13</v>
      </c>
      <c r="AU244">
        <v>743.13</v>
      </c>
      <c r="BN244" s="165" t="s">
        <v>209</v>
      </c>
      <c r="BR244">
        <v>28.24</v>
      </c>
      <c r="BV244">
        <v>28.23</v>
      </c>
      <c r="CA244">
        <v>56.47</v>
      </c>
    </row>
    <row r="245" spans="20:79" x14ac:dyDescent="0.25">
      <c r="T245" s="43"/>
      <c r="AO245" s="161" t="s">
        <v>473</v>
      </c>
      <c r="AP245">
        <v>0.28000000000000003</v>
      </c>
      <c r="AU245">
        <v>0.28000000000000003</v>
      </c>
      <c r="BN245" s="165" t="s">
        <v>236</v>
      </c>
      <c r="BQ245">
        <v>132.51</v>
      </c>
      <c r="CA245">
        <v>132.51</v>
      </c>
    </row>
    <row r="246" spans="20:79" x14ac:dyDescent="0.25">
      <c r="T246" s="43"/>
      <c r="AO246" s="41" t="s">
        <v>214</v>
      </c>
      <c r="AP246">
        <v>17586.84</v>
      </c>
      <c r="AR246">
        <v>11600</v>
      </c>
      <c r="AU246">
        <v>29186.84</v>
      </c>
      <c r="BN246" s="165" t="s">
        <v>230</v>
      </c>
      <c r="BU246">
        <v>263.55</v>
      </c>
      <c r="CA246">
        <v>263.55</v>
      </c>
    </row>
    <row r="247" spans="20:79" x14ac:dyDescent="0.25">
      <c r="T247" s="43"/>
      <c r="AO247" s="161" t="s">
        <v>193</v>
      </c>
      <c r="AP247">
        <v>17586.84</v>
      </c>
      <c r="AR247">
        <v>11600</v>
      </c>
      <c r="AU247">
        <v>29186.84</v>
      </c>
      <c r="BN247" s="165" t="s">
        <v>227</v>
      </c>
      <c r="BS247">
        <v>32.700000000000003</v>
      </c>
      <c r="BT247">
        <v>19.64</v>
      </c>
      <c r="BU247">
        <v>62.59</v>
      </c>
      <c r="BW247">
        <v>20.329999999999998</v>
      </c>
      <c r="CA247">
        <v>135.26</v>
      </c>
    </row>
    <row r="248" spans="20:79" x14ac:dyDescent="0.25">
      <c r="T248" s="43"/>
      <c r="AO248" s="41" t="s">
        <v>28</v>
      </c>
      <c r="AP248">
        <v>993.1</v>
      </c>
      <c r="AU248">
        <v>993.1</v>
      </c>
      <c r="BN248" s="165" t="s">
        <v>141</v>
      </c>
      <c r="BV248">
        <v>161.44999999999999</v>
      </c>
      <c r="CA248">
        <v>161.44999999999999</v>
      </c>
    </row>
    <row r="249" spans="20:79" x14ac:dyDescent="0.25">
      <c r="T249" s="43"/>
      <c r="AO249" s="161" t="s">
        <v>435</v>
      </c>
      <c r="AP249">
        <v>992.82</v>
      </c>
      <c r="AU249">
        <v>992.82</v>
      </c>
      <c r="BN249" s="165" t="s">
        <v>151</v>
      </c>
      <c r="BQ249">
        <v>31.33</v>
      </c>
      <c r="BR249">
        <v>31.91</v>
      </c>
      <c r="BS249">
        <v>31.72</v>
      </c>
      <c r="BT249">
        <v>31.92</v>
      </c>
      <c r="BU249">
        <v>31.62</v>
      </c>
      <c r="BV249">
        <v>31.86</v>
      </c>
      <c r="CA249">
        <v>190.36</v>
      </c>
    </row>
    <row r="250" spans="20:79" x14ac:dyDescent="0.25">
      <c r="T250" s="43"/>
      <c r="AO250" s="161" t="s">
        <v>473</v>
      </c>
      <c r="AP250">
        <v>0.28000000000000003</v>
      </c>
      <c r="AU250">
        <v>0.28000000000000003</v>
      </c>
      <c r="BN250" s="165" t="s">
        <v>152</v>
      </c>
      <c r="BQ250">
        <v>13.24</v>
      </c>
      <c r="BR250">
        <v>14.3</v>
      </c>
      <c r="BS250">
        <v>14.31</v>
      </c>
      <c r="BT250">
        <v>14.28</v>
      </c>
      <c r="BU250">
        <v>14.39</v>
      </c>
      <c r="BV250">
        <v>14.18</v>
      </c>
      <c r="BW250">
        <v>28.22</v>
      </c>
      <c r="CA250">
        <v>112.92000000000002</v>
      </c>
    </row>
    <row r="251" spans="20:79" x14ac:dyDescent="0.25">
      <c r="T251" s="43"/>
      <c r="AO251" s="41" t="s">
        <v>54</v>
      </c>
      <c r="AP251">
        <v>1838.1800000000003</v>
      </c>
      <c r="AQ251">
        <v>814.42000000000007</v>
      </c>
      <c r="AU251">
        <v>2652.6000000000004</v>
      </c>
      <c r="BN251" s="165" t="s">
        <v>237</v>
      </c>
      <c r="BT251">
        <v>139.22999999999999</v>
      </c>
      <c r="CA251">
        <v>139.22999999999999</v>
      </c>
    </row>
    <row r="252" spans="20:79" x14ac:dyDescent="0.25">
      <c r="T252" s="43"/>
      <c r="AO252" s="161" t="s">
        <v>205</v>
      </c>
      <c r="AP252">
        <v>288.31</v>
      </c>
      <c r="AU252">
        <v>288.31</v>
      </c>
      <c r="BN252" s="165" t="s">
        <v>150</v>
      </c>
      <c r="BR252">
        <v>18.63</v>
      </c>
      <c r="CA252">
        <v>18.63</v>
      </c>
    </row>
    <row r="253" spans="20:79" x14ac:dyDescent="0.25">
      <c r="T253" s="43"/>
      <c r="AO253" s="161" t="s">
        <v>186</v>
      </c>
      <c r="AP253">
        <v>40</v>
      </c>
      <c r="AU253">
        <v>40</v>
      </c>
      <c r="BN253" s="165" t="s">
        <v>144</v>
      </c>
      <c r="BW253">
        <v>123.17</v>
      </c>
      <c r="CA253">
        <v>123.17</v>
      </c>
    </row>
    <row r="254" spans="20:79" x14ac:dyDescent="0.25">
      <c r="T254" s="43"/>
      <c r="AO254" s="161" t="s">
        <v>319</v>
      </c>
      <c r="AP254">
        <v>9</v>
      </c>
      <c r="AU254">
        <v>9</v>
      </c>
      <c r="BN254" s="165" t="s">
        <v>498</v>
      </c>
      <c r="BW254">
        <v>230.38</v>
      </c>
      <c r="CA254">
        <v>230.38</v>
      </c>
    </row>
    <row r="255" spans="20:79" x14ac:dyDescent="0.25">
      <c r="T255" s="43"/>
      <c r="AO255" s="161" t="s">
        <v>320</v>
      </c>
      <c r="AP255">
        <v>75.510000000000005</v>
      </c>
      <c r="AQ255">
        <v>92.29</v>
      </c>
      <c r="AU255">
        <v>167.8</v>
      </c>
      <c r="BN255" s="161" t="s">
        <v>350</v>
      </c>
      <c r="BO255">
        <v>0</v>
      </c>
      <c r="BP255">
        <v>0</v>
      </c>
      <c r="BQ255">
        <v>0</v>
      </c>
      <c r="BR255">
        <v>31.92</v>
      </c>
      <c r="BS255">
        <v>46.230000000000004</v>
      </c>
      <c r="BT255">
        <v>46.230000000000004</v>
      </c>
      <c r="BU255">
        <v>46.230000000000004</v>
      </c>
      <c r="BV255">
        <v>46.230000000000004</v>
      </c>
      <c r="BW255">
        <v>312.39000000000004</v>
      </c>
      <c r="BX255">
        <v>146.9</v>
      </c>
      <c r="BY255">
        <v>46.230000000000004</v>
      </c>
      <c r="BZ255">
        <v>46.230000000000004</v>
      </c>
      <c r="CA255">
        <v>768.59</v>
      </c>
    </row>
    <row r="256" spans="20:79" x14ac:dyDescent="0.25">
      <c r="T256" s="43"/>
      <c r="AO256" s="161" t="s">
        <v>257</v>
      </c>
      <c r="AP256">
        <v>27.31</v>
      </c>
      <c r="AU256">
        <v>27.31</v>
      </c>
      <c r="BN256" s="165" t="s">
        <v>141</v>
      </c>
      <c r="BO256">
        <v>0</v>
      </c>
      <c r="BP256">
        <v>0</v>
      </c>
      <c r="BQ256">
        <v>0</v>
      </c>
      <c r="BR256">
        <v>0</v>
      </c>
      <c r="BS256">
        <v>0</v>
      </c>
      <c r="BU256">
        <v>0</v>
      </c>
      <c r="BV256">
        <v>0</v>
      </c>
      <c r="BW256">
        <v>142.99</v>
      </c>
      <c r="BX256">
        <v>0</v>
      </c>
      <c r="BY256">
        <v>0</v>
      </c>
      <c r="BZ256">
        <v>0</v>
      </c>
      <c r="CA256">
        <v>142.99</v>
      </c>
    </row>
    <row r="257" spans="20:79" x14ac:dyDescent="0.25">
      <c r="T257" s="43"/>
      <c r="AO257" s="161" t="s">
        <v>208</v>
      </c>
      <c r="AP257">
        <v>98.12</v>
      </c>
      <c r="AU257">
        <v>98.12</v>
      </c>
      <c r="BN257" s="165" t="s">
        <v>151</v>
      </c>
      <c r="BO257">
        <v>0</v>
      </c>
      <c r="BP257">
        <v>0</v>
      </c>
      <c r="BQ257">
        <v>0</v>
      </c>
      <c r="BR257">
        <v>31.92</v>
      </c>
      <c r="BS257">
        <v>31.92</v>
      </c>
      <c r="BT257">
        <v>31.92</v>
      </c>
      <c r="BU257">
        <v>31.92</v>
      </c>
      <c r="BV257">
        <v>31.92</v>
      </c>
      <c r="BW257">
        <v>31.92</v>
      </c>
      <c r="BX257">
        <v>31.92</v>
      </c>
      <c r="BY257">
        <v>31.92</v>
      </c>
      <c r="BZ257">
        <v>31.92</v>
      </c>
      <c r="CA257">
        <v>287.28000000000009</v>
      </c>
    </row>
    <row r="258" spans="20:79" x14ac:dyDescent="0.25">
      <c r="T258" s="43"/>
      <c r="AO258" s="161" t="s">
        <v>222</v>
      </c>
      <c r="AP258">
        <v>193.96999999999997</v>
      </c>
      <c r="AU258">
        <v>193.96999999999997</v>
      </c>
      <c r="BN258" s="165" t="s">
        <v>152</v>
      </c>
      <c r="BO258">
        <v>0</v>
      </c>
      <c r="BP258">
        <v>0</v>
      </c>
      <c r="BQ258">
        <v>0</v>
      </c>
      <c r="BR258">
        <v>0</v>
      </c>
      <c r="BS258">
        <v>14.31</v>
      </c>
      <c r="BT258">
        <v>14.31</v>
      </c>
      <c r="BU258">
        <v>14.31</v>
      </c>
      <c r="BV258">
        <v>14.31</v>
      </c>
      <c r="BW258">
        <v>14.31</v>
      </c>
      <c r="BX258">
        <v>14.31</v>
      </c>
      <c r="BY258">
        <v>14.31</v>
      </c>
      <c r="BZ258">
        <v>14.31</v>
      </c>
      <c r="CA258">
        <v>114.48</v>
      </c>
    </row>
    <row r="259" spans="20:79" x14ac:dyDescent="0.25">
      <c r="T259" s="43"/>
      <c r="AO259" s="161" t="s">
        <v>232</v>
      </c>
      <c r="AQ259">
        <v>130</v>
      </c>
      <c r="AU259">
        <v>130</v>
      </c>
      <c r="BN259" s="165" t="s">
        <v>138</v>
      </c>
      <c r="BO259">
        <v>0</v>
      </c>
      <c r="BP259">
        <v>0</v>
      </c>
      <c r="BQ259">
        <v>0</v>
      </c>
      <c r="BR259">
        <v>0</v>
      </c>
      <c r="BS259">
        <v>0</v>
      </c>
      <c r="BT259">
        <v>0</v>
      </c>
      <c r="BU259">
        <v>0</v>
      </c>
      <c r="BV259">
        <v>0</v>
      </c>
      <c r="BW259">
        <v>0</v>
      </c>
      <c r="BX259">
        <v>31.68</v>
      </c>
      <c r="BY259">
        <v>0</v>
      </c>
      <c r="BZ259">
        <v>0</v>
      </c>
      <c r="CA259">
        <v>31.68</v>
      </c>
    </row>
    <row r="260" spans="20:79" x14ac:dyDescent="0.25">
      <c r="T260" s="43"/>
      <c r="AO260" s="161" t="s">
        <v>241</v>
      </c>
      <c r="AP260">
        <v>46.71</v>
      </c>
      <c r="AU260">
        <v>46.71</v>
      </c>
      <c r="BN260" s="165" t="s">
        <v>139</v>
      </c>
      <c r="BO260">
        <v>0</v>
      </c>
      <c r="BP260">
        <v>0</v>
      </c>
      <c r="BQ260">
        <v>0</v>
      </c>
      <c r="BR260">
        <v>0</v>
      </c>
      <c r="BS260">
        <v>0</v>
      </c>
      <c r="BT260">
        <v>0</v>
      </c>
      <c r="BU260">
        <v>0</v>
      </c>
      <c r="BV260">
        <v>0</v>
      </c>
      <c r="BW260">
        <v>0</v>
      </c>
      <c r="BX260">
        <v>41.4</v>
      </c>
      <c r="BY260">
        <v>0</v>
      </c>
      <c r="BZ260">
        <v>0</v>
      </c>
      <c r="CA260">
        <v>41.4</v>
      </c>
    </row>
    <row r="261" spans="20:79" x14ac:dyDescent="0.25">
      <c r="T261" s="43"/>
      <c r="AO261" s="161" t="s">
        <v>133</v>
      </c>
      <c r="AQ261">
        <v>0</v>
      </c>
      <c r="AU261">
        <v>0</v>
      </c>
      <c r="BN261" s="165" t="s">
        <v>137</v>
      </c>
      <c r="BO261">
        <v>0</v>
      </c>
      <c r="BP261">
        <v>0</v>
      </c>
      <c r="BQ261">
        <v>0</v>
      </c>
      <c r="BR261">
        <v>0</v>
      </c>
      <c r="BS261">
        <v>0</v>
      </c>
      <c r="BT261">
        <v>0</v>
      </c>
      <c r="BU261">
        <v>0</v>
      </c>
      <c r="BV261">
        <v>0</v>
      </c>
      <c r="BW261">
        <v>0</v>
      </c>
      <c r="BX261">
        <v>27.59</v>
      </c>
      <c r="BY261">
        <v>0</v>
      </c>
      <c r="BZ261">
        <v>0</v>
      </c>
      <c r="CA261">
        <v>27.59</v>
      </c>
    </row>
    <row r="262" spans="20:79" x14ac:dyDescent="0.25">
      <c r="T262" s="43"/>
      <c r="AO262" s="161" t="s">
        <v>153</v>
      </c>
      <c r="AQ262">
        <v>0</v>
      </c>
      <c r="AU262">
        <v>0</v>
      </c>
      <c r="BN262" s="165" t="s">
        <v>144</v>
      </c>
      <c r="BO262">
        <v>0</v>
      </c>
      <c r="BP262">
        <v>0</v>
      </c>
      <c r="BQ262">
        <v>0</v>
      </c>
      <c r="BR262">
        <v>0</v>
      </c>
      <c r="BS262">
        <v>0</v>
      </c>
      <c r="BT262">
        <v>0</v>
      </c>
      <c r="BU262">
        <v>0</v>
      </c>
      <c r="BV262">
        <v>0</v>
      </c>
      <c r="BW262">
        <v>123.17</v>
      </c>
      <c r="BX262">
        <v>0</v>
      </c>
      <c r="BY262">
        <v>0</v>
      </c>
      <c r="BZ262">
        <v>0</v>
      </c>
      <c r="CA262">
        <v>123.17</v>
      </c>
    </row>
    <row r="263" spans="20:79" x14ac:dyDescent="0.25">
      <c r="T263" s="43"/>
      <c r="AO263" s="161" t="s">
        <v>148</v>
      </c>
      <c r="AQ263">
        <v>0</v>
      </c>
      <c r="AU263">
        <v>0</v>
      </c>
      <c r="BN263" s="161" t="s">
        <v>171</v>
      </c>
      <c r="BU263">
        <v>450</v>
      </c>
      <c r="BW263">
        <v>100</v>
      </c>
      <c r="CA263">
        <v>550</v>
      </c>
    </row>
    <row r="264" spans="20:79" x14ac:dyDescent="0.25">
      <c r="T264" s="43"/>
      <c r="AO264" s="161" t="s">
        <v>149</v>
      </c>
      <c r="AP264">
        <v>40.99</v>
      </c>
      <c r="AQ264">
        <v>53.55</v>
      </c>
      <c r="AU264">
        <v>94.539999999999992</v>
      </c>
      <c r="BN264" s="165" t="s">
        <v>198</v>
      </c>
      <c r="BU264">
        <v>450</v>
      </c>
      <c r="CA264">
        <v>450</v>
      </c>
    </row>
    <row r="265" spans="20:79" x14ac:dyDescent="0.25">
      <c r="T265" s="43"/>
      <c r="AO265" s="161" t="s">
        <v>135</v>
      </c>
      <c r="AQ265">
        <v>0</v>
      </c>
      <c r="AU265">
        <v>0</v>
      </c>
      <c r="BN265" s="165" t="s">
        <v>227</v>
      </c>
      <c r="BW265">
        <v>100</v>
      </c>
      <c r="CA265">
        <v>100</v>
      </c>
    </row>
    <row r="266" spans="20:79" x14ac:dyDescent="0.25">
      <c r="T266" s="43"/>
      <c r="AO266" s="161" t="s">
        <v>142</v>
      </c>
      <c r="AP266">
        <v>90.32</v>
      </c>
      <c r="AQ266">
        <v>135.47999999999996</v>
      </c>
      <c r="AU266">
        <v>225.79999999999995</v>
      </c>
      <c r="BN266" s="41" t="s">
        <v>36</v>
      </c>
      <c r="BO266">
        <v>54.18</v>
      </c>
      <c r="BP266">
        <v>156.69999999999999</v>
      </c>
      <c r="BQ266">
        <v>107.38</v>
      </c>
      <c r="BR266">
        <v>55</v>
      </c>
      <c r="BS266">
        <v>156.69999999999999</v>
      </c>
      <c r="BT266">
        <v>55</v>
      </c>
      <c r="BU266">
        <v>247.10000000000002</v>
      </c>
      <c r="BV266">
        <v>73.069999999999993</v>
      </c>
      <c r="BW266">
        <v>156.69999999999999</v>
      </c>
      <c r="BX266">
        <v>80</v>
      </c>
      <c r="BY266">
        <v>80</v>
      </c>
      <c r="BZ266">
        <v>80</v>
      </c>
      <c r="CA266">
        <v>1301.83</v>
      </c>
    </row>
    <row r="267" spans="20:79" x14ac:dyDescent="0.25">
      <c r="T267" s="43"/>
      <c r="AO267" s="161" t="s">
        <v>150</v>
      </c>
      <c r="AP267">
        <v>93.149999999999991</v>
      </c>
      <c r="AQ267">
        <v>37.26</v>
      </c>
      <c r="AU267">
        <v>130.41</v>
      </c>
      <c r="BN267" s="161" t="s">
        <v>333</v>
      </c>
      <c r="BO267">
        <v>54.18</v>
      </c>
      <c r="BP267">
        <v>101.7</v>
      </c>
      <c r="BQ267">
        <v>52.38</v>
      </c>
      <c r="BS267">
        <v>101.7</v>
      </c>
      <c r="BU267">
        <v>192.10000000000002</v>
      </c>
      <c r="BV267">
        <v>18.07</v>
      </c>
      <c r="BW267">
        <v>101.7</v>
      </c>
      <c r="CA267">
        <v>621.83000000000004</v>
      </c>
    </row>
    <row r="268" spans="20:79" x14ac:dyDescent="0.25">
      <c r="T268" s="43"/>
      <c r="AO268" s="161" t="s">
        <v>347</v>
      </c>
      <c r="AP268">
        <v>4.0999999999999996</v>
      </c>
      <c r="AU268">
        <v>4.0999999999999996</v>
      </c>
      <c r="BN268" s="165" t="s">
        <v>131</v>
      </c>
      <c r="BO268">
        <v>54.18</v>
      </c>
      <c r="BP268">
        <v>101.7</v>
      </c>
      <c r="BQ268">
        <v>52.38</v>
      </c>
      <c r="BS268">
        <v>101.7</v>
      </c>
      <c r="BU268">
        <v>101.7</v>
      </c>
      <c r="BW268">
        <v>101.7</v>
      </c>
      <c r="CA268">
        <v>513.36</v>
      </c>
    </row>
    <row r="269" spans="20:79" x14ac:dyDescent="0.25">
      <c r="T269" s="43"/>
      <c r="AO269" s="161" t="s">
        <v>140</v>
      </c>
      <c r="AP269">
        <v>111.87</v>
      </c>
      <c r="AQ269">
        <v>111.87</v>
      </c>
      <c r="AU269">
        <v>223.74</v>
      </c>
      <c r="BN269" s="165" t="s">
        <v>219</v>
      </c>
      <c r="BU269">
        <v>90.4</v>
      </c>
      <c r="CA269">
        <v>90.4</v>
      </c>
    </row>
    <row r="270" spans="20:79" x14ac:dyDescent="0.25">
      <c r="T270" s="43"/>
      <c r="AO270" s="161" t="s">
        <v>238</v>
      </c>
      <c r="AP270">
        <v>7.9</v>
      </c>
      <c r="AU270">
        <v>7.9</v>
      </c>
      <c r="BN270" s="165" t="s">
        <v>468</v>
      </c>
      <c r="BV270">
        <v>18.07</v>
      </c>
      <c r="CA270">
        <v>18.07</v>
      </c>
    </row>
    <row r="271" spans="20:79" x14ac:dyDescent="0.25">
      <c r="T271" s="43"/>
      <c r="AO271" s="161" t="s">
        <v>155</v>
      </c>
      <c r="AP271">
        <v>27.08</v>
      </c>
      <c r="AQ271">
        <v>54.159999999999982</v>
      </c>
      <c r="AU271">
        <v>81.239999999999981</v>
      </c>
      <c r="BN271" s="161" t="s">
        <v>350</v>
      </c>
      <c r="BO271">
        <v>0</v>
      </c>
      <c r="BP271">
        <v>55</v>
      </c>
      <c r="BQ271">
        <v>55</v>
      </c>
      <c r="BR271">
        <v>55</v>
      </c>
      <c r="BS271">
        <v>55</v>
      </c>
      <c r="BT271">
        <v>55</v>
      </c>
      <c r="BU271">
        <v>55</v>
      </c>
      <c r="BV271">
        <v>55</v>
      </c>
      <c r="BW271">
        <v>55</v>
      </c>
      <c r="BX271">
        <v>80</v>
      </c>
      <c r="BY271">
        <v>80</v>
      </c>
      <c r="BZ271">
        <v>80</v>
      </c>
      <c r="CA271">
        <v>680</v>
      </c>
    </row>
    <row r="272" spans="20:79" x14ac:dyDescent="0.25">
      <c r="T272" s="43"/>
      <c r="AO272" s="161" t="s">
        <v>181</v>
      </c>
      <c r="AP272">
        <v>29.36</v>
      </c>
      <c r="AU272">
        <v>29.36</v>
      </c>
      <c r="BN272" s="165" t="s">
        <v>131</v>
      </c>
      <c r="BO272">
        <v>0</v>
      </c>
      <c r="BP272">
        <v>55</v>
      </c>
      <c r="BQ272">
        <v>55</v>
      </c>
      <c r="BR272">
        <v>55</v>
      </c>
      <c r="BS272">
        <v>55</v>
      </c>
      <c r="BT272">
        <v>55</v>
      </c>
      <c r="BU272">
        <v>55</v>
      </c>
      <c r="BV272">
        <v>55</v>
      </c>
      <c r="BW272">
        <v>55</v>
      </c>
      <c r="BX272">
        <v>80</v>
      </c>
      <c r="BY272">
        <v>80</v>
      </c>
      <c r="BZ272">
        <v>80</v>
      </c>
      <c r="CA272">
        <v>680</v>
      </c>
    </row>
    <row r="273" spans="20:79" x14ac:dyDescent="0.25">
      <c r="T273" s="43"/>
      <c r="AO273" s="161" t="s">
        <v>136</v>
      </c>
      <c r="AP273">
        <v>132.12000000000003</v>
      </c>
      <c r="AQ273">
        <v>149.05000000000001</v>
      </c>
      <c r="AU273">
        <v>281.17000000000007</v>
      </c>
      <c r="BN273" s="41" t="s">
        <v>102</v>
      </c>
      <c r="BS273">
        <v>5.2</v>
      </c>
      <c r="BU273">
        <v>-3.8</v>
      </c>
      <c r="BV273">
        <v>30</v>
      </c>
      <c r="CA273">
        <v>31.4</v>
      </c>
    </row>
    <row r="274" spans="20:79" x14ac:dyDescent="0.25">
      <c r="T274" s="43"/>
      <c r="AO274" s="161" t="s">
        <v>187</v>
      </c>
      <c r="AP274">
        <v>427.75000000000006</v>
      </c>
      <c r="AU274">
        <v>427.75000000000006</v>
      </c>
      <c r="BN274" s="161" t="s">
        <v>333</v>
      </c>
      <c r="BS274">
        <v>5.2</v>
      </c>
      <c r="BU274">
        <v>-3.8</v>
      </c>
      <c r="BV274">
        <v>30</v>
      </c>
      <c r="CA274">
        <v>31.4</v>
      </c>
    </row>
    <row r="275" spans="20:79" x14ac:dyDescent="0.25">
      <c r="T275" s="43"/>
      <c r="AO275" s="161" t="s">
        <v>246</v>
      </c>
      <c r="AP275">
        <v>16.899999999999999</v>
      </c>
      <c r="AQ275">
        <v>23.659999999999997</v>
      </c>
      <c r="AU275">
        <v>40.559999999999995</v>
      </c>
      <c r="BN275" s="165" t="s">
        <v>115</v>
      </c>
      <c r="BS275">
        <v>5.2</v>
      </c>
      <c r="BU275">
        <v>-3.8</v>
      </c>
      <c r="BV275">
        <v>30</v>
      </c>
      <c r="CA275">
        <v>31.4</v>
      </c>
    </row>
    <row r="276" spans="20:79" x14ac:dyDescent="0.25">
      <c r="T276" s="43"/>
      <c r="AO276" s="161" t="s">
        <v>249</v>
      </c>
      <c r="AP276">
        <v>31.63</v>
      </c>
      <c r="AU276">
        <v>31.63</v>
      </c>
      <c r="BN276" s="41" t="s">
        <v>91</v>
      </c>
      <c r="BP276">
        <v>391.13</v>
      </c>
      <c r="BU276">
        <v>-13.5</v>
      </c>
      <c r="CA276">
        <v>377.63</v>
      </c>
    </row>
    <row r="277" spans="20:79" x14ac:dyDescent="0.25">
      <c r="T277" s="43"/>
      <c r="AO277" s="161" t="s">
        <v>497</v>
      </c>
      <c r="AP277">
        <v>13.55</v>
      </c>
      <c r="AQ277">
        <v>27.1</v>
      </c>
      <c r="AU277">
        <v>40.650000000000006</v>
      </c>
      <c r="BN277" s="161" t="s">
        <v>333</v>
      </c>
      <c r="BP277">
        <v>391.13</v>
      </c>
      <c r="BU277">
        <v>-13.5</v>
      </c>
      <c r="CA277">
        <v>377.63</v>
      </c>
    </row>
    <row r="278" spans="20:79" x14ac:dyDescent="0.25">
      <c r="T278" s="43"/>
      <c r="AO278" s="161" t="s">
        <v>496</v>
      </c>
      <c r="AP278">
        <v>32.53</v>
      </c>
      <c r="AU278">
        <v>32.53</v>
      </c>
      <c r="BN278" s="165" t="s">
        <v>344</v>
      </c>
      <c r="BU278">
        <v>-13.5</v>
      </c>
      <c r="CA278">
        <v>-13.5</v>
      </c>
    </row>
    <row r="279" spans="20:79" x14ac:dyDescent="0.25">
      <c r="T279" s="43"/>
      <c r="AO279" s="41" t="s">
        <v>52</v>
      </c>
      <c r="AP279">
        <v>92.65</v>
      </c>
      <c r="AU279">
        <v>92.65</v>
      </c>
      <c r="BN279" s="165" t="s">
        <v>234</v>
      </c>
      <c r="BP279">
        <v>340</v>
      </c>
      <c r="CA279">
        <v>340</v>
      </c>
    </row>
    <row r="280" spans="20:79" x14ac:dyDescent="0.25">
      <c r="T280" s="43"/>
      <c r="AO280" s="161" t="s">
        <v>216</v>
      </c>
      <c r="AP280">
        <v>92.65</v>
      </c>
      <c r="AU280">
        <v>92.65</v>
      </c>
      <c r="BN280" s="165" t="s">
        <v>228</v>
      </c>
      <c r="BP280">
        <v>51.13</v>
      </c>
      <c r="CA280">
        <v>51.13</v>
      </c>
    </row>
    <row r="281" spans="20:79" x14ac:dyDescent="0.25">
      <c r="T281" s="43"/>
      <c r="AO281" s="41" t="s">
        <v>120</v>
      </c>
      <c r="AP281">
        <v>8.6199999999999992</v>
      </c>
      <c r="AU281">
        <v>8.6199999999999992</v>
      </c>
      <c r="BN281" s="41" t="s">
        <v>34</v>
      </c>
      <c r="BO281">
        <v>500</v>
      </c>
      <c r="BP281">
        <v>650</v>
      </c>
      <c r="BQ281">
        <v>595</v>
      </c>
      <c r="BR281">
        <v>665</v>
      </c>
      <c r="BS281">
        <v>750</v>
      </c>
      <c r="BT281">
        <v>750</v>
      </c>
      <c r="BU281">
        <v>750</v>
      </c>
      <c r="BV281">
        <v>750</v>
      </c>
      <c r="BW281">
        <v>2750</v>
      </c>
      <c r="CA281">
        <v>8160</v>
      </c>
    </row>
    <row r="282" spans="20:79" x14ac:dyDescent="0.25">
      <c r="T282" s="43"/>
      <c r="AO282" s="161" t="s">
        <v>228</v>
      </c>
      <c r="AP282">
        <v>8.6199999999999992</v>
      </c>
      <c r="AU282">
        <v>8.6199999999999992</v>
      </c>
      <c r="BN282" s="161" t="s">
        <v>333</v>
      </c>
      <c r="BO282">
        <v>500</v>
      </c>
      <c r="BP282">
        <v>500</v>
      </c>
      <c r="BQ282">
        <v>445</v>
      </c>
      <c r="BR282">
        <v>515</v>
      </c>
      <c r="BS282">
        <v>500</v>
      </c>
      <c r="BT282">
        <v>500</v>
      </c>
      <c r="BU282">
        <v>500</v>
      </c>
      <c r="BV282">
        <v>500</v>
      </c>
      <c r="BW282">
        <v>2500</v>
      </c>
      <c r="CA282">
        <v>6460</v>
      </c>
    </row>
    <row r="283" spans="20:79" x14ac:dyDescent="0.25">
      <c r="T283" s="43"/>
      <c r="AO283" s="41" t="s">
        <v>50</v>
      </c>
      <c r="AP283">
        <v>858.32999999999993</v>
      </c>
      <c r="AQ283">
        <v>555</v>
      </c>
      <c r="AT283">
        <v>65</v>
      </c>
      <c r="AU283">
        <v>1478.33</v>
      </c>
      <c r="BN283" s="165" t="s">
        <v>132</v>
      </c>
      <c r="BO283">
        <v>500</v>
      </c>
      <c r="BP283">
        <v>500</v>
      </c>
      <c r="BQ283">
        <v>445</v>
      </c>
      <c r="BR283">
        <v>515</v>
      </c>
      <c r="BS283">
        <v>500</v>
      </c>
      <c r="BT283">
        <v>500</v>
      </c>
      <c r="BU283">
        <v>500</v>
      </c>
      <c r="BV283">
        <v>500</v>
      </c>
      <c r="BW283">
        <v>2500</v>
      </c>
      <c r="CA283">
        <v>6460</v>
      </c>
    </row>
    <row r="284" spans="20:79" x14ac:dyDescent="0.25">
      <c r="T284" s="43"/>
      <c r="AO284" s="161" t="s">
        <v>115</v>
      </c>
      <c r="AP284">
        <v>23.6</v>
      </c>
      <c r="AQ284">
        <v>0</v>
      </c>
      <c r="AU284">
        <v>23.6</v>
      </c>
      <c r="BN284" s="161" t="s">
        <v>350</v>
      </c>
      <c r="BO284">
        <v>0</v>
      </c>
      <c r="BP284">
        <v>150</v>
      </c>
      <c r="BQ284">
        <v>150</v>
      </c>
      <c r="BR284">
        <v>150</v>
      </c>
      <c r="BS284">
        <v>250</v>
      </c>
      <c r="BT284">
        <v>250</v>
      </c>
      <c r="BU284">
        <v>250</v>
      </c>
      <c r="BV284">
        <v>250</v>
      </c>
      <c r="BW284">
        <v>250</v>
      </c>
      <c r="CA284">
        <v>1700</v>
      </c>
    </row>
    <row r="285" spans="20:79" x14ac:dyDescent="0.25">
      <c r="T285" s="43"/>
      <c r="AO285" s="161" t="s">
        <v>119</v>
      </c>
      <c r="AP285">
        <v>130.26</v>
      </c>
      <c r="AQ285">
        <v>100</v>
      </c>
      <c r="AU285">
        <v>230.26</v>
      </c>
      <c r="BN285" s="165" t="s">
        <v>132</v>
      </c>
      <c r="BO285">
        <v>0</v>
      </c>
      <c r="BP285">
        <v>150</v>
      </c>
      <c r="BQ285">
        <v>150</v>
      </c>
      <c r="BR285">
        <v>150</v>
      </c>
      <c r="BS285">
        <v>250</v>
      </c>
      <c r="BT285">
        <v>250</v>
      </c>
      <c r="BU285">
        <v>250</v>
      </c>
      <c r="BV285">
        <v>250</v>
      </c>
      <c r="BW285">
        <v>250</v>
      </c>
      <c r="CA285">
        <v>1700</v>
      </c>
    </row>
    <row r="286" spans="20:79" x14ac:dyDescent="0.25">
      <c r="T286" s="43"/>
      <c r="AO286" s="161" t="s">
        <v>180</v>
      </c>
      <c r="AP286">
        <v>390</v>
      </c>
      <c r="AQ286">
        <v>455</v>
      </c>
      <c r="AU286">
        <v>845</v>
      </c>
      <c r="BN286" s="41" t="s">
        <v>87</v>
      </c>
      <c r="BO286">
        <v>858.13</v>
      </c>
      <c r="BP286">
        <v>307</v>
      </c>
      <c r="BQ286">
        <v>943</v>
      </c>
      <c r="BS286">
        <v>27</v>
      </c>
      <c r="BT286">
        <v>20</v>
      </c>
      <c r="BU286">
        <v>206</v>
      </c>
      <c r="BV286">
        <v>110.28</v>
      </c>
      <c r="BW286">
        <v>85</v>
      </c>
      <c r="CA286">
        <v>2556.4100000000003</v>
      </c>
    </row>
    <row r="287" spans="20:79" x14ac:dyDescent="0.25">
      <c r="T287" s="43"/>
      <c r="AO287" s="161" t="s">
        <v>223</v>
      </c>
      <c r="AP287">
        <v>80.55</v>
      </c>
      <c r="AT287">
        <v>65</v>
      </c>
      <c r="AU287">
        <v>145.55000000000001</v>
      </c>
      <c r="BN287" s="161" t="s">
        <v>333</v>
      </c>
      <c r="BO287">
        <v>858.13</v>
      </c>
      <c r="BP287">
        <v>307</v>
      </c>
      <c r="BQ287">
        <v>943</v>
      </c>
      <c r="BS287">
        <v>27</v>
      </c>
      <c r="BT287">
        <v>20</v>
      </c>
      <c r="BU287">
        <v>206</v>
      </c>
      <c r="BV287">
        <v>110.28</v>
      </c>
      <c r="BW287">
        <v>85</v>
      </c>
      <c r="CA287">
        <v>2556.4100000000003</v>
      </c>
    </row>
    <row r="288" spans="20:79" x14ac:dyDescent="0.25">
      <c r="T288" s="43"/>
      <c r="AO288" s="161" t="s">
        <v>250</v>
      </c>
      <c r="AP288">
        <v>6</v>
      </c>
      <c r="AU288">
        <v>6</v>
      </c>
      <c r="BN288" s="165" t="s">
        <v>202</v>
      </c>
      <c r="BQ288">
        <v>750</v>
      </c>
      <c r="CA288">
        <v>750</v>
      </c>
    </row>
    <row r="289" spans="20:79" x14ac:dyDescent="0.25">
      <c r="T289" s="43"/>
      <c r="AO289" s="161" t="s">
        <v>56</v>
      </c>
      <c r="AP289">
        <v>227.92000000000002</v>
      </c>
      <c r="AU289">
        <v>227.92000000000002</v>
      </c>
      <c r="BN289" s="165" t="s">
        <v>239</v>
      </c>
      <c r="BS289">
        <v>20</v>
      </c>
      <c r="BT289">
        <v>20</v>
      </c>
      <c r="BV289">
        <v>20</v>
      </c>
      <c r="CA289">
        <v>60</v>
      </c>
    </row>
    <row r="290" spans="20:79" x14ac:dyDescent="0.25">
      <c r="T290" s="43"/>
      <c r="AO290" s="41" t="s">
        <v>37</v>
      </c>
      <c r="AQ290">
        <v>1250</v>
      </c>
      <c r="AU290">
        <v>1250</v>
      </c>
      <c r="BN290" s="165" t="s">
        <v>348</v>
      </c>
      <c r="BV290">
        <v>60</v>
      </c>
      <c r="CA290">
        <v>60</v>
      </c>
    </row>
    <row r="291" spans="20:79" x14ac:dyDescent="0.25">
      <c r="T291" s="43"/>
      <c r="AO291" s="161" t="s">
        <v>146</v>
      </c>
      <c r="AQ291">
        <v>1250</v>
      </c>
      <c r="AU291">
        <v>1250</v>
      </c>
      <c r="BN291" s="165" t="s">
        <v>195</v>
      </c>
      <c r="BP291">
        <v>307</v>
      </c>
      <c r="BQ291">
        <v>193</v>
      </c>
      <c r="CA291">
        <v>500</v>
      </c>
    </row>
    <row r="292" spans="20:79" x14ac:dyDescent="0.25">
      <c r="T292" s="43"/>
      <c r="AO292" s="41" t="s">
        <v>88</v>
      </c>
      <c r="AP292">
        <v>3841.41</v>
      </c>
      <c r="AU292">
        <v>3841.41</v>
      </c>
      <c r="BN292" s="165" t="s">
        <v>344</v>
      </c>
      <c r="BU292">
        <v>70</v>
      </c>
      <c r="CA292">
        <v>70</v>
      </c>
    </row>
    <row r="293" spans="20:79" x14ac:dyDescent="0.25">
      <c r="T293" s="43"/>
      <c r="AO293" s="161" t="s">
        <v>339</v>
      </c>
      <c r="AP293">
        <v>86</v>
      </c>
      <c r="AU293">
        <v>86</v>
      </c>
      <c r="BN293" s="165" t="s">
        <v>339</v>
      </c>
      <c r="BU293">
        <v>136</v>
      </c>
      <c r="BV293">
        <v>30</v>
      </c>
      <c r="BW293">
        <v>85</v>
      </c>
      <c r="CA293">
        <v>251</v>
      </c>
    </row>
    <row r="294" spans="20:79" x14ac:dyDescent="0.25">
      <c r="T294" s="43"/>
      <c r="AO294" s="161" t="s">
        <v>228</v>
      </c>
      <c r="AP294">
        <v>377.11999999999995</v>
      </c>
      <c r="AU294">
        <v>377.11999999999995</v>
      </c>
      <c r="BN294" s="165" t="s">
        <v>235</v>
      </c>
      <c r="BS294">
        <v>7</v>
      </c>
      <c r="CA294">
        <v>7</v>
      </c>
    </row>
    <row r="295" spans="20:79" x14ac:dyDescent="0.25">
      <c r="T295" s="43"/>
      <c r="AO295" s="161" t="s">
        <v>244</v>
      </c>
      <c r="AP295">
        <v>351.39</v>
      </c>
      <c r="AU295">
        <v>351.39</v>
      </c>
      <c r="BN295" s="165" t="s">
        <v>446</v>
      </c>
      <c r="BO295">
        <v>70</v>
      </c>
      <c r="CA295">
        <v>70</v>
      </c>
    </row>
    <row r="296" spans="20:79" x14ac:dyDescent="0.25">
      <c r="T296" s="43"/>
      <c r="AO296" s="161" t="s">
        <v>459</v>
      </c>
      <c r="AP296">
        <v>0.75</v>
      </c>
      <c r="AU296">
        <v>0.75</v>
      </c>
      <c r="BN296" s="165" t="s">
        <v>447</v>
      </c>
      <c r="BO296">
        <v>45</v>
      </c>
      <c r="CA296">
        <v>45</v>
      </c>
    </row>
    <row r="297" spans="20:79" x14ac:dyDescent="0.25">
      <c r="T297" s="43"/>
      <c r="AO297" s="161" t="s">
        <v>470</v>
      </c>
      <c r="AP297">
        <v>3026.15</v>
      </c>
      <c r="AU297">
        <v>3026.15</v>
      </c>
      <c r="BN297" s="165" t="s">
        <v>459</v>
      </c>
      <c r="BO297">
        <v>743.13</v>
      </c>
      <c r="CA297">
        <v>743.13</v>
      </c>
    </row>
    <row r="298" spans="20:79" x14ac:dyDescent="0.25">
      <c r="T298" s="43"/>
      <c r="AO298" s="41" t="s">
        <v>361</v>
      </c>
      <c r="AP298">
        <v>0</v>
      </c>
      <c r="AU298">
        <v>0</v>
      </c>
      <c r="BN298" s="165" t="s">
        <v>473</v>
      </c>
      <c r="BV298">
        <v>0.28000000000000003</v>
      </c>
      <c r="CA298">
        <v>0.28000000000000003</v>
      </c>
    </row>
    <row r="299" spans="20:79" x14ac:dyDescent="0.25">
      <c r="T299" s="43"/>
      <c r="AO299" s="161" t="s">
        <v>240</v>
      </c>
      <c r="AP299">
        <v>-218.09</v>
      </c>
      <c r="AU299">
        <v>-218.09</v>
      </c>
      <c r="BN299" s="41" t="s">
        <v>214</v>
      </c>
      <c r="BO299">
        <v>2692.2799999999997</v>
      </c>
      <c r="BQ299">
        <v>463.01</v>
      </c>
      <c r="BS299">
        <v>2483.44</v>
      </c>
      <c r="BT299">
        <v>3032.85</v>
      </c>
      <c r="BU299">
        <v>6201.33</v>
      </c>
      <c r="BV299">
        <v>7298.26</v>
      </c>
      <c r="BW299">
        <v>4665.67</v>
      </c>
      <c r="BX299">
        <v>350</v>
      </c>
      <c r="BZ299">
        <v>2000</v>
      </c>
      <c r="CA299">
        <v>29186.84</v>
      </c>
    </row>
    <row r="300" spans="20:79" x14ac:dyDescent="0.25">
      <c r="T300" s="43"/>
      <c r="AO300" s="161" t="s">
        <v>398</v>
      </c>
      <c r="AP300">
        <v>218.09</v>
      </c>
      <c r="AU300">
        <v>218.09</v>
      </c>
      <c r="BN300" s="161" t="s">
        <v>333</v>
      </c>
      <c r="BO300">
        <v>2192.2799999999997</v>
      </c>
      <c r="BQ300">
        <v>463.01</v>
      </c>
      <c r="BS300">
        <v>2483.44</v>
      </c>
      <c r="BT300">
        <v>3032.85</v>
      </c>
      <c r="BU300">
        <v>3201.33</v>
      </c>
      <c r="BV300">
        <v>3798.26</v>
      </c>
      <c r="BW300">
        <v>2415.67</v>
      </c>
      <c r="CA300">
        <v>17586.84</v>
      </c>
    </row>
    <row r="301" spans="20:79" x14ac:dyDescent="0.25">
      <c r="T301" s="43"/>
      <c r="AO301" s="41" t="s">
        <v>104</v>
      </c>
      <c r="AP301">
        <v>27524.46</v>
      </c>
      <c r="AU301">
        <v>27524.46</v>
      </c>
      <c r="BN301" s="165" t="s">
        <v>193</v>
      </c>
      <c r="BO301">
        <v>2192.2799999999997</v>
      </c>
      <c r="BQ301">
        <v>463.01</v>
      </c>
      <c r="BS301">
        <v>2483.44</v>
      </c>
      <c r="BT301">
        <v>3032.85</v>
      </c>
      <c r="BU301">
        <v>3201.33</v>
      </c>
      <c r="BV301">
        <v>3798.26</v>
      </c>
      <c r="BW301">
        <v>2415.67</v>
      </c>
      <c r="CA301">
        <v>17586.84</v>
      </c>
    </row>
    <row r="302" spans="20:79" x14ac:dyDescent="0.25">
      <c r="T302" s="43"/>
      <c r="AO302" s="161" t="s">
        <v>435</v>
      </c>
      <c r="AP302">
        <v>27524.46</v>
      </c>
      <c r="AU302">
        <v>27524.46</v>
      </c>
      <c r="BN302" s="161" t="s">
        <v>349</v>
      </c>
      <c r="BO302">
        <v>500</v>
      </c>
      <c r="BU302">
        <v>3000</v>
      </c>
      <c r="BV302">
        <v>3500</v>
      </c>
      <c r="BW302">
        <v>2250</v>
      </c>
      <c r="BX302">
        <v>350</v>
      </c>
      <c r="BZ302">
        <v>2000</v>
      </c>
      <c r="CA302">
        <v>11600</v>
      </c>
    </row>
    <row r="303" spans="20:79" x14ac:dyDescent="0.25">
      <c r="T303" s="43"/>
      <c r="AO303" s="41" t="s">
        <v>103</v>
      </c>
      <c r="AP303">
        <v>7675.01</v>
      </c>
      <c r="AU303">
        <v>7675.01</v>
      </c>
      <c r="BN303" s="165" t="s">
        <v>193</v>
      </c>
      <c r="BO303">
        <v>500</v>
      </c>
      <c r="BU303">
        <v>3000</v>
      </c>
      <c r="BV303">
        <v>3500</v>
      </c>
      <c r="BW303">
        <v>2250</v>
      </c>
      <c r="BX303">
        <v>350</v>
      </c>
      <c r="BZ303">
        <v>2000</v>
      </c>
      <c r="CA303">
        <v>11600</v>
      </c>
    </row>
    <row r="304" spans="20:79" x14ac:dyDescent="0.25">
      <c r="T304" s="43"/>
      <c r="AO304" s="161" t="s">
        <v>435</v>
      </c>
      <c r="AP304">
        <v>7675.01</v>
      </c>
      <c r="AU304">
        <v>7675.01</v>
      </c>
      <c r="BN304" s="41" t="s">
        <v>28</v>
      </c>
      <c r="BO304">
        <v>992.82</v>
      </c>
      <c r="BV304">
        <v>0.28000000000000003</v>
      </c>
      <c r="CA304">
        <v>993.1</v>
      </c>
    </row>
    <row r="305" spans="20:79" x14ac:dyDescent="0.25">
      <c r="T305" s="43"/>
      <c r="AO305" s="41" t="s">
        <v>478</v>
      </c>
      <c r="AP305">
        <v>0</v>
      </c>
      <c r="AQ305">
        <v>4323.96</v>
      </c>
      <c r="AU305">
        <v>4323.96</v>
      </c>
      <c r="BN305" s="161" t="s">
        <v>333</v>
      </c>
      <c r="BO305">
        <v>992.82</v>
      </c>
      <c r="BV305">
        <v>0.28000000000000003</v>
      </c>
      <c r="CA305">
        <v>993.1</v>
      </c>
    </row>
    <row r="306" spans="20:79" x14ac:dyDescent="0.25">
      <c r="T306" s="43"/>
      <c r="AO306" s="161" t="s">
        <v>147</v>
      </c>
      <c r="AP306">
        <v>-3428</v>
      </c>
      <c r="AQ306">
        <v>4323.96</v>
      </c>
      <c r="AU306">
        <v>895.96</v>
      </c>
      <c r="BN306" s="165" t="s">
        <v>435</v>
      </c>
      <c r="BO306">
        <v>992.82</v>
      </c>
      <c r="CA306">
        <v>992.82</v>
      </c>
    </row>
    <row r="307" spans="20:79" x14ac:dyDescent="0.25">
      <c r="T307" s="43"/>
      <c r="AO307" s="161" t="s">
        <v>479</v>
      </c>
      <c r="AP307">
        <v>4323.96</v>
      </c>
      <c r="AU307">
        <v>4323.96</v>
      </c>
      <c r="BN307" s="165" t="s">
        <v>473</v>
      </c>
      <c r="BV307">
        <v>0.28000000000000003</v>
      </c>
      <c r="CA307">
        <v>0.28000000000000003</v>
      </c>
    </row>
    <row r="308" spans="20:79" x14ac:dyDescent="0.25">
      <c r="T308" s="43"/>
      <c r="AO308" s="161" t="s">
        <v>487</v>
      </c>
      <c r="AP308">
        <v>-895.96</v>
      </c>
      <c r="AU308">
        <v>-895.96</v>
      </c>
      <c r="BN308" s="41" t="s">
        <v>54</v>
      </c>
      <c r="BO308">
        <v>84.03</v>
      </c>
      <c r="BP308">
        <v>199.46</v>
      </c>
      <c r="BQ308">
        <v>249.03</v>
      </c>
      <c r="BR308">
        <v>289.36</v>
      </c>
      <c r="BS308">
        <v>258.5</v>
      </c>
      <c r="BT308">
        <v>515.31999999999994</v>
      </c>
      <c r="BU308">
        <v>227.17000000000004</v>
      </c>
      <c r="BV308">
        <v>242.63000000000002</v>
      </c>
      <c r="BW308">
        <v>420.46000000000004</v>
      </c>
      <c r="BX308">
        <v>64.58</v>
      </c>
      <c r="BY308">
        <v>51.03</v>
      </c>
      <c r="BZ308">
        <v>51.03</v>
      </c>
      <c r="CA308">
        <v>2652.6000000000004</v>
      </c>
    </row>
    <row r="309" spans="20:79" x14ac:dyDescent="0.25">
      <c r="T309" s="43"/>
      <c r="AO309" s="41" t="s">
        <v>486</v>
      </c>
      <c r="AP309">
        <v>277.83</v>
      </c>
      <c r="AU309">
        <v>277.83</v>
      </c>
      <c r="BN309" s="161" t="s">
        <v>333</v>
      </c>
      <c r="BO309">
        <v>72.739999999999995</v>
      </c>
      <c r="BP309">
        <v>166.23000000000002</v>
      </c>
      <c r="BQ309">
        <v>215.8</v>
      </c>
      <c r="BR309">
        <v>156.13</v>
      </c>
      <c r="BS309">
        <v>199.87</v>
      </c>
      <c r="BT309">
        <v>445.65999999999997</v>
      </c>
      <c r="BU309">
        <v>176.14000000000001</v>
      </c>
      <c r="BV309">
        <v>161.6</v>
      </c>
      <c r="BW309">
        <v>244.01000000000002</v>
      </c>
      <c r="CA309">
        <v>1838.1800000000003</v>
      </c>
    </row>
    <row r="310" spans="20:79" x14ac:dyDescent="0.25">
      <c r="T310" s="43"/>
      <c r="AO310" s="161" t="s">
        <v>485</v>
      </c>
      <c r="AP310">
        <v>277.83</v>
      </c>
      <c r="AU310">
        <v>277.83</v>
      </c>
      <c r="BN310" s="165" t="s">
        <v>205</v>
      </c>
      <c r="BT310">
        <v>271.17</v>
      </c>
      <c r="BU310">
        <v>17.14</v>
      </c>
      <c r="CA310">
        <v>288.31</v>
      </c>
    </row>
    <row r="311" spans="20:79" x14ac:dyDescent="0.25">
      <c r="T311" s="43"/>
      <c r="AO311" s="41" t="s">
        <v>501</v>
      </c>
      <c r="AP311">
        <v>84.69</v>
      </c>
      <c r="AU311">
        <v>84.69</v>
      </c>
      <c r="BN311" s="165" t="s">
        <v>186</v>
      </c>
      <c r="BT311">
        <v>15</v>
      </c>
      <c r="BV311">
        <v>25</v>
      </c>
      <c r="CA311">
        <v>40</v>
      </c>
    </row>
    <row r="312" spans="20:79" x14ac:dyDescent="0.25">
      <c r="T312" s="43"/>
      <c r="AO312" s="161" t="s">
        <v>496</v>
      </c>
      <c r="AP312">
        <v>84.69</v>
      </c>
      <c r="AU312">
        <v>84.69</v>
      </c>
      <c r="BN312" s="165" t="s">
        <v>319</v>
      </c>
      <c r="BQ312">
        <v>3</v>
      </c>
      <c r="BR312">
        <v>3</v>
      </c>
      <c r="BV312">
        <v>3</v>
      </c>
      <c r="CA312">
        <v>9</v>
      </c>
    </row>
    <row r="313" spans="20:79" x14ac:dyDescent="0.25">
      <c r="T313" s="43"/>
      <c r="AO313" s="41" t="s">
        <v>107</v>
      </c>
      <c r="AP313">
        <v>163906.01999999996</v>
      </c>
      <c r="AQ313">
        <v>16562.97</v>
      </c>
      <c r="AR313">
        <v>12600</v>
      </c>
      <c r="AS313">
        <v>4949</v>
      </c>
      <c r="AT313">
        <v>1565</v>
      </c>
      <c r="AU313">
        <v>199582.98999999993</v>
      </c>
      <c r="BN313" s="165" t="s">
        <v>320</v>
      </c>
      <c r="BO313">
        <v>8.39</v>
      </c>
      <c r="BP313">
        <v>8.39</v>
      </c>
      <c r="BQ313">
        <v>8.39</v>
      </c>
      <c r="BR313">
        <v>8.39</v>
      </c>
      <c r="BS313">
        <v>8.39</v>
      </c>
      <c r="BT313">
        <v>8.39</v>
      </c>
      <c r="BU313">
        <v>8.39</v>
      </c>
      <c r="BV313">
        <v>8.39</v>
      </c>
      <c r="BW313">
        <v>8.39</v>
      </c>
      <c r="CA313">
        <v>75.510000000000005</v>
      </c>
    </row>
    <row r="314" spans="20:79" x14ac:dyDescent="0.25">
      <c r="T314" s="43"/>
      <c r="BN314" s="165" t="s">
        <v>257</v>
      </c>
      <c r="BT314">
        <v>27.31</v>
      </c>
      <c r="CA314">
        <v>27.31</v>
      </c>
    </row>
    <row r="315" spans="20:79" x14ac:dyDescent="0.25">
      <c r="T315" s="43"/>
      <c r="BN315" s="165" t="s">
        <v>208</v>
      </c>
      <c r="BS315">
        <v>30.4</v>
      </c>
      <c r="BU315">
        <v>67.72</v>
      </c>
      <c r="CA315">
        <v>98.12</v>
      </c>
    </row>
    <row r="316" spans="20:79" x14ac:dyDescent="0.25">
      <c r="T316" s="43"/>
      <c r="BN316" s="165" t="s">
        <v>222</v>
      </c>
      <c r="BO316">
        <v>7.9</v>
      </c>
      <c r="BP316">
        <v>26.5</v>
      </c>
      <c r="BQ316">
        <v>5.64</v>
      </c>
      <c r="BR316">
        <v>45.31</v>
      </c>
      <c r="BS316">
        <v>38.47</v>
      </c>
      <c r="BU316">
        <v>20.34</v>
      </c>
      <c r="BV316">
        <v>49.81</v>
      </c>
      <c r="CA316">
        <v>193.97</v>
      </c>
    </row>
    <row r="317" spans="20:79" x14ac:dyDescent="0.25">
      <c r="T317" s="43"/>
      <c r="BN317" s="165" t="s">
        <v>241</v>
      </c>
      <c r="BT317">
        <v>46.71</v>
      </c>
      <c r="CA317">
        <v>46.71</v>
      </c>
    </row>
    <row r="318" spans="20:79" x14ac:dyDescent="0.25">
      <c r="T318" s="43"/>
      <c r="BN318" s="165" t="s">
        <v>149</v>
      </c>
      <c r="BS318">
        <v>10.39</v>
      </c>
      <c r="BT318">
        <v>7.65</v>
      </c>
      <c r="BU318">
        <v>7.65</v>
      </c>
      <c r="BV318">
        <v>7.65</v>
      </c>
      <c r="BW318">
        <v>7.65</v>
      </c>
      <c r="CA318">
        <v>40.989999999999995</v>
      </c>
    </row>
    <row r="319" spans="20:79" x14ac:dyDescent="0.25">
      <c r="T319" s="43"/>
      <c r="BN319" s="165" t="s">
        <v>142</v>
      </c>
      <c r="BO319">
        <v>11.29</v>
      </c>
      <c r="BP319">
        <v>11.29</v>
      </c>
      <c r="BQ319">
        <v>11.29</v>
      </c>
      <c r="BR319">
        <v>11.29</v>
      </c>
      <c r="BS319">
        <v>11.29</v>
      </c>
      <c r="BT319">
        <v>11.29</v>
      </c>
      <c r="BU319">
        <v>11.29</v>
      </c>
      <c r="BV319">
        <v>11.29</v>
      </c>
      <c r="CA319">
        <v>90.32</v>
      </c>
    </row>
    <row r="320" spans="20:79" x14ac:dyDescent="0.25">
      <c r="T320" s="43"/>
      <c r="BN320" s="165" t="s">
        <v>150</v>
      </c>
      <c r="BO320">
        <v>18.63</v>
      </c>
      <c r="BP320">
        <v>18.63</v>
      </c>
      <c r="BQ320">
        <v>18.63</v>
      </c>
      <c r="BS320">
        <v>18.63</v>
      </c>
      <c r="BT320">
        <v>18.63</v>
      </c>
      <c r="CA320">
        <v>93.149999999999991</v>
      </c>
    </row>
    <row r="321" spans="20:79" x14ac:dyDescent="0.25">
      <c r="T321" s="43"/>
      <c r="BN321" s="165" t="s">
        <v>347</v>
      </c>
      <c r="BU321">
        <v>4.0999999999999996</v>
      </c>
      <c r="CA321">
        <v>4.0999999999999996</v>
      </c>
    </row>
    <row r="322" spans="20:79" x14ac:dyDescent="0.25">
      <c r="T322" s="43"/>
      <c r="BN322" s="165" t="s">
        <v>140</v>
      </c>
      <c r="BW322">
        <v>111.87</v>
      </c>
      <c r="CA322">
        <v>111.87</v>
      </c>
    </row>
    <row r="323" spans="20:79" x14ac:dyDescent="0.25">
      <c r="T323" s="43"/>
      <c r="BN323" s="165" t="s">
        <v>246</v>
      </c>
      <c r="BS323">
        <v>3.38</v>
      </c>
      <c r="BT323">
        <v>3.38</v>
      </c>
      <c r="BU323">
        <v>3.38</v>
      </c>
      <c r="BV323">
        <v>3.38</v>
      </c>
      <c r="BW323">
        <v>3.38</v>
      </c>
      <c r="CA323">
        <v>16.899999999999999</v>
      </c>
    </row>
    <row r="324" spans="20:79" x14ac:dyDescent="0.25">
      <c r="T324" s="43"/>
      <c r="BN324" s="165" t="s">
        <v>238</v>
      </c>
      <c r="BS324">
        <v>7.9</v>
      </c>
      <c r="CA324">
        <v>7.9</v>
      </c>
    </row>
    <row r="325" spans="20:79" x14ac:dyDescent="0.25">
      <c r="T325" s="43"/>
      <c r="BN325" s="165" t="s">
        <v>155</v>
      </c>
      <c r="BT325">
        <v>6.77</v>
      </c>
      <c r="BU325">
        <v>6.77</v>
      </c>
      <c r="BV325">
        <v>6.77</v>
      </c>
      <c r="BW325">
        <v>6.77</v>
      </c>
      <c r="CA325">
        <v>27.08</v>
      </c>
    </row>
    <row r="326" spans="20:79" x14ac:dyDescent="0.25">
      <c r="T326" s="43"/>
      <c r="BN326" s="165" t="s">
        <v>181</v>
      </c>
      <c r="BT326">
        <v>14.68</v>
      </c>
      <c r="BU326">
        <v>14.68</v>
      </c>
      <c r="CA326">
        <v>29.36</v>
      </c>
    </row>
    <row r="327" spans="20:79" x14ac:dyDescent="0.25">
      <c r="T327" s="43"/>
      <c r="BN327" s="165" t="s">
        <v>136</v>
      </c>
      <c r="BO327">
        <v>14.68</v>
      </c>
      <c r="BP327">
        <v>14.68</v>
      </c>
      <c r="BQ327">
        <v>14.68</v>
      </c>
      <c r="BR327">
        <v>14.68</v>
      </c>
      <c r="BS327">
        <v>14.68</v>
      </c>
      <c r="BT327">
        <v>14.68</v>
      </c>
      <c r="BU327">
        <v>14.68</v>
      </c>
      <c r="BV327">
        <v>14.68</v>
      </c>
      <c r="BW327">
        <v>14.68</v>
      </c>
      <c r="CA327">
        <v>132.12000000000003</v>
      </c>
    </row>
    <row r="328" spans="20:79" x14ac:dyDescent="0.25">
      <c r="T328" s="43"/>
      <c r="BN328" s="165" t="s">
        <v>187</v>
      </c>
      <c r="BO328">
        <v>11.85</v>
      </c>
      <c r="BP328">
        <v>86.740000000000009</v>
      </c>
      <c r="BQ328">
        <v>154.17000000000002</v>
      </c>
      <c r="BR328">
        <v>73.459999999999994</v>
      </c>
      <c r="BS328">
        <v>56.34</v>
      </c>
      <c r="BW328">
        <v>45.19</v>
      </c>
      <c r="CA328">
        <v>427.75000000000006</v>
      </c>
    </row>
    <row r="329" spans="20:79" x14ac:dyDescent="0.25">
      <c r="T329" s="43"/>
      <c r="BN329" s="165" t="s">
        <v>249</v>
      </c>
      <c r="BV329">
        <v>31.63</v>
      </c>
      <c r="CA329">
        <v>31.63</v>
      </c>
    </row>
    <row r="330" spans="20:79" x14ac:dyDescent="0.25">
      <c r="T330" s="43"/>
      <c r="BN330" s="165" t="s">
        <v>497</v>
      </c>
      <c r="BW330">
        <v>13.55</v>
      </c>
      <c r="CA330">
        <v>13.55</v>
      </c>
    </row>
    <row r="331" spans="20:79" x14ac:dyDescent="0.25">
      <c r="T331" s="43"/>
      <c r="BN331" s="165" t="s">
        <v>496</v>
      </c>
      <c r="BW331">
        <v>32.53</v>
      </c>
      <c r="CA331">
        <v>32.53</v>
      </c>
    </row>
    <row r="332" spans="20:79" x14ac:dyDescent="0.25">
      <c r="T332" s="43"/>
      <c r="BN332" s="161" t="s">
        <v>350</v>
      </c>
      <c r="BO332">
        <v>11.29</v>
      </c>
      <c r="BP332">
        <v>33.230000000000004</v>
      </c>
      <c r="BQ332">
        <v>33.230000000000004</v>
      </c>
      <c r="BR332">
        <v>133.23000000000002</v>
      </c>
      <c r="BS332">
        <v>58.629999999999995</v>
      </c>
      <c r="BT332">
        <v>69.66</v>
      </c>
      <c r="BU332">
        <v>51.03</v>
      </c>
      <c r="BV332">
        <v>81.03</v>
      </c>
      <c r="BW332">
        <v>176.45000000000002</v>
      </c>
      <c r="BX332">
        <v>64.58</v>
      </c>
      <c r="BY332">
        <v>51.03</v>
      </c>
      <c r="BZ332">
        <v>51.03</v>
      </c>
      <c r="CA332">
        <v>814.42</v>
      </c>
    </row>
    <row r="333" spans="20:79" x14ac:dyDescent="0.25">
      <c r="T333" s="43"/>
      <c r="BN333" s="165" t="s">
        <v>320</v>
      </c>
      <c r="BO333">
        <v>0</v>
      </c>
      <c r="BP333">
        <v>8.39</v>
      </c>
      <c r="BQ333">
        <v>8.39</v>
      </c>
      <c r="BR333">
        <v>8.39</v>
      </c>
      <c r="BS333">
        <v>8.39</v>
      </c>
      <c r="BT333">
        <v>8.39</v>
      </c>
      <c r="BU333">
        <v>8.39</v>
      </c>
      <c r="BV333">
        <v>8.39</v>
      </c>
      <c r="BW333">
        <v>8.39</v>
      </c>
      <c r="BX333">
        <v>8.39</v>
      </c>
      <c r="BY333">
        <v>8.39</v>
      </c>
      <c r="BZ333">
        <v>8.39</v>
      </c>
      <c r="CA333">
        <v>92.29</v>
      </c>
    </row>
    <row r="334" spans="20:79" x14ac:dyDescent="0.25">
      <c r="T334" s="43"/>
      <c r="BN334" s="165" t="s">
        <v>232</v>
      </c>
      <c r="BR334">
        <v>100</v>
      </c>
      <c r="BV334">
        <v>30</v>
      </c>
      <c r="CA334">
        <v>130</v>
      </c>
    </row>
    <row r="335" spans="20:79" x14ac:dyDescent="0.25">
      <c r="T335" s="43"/>
      <c r="BN335" s="165" t="s">
        <v>133</v>
      </c>
      <c r="BO335">
        <v>0</v>
      </c>
      <c r="BP335">
        <v>0</v>
      </c>
      <c r="BQ335">
        <v>0</v>
      </c>
      <c r="BR335">
        <v>0</v>
      </c>
      <c r="BS335">
        <v>0</v>
      </c>
      <c r="BT335">
        <v>0</v>
      </c>
      <c r="BU335">
        <v>0</v>
      </c>
      <c r="BV335">
        <v>0</v>
      </c>
      <c r="BW335">
        <v>0</v>
      </c>
      <c r="BX335">
        <v>0</v>
      </c>
      <c r="BY335">
        <v>0</v>
      </c>
      <c r="BZ335">
        <v>0</v>
      </c>
      <c r="CA335">
        <v>0</v>
      </c>
    </row>
    <row r="336" spans="20:79" x14ac:dyDescent="0.25">
      <c r="T336" s="43"/>
      <c r="BN336" s="165" t="s">
        <v>153</v>
      </c>
      <c r="BO336">
        <v>0</v>
      </c>
      <c r="BP336">
        <v>0</v>
      </c>
      <c r="BQ336">
        <v>0</v>
      </c>
      <c r="BR336">
        <v>0</v>
      </c>
      <c r="BS336">
        <v>0</v>
      </c>
      <c r="BT336">
        <v>0</v>
      </c>
      <c r="BU336">
        <v>0</v>
      </c>
      <c r="BV336">
        <v>0</v>
      </c>
      <c r="BW336">
        <v>0</v>
      </c>
      <c r="BX336">
        <v>0</v>
      </c>
      <c r="BY336">
        <v>0</v>
      </c>
      <c r="BZ336">
        <v>0</v>
      </c>
      <c r="CA336">
        <v>0</v>
      </c>
    </row>
    <row r="337" spans="20:79" x14ac:dyDescent="0.25">
      <c r="T337" s="43"/>
      <c r="BN337" s="165" t="s">
        <v>148</v>
      </c>
      <c r="BO337">
        <v>0</v>
      </c>
      <c r="BP337">
        <v>0</v>
      </c>
      <c r="BQ337">
        <v>0</v>
      </c>
      <c r="BR337">
        <v>0</v>
      </c>
      <c r="BS337">
        <v>0</v>
      </c>
      <c r="BT337">
        <v>0</v>
      </c>
      <c r="BU337">
        <v>0</v>
      </c>
      <c r="BV337">
        <v>0</v>
      </c>
      <c r="BW337">
        <v>0</v>
      </c>
      <c r="BX337">
        <v>0</v>
      </c>
      <c r="BY337">
        <v>0</v>
      </c>
      <c r="BZ337">
        <v>0</v>
      </c>
      <c r="CA337">
        <v>0</v>
      </c>
    </row>
    <row r="338" spans="20:79" x14ac:dyDescent="0.25">
      <c r="T338" s="43"/>
      <c r="BN338" s="165" t="s">
        <v>149</v>
      </c>
      <c r="BO338">
        <v>0</v>
      </c>
      <c r="BP338">
        <v>0</v>
      </c>
      <c r="BQ338">
        <v>0</v>
      </c>
      <c r="BR338">
        <v>0</v>
      </c>
      <c r="BS338">
        <v>0</v>
      </c>
      <c r="BT338">
        <v>7.65</v>
      </c>
      <c r="BU338">
        <v>7.65</v>
      </c>
      <c r="BV338">
        <v>7.65</v>
      </c>
      <c r="BW338">
        <v>7.65</v>
      </c>
      <c r="BX338">
        <v>7.65</v>
      </c>
      <c r="BY338">
        <v>7.65</v>
      </c>
      <c r="BZ338">
        <v>7.65</v>
      </c>
      <c r="CA338">
        <v>53.55</v>
      </c>
    </row>
    <row r="339" spans="20:79" x14ac:dyDescent="0.25">
      <c r="T339" s="43"/>
      <c r="BN339" s="165" t="s">
        <v>135</v>
      </c>
      <c r="BO339">
        <v>0</v>
      </c>
      <c r="BP339">
        <v>0</v>
      </c>
      <c r="BQ339">
        <v>0</v>
      </c>
      <c r="BR339">
        <v>0</v>
      </c>
      <c r="BS339">
        <v>0</v>
      </c>
      <c r="BT339">
        <v>0</v>
      </c>
      <c r="BU339">
        <v>0</v>
      </c>
      <c r="BV339">
        <v>0</v>
      </c>
      <c r="BW339">
        <v>0</v>
      </c>
      <c r="BX339">
        <v>0</v>
      </c>
      <c r="BY339">
        <v>0</v>
      </c>
      <c r="BZ339">
        <v>0</v>
      </c>
      <c r="CA339">
        <v>0</v>
      </c>
    </row>
    <row r="340" spans="20:79" x14ac:dyDescent="0.25">
      <c r="T340" s="43"/>
      <c r="BN340" s="165" t="s">
        <v>142</v>
      </c>
      <c r="BO340">
        <v>11.29</v>
      </c>
      <c r="BP340">
        <v>11.29</v>
      </c>
      <c r="BQ340">
        <v>11.29</v>
      </c>
      <c r="BR340">
        <v>11.29</v>
      </c>
      <c r="BS340">
        <v>11.29</v>
      </c>
      <c r="BT340">
        <v>11.29</v>
      </c>
      <c r="BU340">
        <v>11.29</v>
      </c>
      <c r="BV340">
        <v>11.29</v>
      </c>
      <c r="BW340">
        <v>11.29</v>
      </c>
      <c r="BX340">
        <v>11.29</v>
      </c>
      <c r="BY340">
        <v>11.29</v>
      </c>
      <c r="BZ340">
        <v>11.29</v>
      </c>
      <c r="CA340">
        <v>135.47999999999996</v>
      </c>
    </row>
    <row r="341" spans="20:79" x14ac:dyDescent="0.25">
      <c r="T341" s="43"/>
      <c r="BN341" s="165" t="s">
        <v>150</v>
      </c>
      <c r="BO341">
        <v>0</v>
      </c>
      <c r="BP341">
        <v>0</v>
      </c>
      <c r="BQ341">
        <v>0</v>
      </c>
      <c r="BR341">
        <v>0</v>
      </c>
      <c r="BS341">
        <v>18.63</v>
      </c>
      <c r="BT341">
        <v>18.63</v>
      </c>
      <c r="BU341">
        <v>0</v>
      </c>
      <c r="BV341">
        <v>0</v>
      </c>
      <c r="BW341">
        <v>0</v>
      </c>
      <c r="BX341">
        <v>0</v>
      </c>
      <c r="BY341">
        <v>0</v>
      </c>
      <c r="BZ341">
        <v>0</v>
      </c>
      <c r="CA341">
        <v>37.26</v>
      </c>
    </row>
    <row r="342" spans="20:79" x14ac:dyDescent="0.25">
      <c r="T342" s="43"/>
      <c r="BN342" s="165" t="s">
        <v>140</v>
      </c>
      <c r="BO342">
        <v>0</v>
      </c>
      <c r="BP342">
        <v>0</v>
      </c>
      <c r="BQ342">
        <v>0</v>
      </c>
      <c r="BR342">
        <v>0</v>
      </c>
      <c r="BS342">
        <v>0</v>
      </c>
      <c r="BT342">
        <v>0</v>
      </c>
      <c r="BU342">
        <v>0</v>
      </c>
      <c r="BV342">
        <v>0</v>
      </c>
      <c r="BW342">
        <v>111.87</v>
      </c>
      <c r="BX342">
        <v>0</v>
      </c>
      <c r="BY342">
        <v>0</v>
      </c>
      <c r="BZ342">
        <v>0</v>
      </c>
      <c r="CA342">
        <v>111.87</v>
      </c>
    </row>
    <row r="343" spans="20:79" x14ac:dyDescent="0.25">
      <c r="T343" s="43"/>
      <c r="BN343" s="165" t="s">
        <v>246</v>
      </c>
      <c r="BO343">
        <v>0</v>
      </c>
      <c r="BP343">
        <v>0</v>
      </c>
      <c r="BQ343">
        <v>0</v>
      </c>
      <c r="BR343">
        <v>0</v>
      </c>
      <c r="BS343">
        <v>0</v>
      </c>
      <c r="BT343">
        <v>3.38</v>
      </c>
      <c r="BU343">
        <v>3.38</v>
      </c>
      <c r="BV343">
        <v>3.38</v>
      </c>
      <c r="BW343">
        <v>3.38</v>
      </c>
      <c r="BX343">
        <v>3.38</v>
      </c>
      <c r="BY343">
        <v>3.38</v>
      </c>
      <c r="BZ343">
        <v>3.38</v>
      </c>
      <c r="CA343">
        <v>23.659999999999997</v>
      </c>
    </row>
    <row r="344" spans="20:79" x14ac:dyDescent="0.25">
      <c r="T344" s="43"/>
      <c r="BN344" s="165" t="s">
        <v>155</v>
      </c>
      <c r="BS344">
        <v>6.77</v>
      </c>
      <c r="BT344">
        <v>6.77</v>
      </c>
      <c r="BU344">
        <v>6.77</v>
      </c>
      <c r="BV344">
        <v>6.77</v>
      </c>
      <c r="BW344">
        <v>6.77</v>
      </c>
      <c r="BX344">
        <v>6.77</v>
      </c>
      <c r="BY344">
        <v>6.77</v>
      </c>
      <c r="BZ344">
        <v>6.77</v>
      </c>
      <c r="CA344">
        <v>54.159999999999982</v>
      </c>
    </row>
    <row r="345" spans="20:79" x14ac:dyDescent="0.25">
      <c r="T345" s="43"/>
      <c r="BN345" s="165" t="s">
        <v>136</v>
      </c>
      <c r="BO345">
        <v>0</v>
      </c>
      <c r="BP345">
        <v>13.55</v>
      </c>
      <c r="BQ345">
        <v>13.55</v>
      </c>
      <c r="BR345">
        <v>13.55</v>
      </c>
      <c r="BS345">
        <v>13.55</v>
      </c>
      <c r="BT345">
        <v>13.55</v>
      </c>
      <c r="BU345">
        <v>13.55</v>
      </c>
      <c r="BV345">
        <v>13.55</v>
      </c>
      <c r="BW345">
        <v>13.55</v>
      </c>
      <c r="BX345">
        <v>13.55</v>
      </c>
      <c r="BY345">
        <v>13.55</v>
      </c>
      <c r="BZ345">
        <v>13.55</v>
      </c>
      <c r="CA345">
        <v>149.05000000000001</v>
      </c>
    </row>
    <row r="346" spans="20:79" x14ac:dyDescent="0.25">
      <c r="T346" s="43"/>
      <c r="BN346" s="165" t="s">
        <v>497</v>
      </c>
      <c r="BW346">
        <v>13.55</v>
      </c>
      <c r="BX346">
        <v>13.55</v>
      </c>
      <c r="CA346">
        <v>27.1</v>
      </c>
    </row>
    <row r="347" spans="20:79" x14ac:dyDescent="0.25">
      <c r="T347" s="43"/>
      <c r="BN347" s="41" t="s">
        <v>52</v>
      </c>
      <c r="BU347">
        <v>92.65</v>
      </c>
      <c r="CA347">
        <v>92.65</v>
      </c>
    </row>
    <row r="348" spans="20:79" x14ac:dyDescent="0.25">
      <c r="T348" s="43"/>
      <c r="BN348" s="161" t="s">
        <v>333</v>
      </c>
      <c r="BU348">
        <v>92.65</v>
      </c>
      <c r="CA348">
        <v>92.65</v>
      </c>
    </row>
    <row r="349" spans="20:79" x14ac:dyDescent="0.25">
      <c r="T349" s="43"/>
      <c r="BN349" s="165" t="s">
        <v>216</v>
      </c>
      <c r="BU349">
        <v>92.65</v>
      </c>
      <c r="CA349">
        <v>92.65</v>
      </c>
    </row>
    <row r="350" spans="20:79" x14ac:dyDescent="0.25">
      <c r="T350" s="43"/>
      <c r="BN350" s="41" t="s">
        <v>120</v>
      </c>
      <c r="BT350">
        <v>8.6199999999999992</v>
      </c>
      <c r="CA350">
        <v>8.6199999999999992</v>
      </c>
    </row>
    <row r="351" spans="20:79" x14ac:dyDescent="0.25">
      <c r="T351" s="43"/>
      <c r="BN351" s="161" t="s">
        <v>333</v>
      </c>
      <c r="BT351">
        <v>8.6199999999999992</v>
      </c>
      <c r="CA351">
        <v>8.6199999999999992</v>
      </c>
    </row>
    <row r="352" spans="20:79" x14ac:dyDescent="0.25">
      <c r="T352" s="43"/>
      <c r="BN352" s="165" t="s">
        <v>228</v>
      </c>
      <c r="BT352">
        <v>8.6199999999999992</v>
      </c>
      <c r="CA352">
        <v>8.6199999999999992</v>
      </c>
    </row>
    <row r="353" spans="20:79" x14ac:dyDescent="0.25">
      <c r="T353" s="43"/>
      <c r="BN353" s="41" t="s">
        <v>50</v>
      </c>
      <c r="BO353">
        <v>119.87</v>
      </c>
      <c r="BP353">
        <v>2.35</v>
      </c>
      <c r="BQ353">
        <v>65</v>
      </c>
      <c r="BR353">
        <v>0</v>
      </c>
      <c r="BS353">
        <v>201.96</v>
      </c>
      <c r="BT353">
        <v>477.33000000000004</v>
      </c>
      <c r="BU353">
        <v>133.80000000000001</v>
      </c>
      <c r="BV353">
        <v>153.01999999999998</v>
      </c>
      <c r="BW353">
        <v>130</v>
      </c>
      <c r="BX353">
        <v>65</v>
      </c>
      <c r="BY353">
        <v>65</v>
      </c>
      <c r="BZ353">
        <v>65</v>
      </c>
      <c r="CA353">
        <v>1478.33</v>
      </c>
    </row>
    <row r="354" spans="20:79" x14ac:dyDescent="0.25">
      <c r="T354" s="43"/>
      <c r="BN354" s="161" t="s">
        <v>333</v>
      </c>
      <c r="BO354">
        <v>119.87</v>
      </c>
      <c r="BP354">
        <v>2.35</v>
      </c>
      <c r="BQ354">
        <v>65</v>
      </c>
      <c r="BS354">
        <v>201.96</v>
      </c>
      <c r="BT354">
        <v>247.33</v>
      </c>
      <c r="BU354">
        <v>68.8</v>
      </c>
      <c r="BV354">
        <v>88.02</v>
      </c>
      <c r="BW354">
        <v>65</v>
      </c>
      <c r="CA354">
        <v>858.32999999999993</v>
      </c>
    </row>
    <row r="355" spans="20:79" x14ac:dyDescent="0.25">
      <c r="T355" s="43"/>
      <c r="BN355" s="165" t="s">
        <v>115</v>
      </c>
      <c r="BS355">
        <v>19.8</v>
      </c>
      <c r="BU355">
        <v>3.8</v>
      </c>
      <c r="CA355">
        <v>23.6</v>
      </c>
    </row>
    <row r="356" spans="20:79" x14ac:dyDescent="0.25">
      <c r="T356" s="43"/>
      <c r="BN356" s="165" t="s">
        <v>119</v>
      </c>
      <c r="BS356">
        <v>65.260000000000005</v>
      </c>
      <c r="BT356">
        <v>65</v>
      </c>
      <c r="CA356">
        <v>130.26</v>
      </c>
    </row>
    <row r="357" spans="20:79" x14ac:dyDescent="0.25">
      <c r="T357" s="43"/>
      <c r="BN357" s="165" t="s">
        <v>180</v>
      </c>
      <c r="BQ357">
        <v>65</v>
      </c>
      <c r="BS357">
        <v>65</v>
      </c>
      <c r="BT357">
        <v>65</v>
      </c>
      <c r="BU357">
        <v>65</v>
      </c>
      <c r="BV357">
        <v>65</v>
      </c>
      <c r="BW357">
        <v>65</v>
      </c>
      <c r="CA357">
        <v>390</v>
      </c>
    </row>
    <row r="358" spans="20:79" x14ac:dyDescent="0.25">
      <c r="T358" s="43"/>
      <c r="BN358" s="165" t="s">
        <v>223</v>
      </c>
      <c r="BT358">
        <v>80.55</v>
      </c>
      <c r="CA358">
        <v>80.55</v>
      </c>
    </row>
    <row r="359" spans="20:79" x14ac:dyDescent="0.25">
      <c r="T359" s="43"/>
      <c r="BN359" s="165" t="s">
        <v>250</v>
      </c>
      <c r="BT359">
        <v>6</v>
      </c>
      <c r="CA359">
        <v>6</v>
      </c>
    </row>
    <row r="360" spans="20:79" x14ac:dyDescent="0.25">
      <c r="T360" s="43"/>
      <c r="BN360" s="165" t="s">
        <v>56</v>
      </c>
      <c r="BO360">
        <v>119.87</v>
      </c>
      <c r="BP360">
        <v>2.35</v>
      </c>
      <c r="BS360">
        <v>51.9</v>
      </c>
      <c r="BT360">
        <v>30.78</v>
      </c>
      <c r="BV360">
        <v>23.02</v>
      </c>
      <c r="CA360">
        <v>227.92000000000002</v>
      </c>
    </row>
    <row r="361" spans="20:79" x14ac:dyDescent="0.25">
      <c r="T361" s="43"/>
      <c r="BN361" s="161" t="s">
        <v>350</v>
      </c>
      <c r="BO361">
        <v>0</v>
      </c>
      <c r="BP361">
        <v>0</v>
      </c>
      <c r="BQ361">
        <v>0</v>
      </c>
      <c r="BR361">
        <v>0</v>
      </c>
      <c r="BS361">
        <v>0</v>
      </c>
      <c r="BT361">
        <v>165</v>
      </c>
      <c r="BU361">
        <v>65</v>
      </c>
      <c r="BV361">
        <v>65</v>
      </c>
      <c r="BW361">
        <v>65</v>
      </c>
      <c r="BX361">
        <v>65</v>
      </c>
      <c r="BY361">
        <v>65</v>
      </c>
      <c r="BZ361">
        <v>65</v>
      </c>
      <c r="CA361">
        <v>555</v>
      </c>
    </row>
    <row r="362" spans="20:79" x14ac:dyDescent="0.25">
      <c r="T362" s="43"/>
      <c r="BN362" s="165" t="s">
        <v>115</v>
      </c>
      <c r="BO362">
        <v>0</v>
      </c>
      <c r="BP362">
        <v>0</v>
      </c>
      <c r="BQ362">
        <v>0</v>
      </c>
      <c r="BR362">
        <v>0</v>
      </c>
      <c r="BS362">
        <v>0</v>
      </c>
      <c r="BT362">
        <v>0</v>
      </c>
      <c r="BU362">
        <v>0</v>
      </c>
      <c r="BV362">
        <v>0</v>
      </c>
      <c r="BW362">
        <v>0</v>
      </c>
      <c r="BX362">
        <v>0</v>
      </c>
      <c r="BY362">
        <v>0</v>
      </c>
      <c r="BZ362">
        <v>0</v>
      </c>
      <c r="CA362">
        <v>0</v>
      </c>
    </row>
    <row r="363" spans="20:79" x14ac:dyDescent="0.25">
      <c r="T363" s="43"/>
      <c r="BN363" s="165" t="s">
        <v>119</v>
      </c>
      <c r="BT363">
        <v>100</v>
      </c>
      <c r="CA363">
        <v>100</v>
      </c>
    </row>
    <row r="364" spans="20:79" x14ac:dyDescent="0.25">
      <c r="T364" s="43"/>
      <c r="BN364" s="165" t="s">
        <v>180</v>
      </c>
      <c r="BO364">
        <v>0</v>
      </c>
      <c r="BP364">
        <v>0</v>
      </c>
      <c r="BQ364">
        <v>0</v>
      </c>
      <c r="BR364">
        <v>0</v>
      </c>
      <c r="BS364">
        <v>0</v>
      </c>
      <c r="BT364">
        <v>65</v>
      </c>
      <c r="BU364">
        <v>65</v>
      </c>
      <c r="BV364">
        <v>65</v>
      </c>
      <c r="BW364">
        <v>65</v>
      </c>
      <c r="BX364">
        <v>65</v>
      </c>
      <c r="BY364">
        <v>65</v>
      </c>
      <c r="BZ364">
        <v>65</v>
      </c>
      <c r="CA364">
        <v>455</v>
      </c>
    </row>
    <row r="365" spans="20:79" x14ac:dyDescent="0.25">
      <c r="T365" s="43"/>
      <c r="BN365" s="161" t="s">
        <v>171</v>
      </c>
      <c r="BT365">
        <v>65</v>
      </c>
      <c r="CA365">
        <v>65</v>
      </c>
    </row>
    <row r="366" spans="20:79" x14ac:dyDescent="0.25">
      <c r="T366" s="43"/>
      <c r="BN366" s="165" t="s">
        <v>223</v>
      </c>
      <c r="BT366">
        <v>65</v>
      </c>
      <c r="CA366">
        <v>65</v>
      </c>
    </row>
    <row r="367" spans="20:79" x14ac:dyDescent="0.25">
      <c r="T367" s="43"/>
      <c r="BN367" s="41" t="s">
        <v>37</v>
      </c>
      <c r="BO367">
        <v>0</v>
      </c>
      <c r="BP367">
        <v>0</v>
      </c>
      <c r="BQ367">
        <v>0</v>
      </c>
      <c r="BR367">
        <v>0</v>
      </c>
      <c r="BS367">
        <v>250</v>
      </c>
      <c r="BT367">
        <v>250</v>
      </c>
      <c r="BU367">
        <v>250</v>
      </c>
      <c r="BV367">
        <v>250</v>
      </c>
      <c r="BW367">
        <v>250</v>
      </c>
      <c r="CA367">
        <v>1250</v>
      </c>
    </row>
    <row r="368" spans="20:79" x14ac:dyDescent="0.25">
      <c r="T368" s="43"/>
      <c r="BN368" s="161" t="s">
        <v>350</v>
      </c>
      <c r="BO368">
        <v>0</v>
      </c>
      <c r="BP368">
        <v>0</v>
      </c>
      <c r="BQ368">
        <v>0</v>
      </c>
      <c r="BR368">
        <v>0</v>
      </c>
      <c r="BS368">
        <v>250</v>
      </c>
      <c r="BT368">
        <v>250</v>
      </c>
      <c r="BU368">
        <v>250</v>
      </c>
      <c r="BV368">
        <v>250</v>
      </c>
      <c r="BW368">
        <v>250</v>
      </c>
      <c r="CA368">
        <v>1250</v>
      </c>
    </row>
    <row r="369" spans="20:79" x14ac:dyDescent="0.25">
      <c r="T369" s="43"/>
      <c r="BN369" s="165" t="s">
        <v>146</v>
      </c>
      <c r="BO369">
        <v>0</v>
      </c>
      <c r="BP369">
        <v>0</v>
      </c>
      <c r="BQ369">
        <v>0</v>
      </c>
      <c r="BR369">
        <v>0</v>
      </c>
      <c r="BS369">
        <v>250</v>
      </c>
      <c r="BT369">
        <v>250</v>
      </c>
      <c r="BU369">
        <v>250</v>
      </c>
      <c r="BV369">
        <v>250</v>
      </c>
      <c r="BW369">
        <v>250</v>
      </c>
      <c r="CA369">
        <v>1250</v>
      </c>
    </row>
    <row r="370" spans="20:79" x14ac:dyDescent="0.25">
      <c r="T370" s="43"/>
      <c r="BN370" s="41" t="s">
        <v>88</v>
      </c>
      <c r="BO370">
        <v>3364.96</v>
      </c>
      <c r="BP370">
        <v>62</v>
      </c>
      <c r="BQ370">
        <v>327.66999999999996</v>
      </c>
      <c r="BV370">
        <v>86.78</v>
      </c>
      <c r="CA370">
        <v>3841.41</v>
      </c>
    </row>
    <row r="371" spans="20:79" x14ac:dyDescent="0.25">
      <c r="T371" s="43"/>
      <c r="BN371" s="161" t="s">
        <v>333</v>
      </c>
      <c r="BO371">
        <v>3364.96</v>
      </c>
      <c r="BP371">
        <v>62</v>
      </c>
      <c r="BQ371">
        <v>327.66999999999996</v>
      </c>
      <c r="BV371">
        <v>86.78</v>
      </c>
      <c r="CA371">
        <v>3841.41</v>
      </c>
    </row>
    <row r="372" spans="20:79" x14ac:dyDescent="0.25">
      <c r="T372" s="43"/>
      <c r="BN372" s="165" t="s">
        <v>339</v>
      </c>
      <c r="BV372">
        <v>86</v>
      </c>
      <c r="CA372">
        <v>86</v>
      </c>
    </row>
    <row r="373" spans="20:79" x14ac:dyDescent="0.25">
      <c r="T373" s="43"/>
      <c r="BN373" s="165" t="s">
        <v>228</v>
      </c>
      <c r="BO373">
        <v>214.41</v>
      </c>
      <c r="BQ373">
        <v>162.70999999999998</v>
      </c>
      <c r="CA373">
        <v>377.12</v>
      </c>
    </row>
    <row r="374" spans="20:79" x14ac:dyDescent="0.25">
      <c r="T374" s="43"/>
      <c r="BN374" s="165" t="s">
        <v>244</v>
      </c>
      <c r="BO374">
        <v>123.64999999999999</v>
      </c>
      <c r="BP374">
        <v>62</v>
      </c>
      <c r="BQ374">
        <v>164.96</v>
      </c>
      <c r="BV374">
        <v>0.78</v>
      </c>
      <c r="CA374">
        <v>351.39</v>
      </c>
    </row>
    <row r="375" spans="20:79" x14ac:dyDescent="0.25">
      <c r="T375" s="43"/>
      <c r="BN375" s="165" t="s">
        <v>459</v>
      </c>
      <c r="BO375">
        <v>0.75</v>
      </c>
      <c r="CA375">
        <v>0.75</v>
      </c>
    </row>
    <row r="376" spans="20:79" x14ac:dyDescent="0.25">
      <c r="T376" s="43"/>
      <c r="BN376" s="165" t="s">
        <v>470</v>
      </c>
      <c r="BO376">
        <v>3026.15</v>
      </c>
      <c r="CA376">
        <v>3026.15</v>
      </c>
    </row>
    <row r="377" spans="20:79" x14ac:dyDescent="0.25">
      <c r="T377" s="43"/>
      <c r="BN377" s="41" t="s">
        <v>361</v>
      </c>
      <c r="BU377">
        <v>218.09</v>
      </c>
      <c r="BV377">
        <v>-218.09</v>
      </c>
      <c r="CA377">
        <v>0</v>
      </c>
    </row>
    <row r="378" spans="20:79" x14ac:dyDescent="0.25">
      <c r="T378" s="43"/>
      <c r="BN378" s="161" t="s">
        <v>333</v>
      </c>
      <c r="BU378">
        <v>218.09</v>
      </c>
      <c r="BV378">
        <v>-218.09</v>
      </c>
      <c r="CA378">
        <v>0</v>
      </c>
    </row>
    <row r="379" spans="20:79" x14ac:dyDescent="0.25">
      <c r="T379" s="43"/>
      <c r="BN379" s="165" t="s">
        <v>240</v>
      </c>
      <c r="BV379">
        <v>-218.09</v>
      </c>
      <c r="CA379">
        <v>-218.09</v>
      </c>
    </row>
    <row r="380" spans="20:79" x14ac:dyDescent="0.25">
      <c r="T380" s="43"/>
      <c r="BN380" s="165" t="s">
        <v>398</v>
      </c>
      <c r="BU380">
        <v>218.09</v>
      </c>
      <c r="CA380">
        <v>218.09</v>
      </c>
    </row>
    <row r="381" spans="20:79" x14ac:dyDescent="0.25">
      <c r="T381" s="43"/>
      <c r="BN381" s="41" t="s">
        <v>104</v>
      </c>
      <c r="BV381">
        <v>27524.46</v>
      </c>
      <c r="CA381">
        <v>27524.46</v>
      </c>
    </row>
    <row r="382" spans="20:79" x14ac:dyDescent="0.25">
      <c r="T382" s="43"/>
      <c r="BN382" s="161" t="s">
        <v>333</v>
      </c>
      <c r="BV382">
        <v>27524.46</v>
      </c>
      <c r="CA382">
        <v>27524.46</v>
      </c>
    </row>
    <row r="383" spans="20:79" x14ac:dyDescent="0.25">
      <c r="T383" s="43"/>
      <c r="BN383" s="165" t="s">
        <v>435</v>
      </c>
      <c r="BV383">
        <v>27524.46</v>
      </c>
      <c r="CA383">
        <v>27524.46</v>
      </c>
    </row>
    <row r="384" spans="20:79" x14ac:dyDescent="0.25">
      <c r="T384" s="43"/>
      <c r="BN384" s="41" t="s">
        <v>103</v>
      </c>
      <c r="BV384">
        <v>7675.01</v>
      </c>
      <c r="CA384">
        <v>7675.01</v>
      </c>
    </row>
    <row r="385" spans="20:79" x14ac:dyDescent="0.25">
      <c r="T385" s="43"/>
      <c r="BN385" s="161" t="s">
        <v>333</v>
      </c>
      <c r="BV385">
        <v>7675.01</v>
      </c>
      <c r="CA385">
        <v>7675.01</v>
      </c>
    </row>
    <row r="386" spans="20:79" x14ac:dyDescent="0.25">
      <c r="T386" s="43"/>
      <c r="BN386" s="165" t="s">
        <v>435</v>
      </c>
      <c r="BV386">
        <v>7675.01</v>
      </c>
      <c r="CA386">
        <v>7675.01</v>
      </c>
    </row>
    <row r="387" spans="20:79" x14ac:dyDescent="0.25">
      <c r="T387" s="43"/>
      <c r="BN387" s="41" t="s">
        <v>478</v>
      </c>
      <c r="BO387">
        <v>0</v>
      </c>
      <c r="BP387">
        <v>0</v>
      </c>
      <c r="BQ387">
        <v>0</v>
      </c>
      <c r="BR387">
        <v>0</v>
      </c>
      <c r="BS387">
        <v>0</v>
      </c>
      <c r="BT387">
        <v>0</v>
      </c>
      <c r="BU387">
        <v>4323.96</v>
      </c>
      <c r="BV387">
        <v>0</v>
      </c>
      <c r="BW387">
        <v>0</v>
      </c>
      <c r="BX387">
        <v>0</v>
      </c>
      <c r="BY387">
        <v>0</v>
      </c>
      <c r="BZ387">
        <v>0</v>
      </c>
      <c r="CA387">
        <v>4323.96</v>
      </c>
    </row>
    <row r="388" spans="20:79" x14ac:dyDescent="0.25">
      <c r="T388" s="43"/>
      <c r="BN388" s="161" t="s">
        <v>333</v>
      </c>
      <c r="BU388">
        <v>4323.96</v>
      </c>
      <c r="BW388">
        <v>-4323.96</v>
      </c>
      <c r="CA388">
        <v>0</v>
      </c>
    </row>
    <row r="389" spans="20:79" x14ac:dyDescent="0.25">
      <c r="T389" s="43"/>
      <c r="BN389" s="165" t="s">
        <v>147</v>
      </c>
      <c r="BW389">
        <v>-3428</v>
      </c>
      <c r="CA389">
        <v>-3428</v>
      </c>
    </row>
    <row r="390" spans="20:79" x14ac:dyDescent="0.25">
      <c r="T390" s="43"/>
      <c r="BN390" s="165" t="s">
        <v>479</v>
      </c>
      <c r="BU390">
        <v>4323.96</v>
      </c>
      <c r="CA390">
        <v>4323.96</v>
      </c>
    </row>
    <row r="391" spans="20:79" x14ac:dyDescent="0.25">
      <c r="T391" s="43"/>
      <c r="BN391" s="165" t="s">
        <v>487</v>
      </c>
      <c r="BW391">
        <v>-895.96</v>
      </c>
      <c r="CA391">
        <v>-895.96</v>
      </c>
    </row>
    <row r="392" spans="20:79" x14ac:dyDescent="0.25">
      <c r="T392" s="43"/>
      <c r="BN392" s="161" t="s">
        <v>350</v>
      </c>
      <c r="BO392">
        <v>0</v>
      </c>
      <c r="BP392">
        <v>0</v>
      </c>
      <c r="BQ392">
        <v>0</v>
      </c>
      <c r="BR392">
        <v>0</v>
      </c>
      <c r="BS392">
        <v>0</v>
      </c>
      <c r="BT392">
        <v>0</v>
      </c>
      <c r="BU392">
        <v>0</v>
      </c>
      <c r="BV392">
        <v>0</v>
      </c>
      <c r="BW392">
        <v>4323.96</v>
      </c>
      <c r="BX392">
        <v>0</v>
      </c>
      <c r="BY392">
        <v>0</v>
      </c>
      <c r="BZ392">
        <v>0</v>
      </c>
      <c r="CA392">
        <v>4323.96</v>
      </c>
    </row>
    <row r="393" spans="20:79" x14ac:dyDescent="0.25">
      <c r="T393" s="43"/>
      <c r="BN393" s="165" t="s">
        <v>147</v>
      </c>
      <c r="BO393">
        <v>0</v>
      </c>
      <c r="BP393">
        <v>0</v>
      </c>
      <c r="BQ393">
        <v>0</v>
      </c>
      <c r="BR393">
        <v>0</v>
      </c>
      <c r="BS393">
        <v>0</v>
      </c>
      <c r="BT393">
        <v>0</v>
      </c>
      <c r="BU393">
        <v>0</v>
      </c>
      <c r="BV393">
        <v>0</v>
      </c>
      <c r="BW393">
        <v>4323.96</v>
      </c>
      <c r="BX393">
        <v>0</v>
      </c>
      <c r="BY393">
        <v>0</v>
      </c>
      <c r="BZ393">
        <v>0</v>
      </c>
      <c r="CA393">
        <v>4323.96</v>
      </c>
    </row>
    <row r="394" spans="20:79" x14ac:dyDescent="0.25">
      <c r="T394" s="43"/>
      <c r="BN394" s="41" t="s">
        <v>486</v>
      </c>
      <c r="BW394">
        <v>277.83</v>
      </c>
      <c r="CA394">
        <v>277.83</v>
      </c>
    </row>
    <row r="395" spans="20:79" x14ac:dyDescent="0.25">
      <c r="T395" s="43"/>
      <c r="BN395" s="161" t="s">
        <v>333</v>
      </c>
      <c r="BW395">
        <v>277.83</v>
      </c>
      <c r="CA395">
        <v>277.83</v>
      </c>
    </row>
    <row r="396" spans="20:79" x14ac:dyDescent="0.25">
      <c r="T396" s="43"/>
      <c r="BN396" s="165" t="s">
        <v>485</v>
      </c>
      <c r="BW396">
        <v>277.83</v>
      </c>
      <c r="CA396">
        <v>277.83</v>
      </c>
    </row>
    <row r="397" spans="20:79" x14ac:dyDescent="0.25">
      <c r="T397" s="43"/>
      <c r="BN397" s="41" t="s">
        <v>501</v>
      </c>
      <c r="BW397">
        <v>84.69</v>
      </c>
      <c r="CA397">
        <v>84.69</v>
      </c>
    </row>
    <row r="398" spans="20:79" x14ac:dyDescent="0.25">
      <c r="T398" s="43"/>
      <c r="BN398" s="161" t="s">
        <v>333</v>
      </c>
      <c r="BW398">
        <v>84.69</v>
      </c>
      <c r="CA398">
        <v>84.69</v>
      </c>
    </row>
    <row r="399" spans="20:79" x14ac:dyDescent="0.25">
      <c r="T399" s="43"/>
      <c r="BN399" s="165" t="s">
        <v>496</v>
      </c>
      <c r="BW399">
        <v>84.69</v>
      </c>
      <c r="CA399">
        <v>84.69</v>
      </c>
    </row>
    <row r="400" spans="20:79" x14ac:dyDescent="0.25">
      <c r="T400" s="43"/>
      <c r="BN400" s="41" t="s">
        <v>107</v>
      </c>
      <c r="BO400">
        <v>34647.19</v>
      </c>
      <c r="BP400">
        <v>2097.4900000000002</v>
      </c>
      <c r="BQ400">
        <v>3513.25</v>
      </c>
      <c r="BR400">
        <v>9008.7899999999991</v>
      </c>
      <c r="BS400">
        <v>7771.0200000000013</v>
      </c>
      <c r="BT400">
        <v>7222.9300000000021</v>
      </c>
      <c r="BU400">
        <v>20869.819999999996</v>
      </c>
      <c r="BV400">
        <v>85444.659999999989</v>
      </c>
      <c r="BW400">
        <v>22422.839999999993</v>
      </c>
      <c r="BX400">
        <v>2144.4800000000009</v>
      </c>
      <c r="BY400">
        <v>1245.2600000000002</v>
      </c>
      <c r="BZ400">
        <v>3195.26</v>
      </c>
      <c r="CA400">
        <v>199582.98999999993</v>
      </c>
    </row>
    <row r="401" spans="20:20" x14ac:dyDescent="0.25">
      <c r="T401" s="43"/>
    </row>
    <row r="402" spans="20:20" x14ac:dyDescent="0.25">
      <c r="T402" s="43"/>
    </row>
    <row r="403" spans="20:20" x14ac:dyDescent="0.25">
      <c r="T403" s="43"/>
    </row>
    <row r="404" spans="20:20" x14ac:dyDescent="0.25">
      <c r="T404" s="43"/>
    </row>
    <row r="405" spans="20:20" x14ac:dyDescent="0.25">
      <c r="T405" s="43"/>
    </row>
    <row r="406" spans="20:20" x14ac:dyDescent="0.25">
      <c r="T406" s="43"/>
    </row>
    <row r="407" spans="20:20" x14ac:dyDescent="0.25">
      <c r="T407" s="43"/>
    </row>
    <row r="408" spans="20:20" x14ac:dyDescent="0.25">
      <c r="T408" s="43"/>
    </row>
    <row r="409" spans="20:20" x14ac:dyDescent="0.25">
      <c r="T409" s="43"/>
    </row>
    <row r="410" spans="20:20" x14ac:dyDescent="0.25">
      <c r="T410" s="43"/>
    </row>
    <row r="411" spans="20:20" x14ac:dyDescent="0.25">
      <c r="T411" s="43"/>
    </row>
    <row r="412" spans="20:20" x14ac:dyDescent="0.25">
      <c r="T412" s="43"/>
    </row>
    <row r="413" spans="20:20" x14ac:dyDescent="0.25">
      <c r="T413" s="43"/>
    </row>
    <row r="414" spans="20:20" x14ac:dyDescent="0.25">
      <c r="T414" s="43"/>
    </row>
    <row r="415" spans="20:20" x14ac:dyDescent="0.25">
      <c r="T415" s="43"/>
    </row>
    <row r="416" spans="20:20" x14ac:dyDescent="0.25">
      <c r="T416" s="43"/>
    </row>
    <row r="417" spans="20:20" x14ac:dyDescent="0.25">
      <c r="T417" s="43"/>
    </row>
    <row r="418" spans="20:20" x14ac:dyDescent="0.25">
      <c r="T418" s="43"/>
    </row>
    <row r="419" spans="20:20" x14ac:dyDescent="0.25">
      <c r="T419" s="43"/>
    </row>
    <row r="420" spans="20:20" x14ac:dyDescent="0.25">
      <c r="T420" s="43"/>
    </row>
    <row r="421" spans="20:20" x14ac:dyDescent="0.25">
      <c r="T421" s="43"/>
    </row>
    <row r="422" spans="20:20" x14ac:dyDescent="0.25">
      <c r="T422" s="43"/>
    </row>
    <row r="423" spans="20:20" x14ac:dyDescent="0.25">
      <c r="T423" s="43"/>
    </row>
    <row r="424" spans="20:20" x14ac:dyDescent="0.25">
      <c r="T424" s="43"/>
    </row>
    <row r="425" spans="20:20" x14ac:dyDescent="0.25">
      <c r="T425" s="43"/>
    </row>
    <row r="426" spans="20:20" x14ac:dyDescent="0.25">
      <c r="T426" s="43"/>
    </row>
    <row r="427" spans="20:20" x14ac:dyDescent="0.25">
      <c r="T427" s="43"/>
    </row>
    <row r="428" spans="20:20" x14ac:dyDescent="0.25">
      <c r="T428" s="43"/>
    </row>
    <row r="429" spans="20:20" x14ac:dyDescent="0.25">
      <c r="T429" s="43"/>
    </row>
    <row r="430" spans="20:20" x14ac:dyDescent="0.25">
      <c r="T430" s="43"/>
    </row>
    <row r="431" spans="20:20" x14ac:dyDescent="0.25">
      <c r="T431" s="43"/>
    </row>
    <row r="432" spans="20:20" x14ac:dyDescent="0.25">
      <c r="T432" s="43"/>
    </row>
    <row r="433" spans="20:20" x14ac:dyDescent="0.25">
      <c r="T433" s="43"/>
    </row>
    <row r="434" spans="20:20" x14ac:dyDescent="0.25">
      <c r="T434" s="43"/>
    </row>
    <row r="435" spans="20:20" x14ac:dyDescent="0.25">
      <c r="T435" s="43"/>
    </row>
    <row r="436" spans="20:20" x14ac:dyDescent="0.25">
      <c r="T436" s="43"/>
    </row>
    <row r="437" spans="20:20" x14ac:dyDescent="0.25">
      <c r="T437" s="43"/>
    </row>
    <row r="438" spans="20:20" x14ac:dyDescent="0.25">
      <c r="T438" s="43"/>
    </row>
    <row r="439" spans="20:20" x14ac:dyDescent="0.25">
      <c r="T439" s="43"/>
    </row>
    <row r="440" spans="20:20" x14ac:dyDescent="0.25">
      <c r="T440" s="43"/>
    </row>
    <row r="441" spans="20:20" x14ac:dyDescent="0.25">
      <c r="T441" s="43"/>
    </row>
    <row r="442" spans="20:20" x14ac:dyDescent="0.25">
      <c r="T442" s="43"/>
    </row>
    <row r="443" spans="20:20" x14ac:dyDescent="0.25">
      <c r="T443" s="43"/>
    </row>
    <row r="444" spans="20:20" x14ac:dyDescent="0.25">
      <c r="T444" s="43"/>
    </row>
    <row r="445" spans="20:20" x14ac:dyDescent="0.25">
      <c r="T445" s="43"/>
    </row>
    <row r="446" spans="20:20" x14ac:dyDescent="0.25">
      <c r="T446" s="43"/>
    </row>
    <row r="447" spans="20:20" x14ac:dyDescent="0.25">
      <c r="T447" s="43"/>
    </row>
    <row r="448" spans="20:20" x14ac:dyDescent="0.25">
      <c r="T448" s="43"/>
    </row>
    <row r="449" spans="20:20" x14ac:dyDescent="0.25">
      <c r="T449" s="43"/>
    </row>
    <row r="450" spans="20:20" x14ac:dyDescent="0.25">
      <c r="T450" s="43"/>
    </row>
    <row r="451" spans="20:20" x14ac:dyDescent="0.25">
      <c r="T451" s="43"/>
    </row>
    <row r="452" spans="20:20" x14ac:dyDescent="0.25">
      <c r="T452" s="43"/>
    </row>
    <row r="453" spans="20:20" x14ac:dyDescent="0.25">
      <c r="T453" s="43"/>
    </row>
    <row r="454" spans="20:20" x14ac:dyDescent="0.25">
      <c r="T454" s="43"/>
    </row>
    <row r="455" spans="20:20" x14ac:dyDescent="0.25">
      <c r="T455" s="43"/>
    </row>
    <row r="456" spans="20:20" x14ac:dyDescent="0.25">
      <c r="T456" s="43"/>
    </row>
    <row r="457" spans="20:20" x14ac:dyDescent="0.25">
      <c r="T457" s="43"/>
    </row>
    <row r="458" spans="20:20" x14ac:dyDescent="0.25">
      <c r="T458" s="43"/>
    </row>
    <row r="459" spans="20:20" x14ac:dyDescent="0.25">
      <c r="T459" s="43"/>
    </row>
    <row r="460" spans="20:20" x14ac:dyDescent="0.25">
      <c r="T460" s="43"/>
    </row>
    <row r="461" spans="20:20" x14ac:dyDescent="0.25">
      <c r="T461" s="43"/>
    </row>
    <row r="462" spans="20:20" x14ac:dyDescent="0.25">
      <c r="T462" s="43"/>
    </row>
    <row r="463" spans="20:20" x14ac:dyDescent="0.25">
      <c r="T463" s="43"/>
    </row>
    <row r="464" spans="20:20" x14ac:dyDescent="0.25">
      <c r="T464" s="43"/>
    </row>
    <row r="465" spans="20:20" x14ac:dyDescent="0.25">
      <c r="T465" s="43"/>
    </row>
    <row r="466" spans="20:20" x14ac:dyDescent="0.25">
      <c r="T466" s="43"/>
    </row>
    <row r="467" spans="20:20" x14ac:dyDescent="0.25">
      <c r="T467" s="43"/>
    </row>
    <row r="468" spans="20:20" x14ac:dyDescent="0.25">
      <c r="T468" s="43"/>
    </row>
    <row r="469" spans="20:20" x14ac:dyDescent="0.25">
      <c r="T469" s="43"/>
    </row>
    <row r="470" spans="20:20" x14ac:dyDescent="0.25">
      <c r="T470" s="43"/>
    </row>
    <row r="471" spans="20:20" x14ac:dyDescent="0.25">
      <c r="T471" s="43"/>
    </row>
    <row r="472" spans="20:20" x14ac:dyDescent="0.25">
      <c r="T472" s="43"/>
    </row>
    <row r="473" spans="20:20" x14ac:dyDescent="0.25">
      <c r="T473" s="43"/>
    </row>
    <row r="474" spans="20:20" x14ac:dyDescent="0.25">
      <c r="T474" s="43"/>
    </row>
    <row r="475" spans="20:20" x14ac:dyDescent="0.25">
      <c r="T475" s="43"/>
    </row>
    <row r="476" spans="20:20" x14ac:dyDescent="0.25">
      <c r="T476" s="43"/>
    </row>
    <row r="477" spans="20:20" x14ac:dyDescent="0.25">
      <c r="T477" s="43"/>
    </row>
    <row r="478" spans="20:20" x14ac:dyDescent="0.25">
      <c r="T478" s="43"/>
    </row>
    <row r="479" spans="20:20" x14ac:dyDescent="0.25">
      <c r="T479" s="43"/>
    </row>
    <row r="480" spans="20:20" x14ac:dyDescent="0.25">
      <c r="T480" s="43"/>
    </row>
    <row r="481" spans="20:20" x14ac:dyDescent="0.25">
      <c r="T481" s="43"/>
    </row>
    <row r="482" spans="20:20" x14ac:dyDescent="0.25">
      <c r="T482" s="43"/>
    </row>
    <row r="483" spans="20:20" x14ac:dyDescent="0.25">
      <c r="T483" s="43"/>
    </row>
    <row r="484" spans="20:20" x14ac:dyDescent="0.25">
      <c r="T484" s="43"/>
    </row>
    <row r="485" spans="20:20" x14ac:dyDescent="0.25">
      <c r="T485" s="43"/>
    </row>
    <row r="486" spans="20:20" x14ac:dyDescent="0.25">
      <c r="T486" s="43"/>
    </row>
    <row r="487" spans="20:20" x14ac:dyDescent="0.25">
      <c r="T487" s="43"/>
    </row>
    <row r="488" spans="20:20" x14ac:dyDescent="0.25">
      <c r="T488" s="43"/>
    </row>
    <row r="489" spans="20:20" x14ac:dyDescent="0.25">
      <c r="T489" s="43"/>
    </row>
    <row r="490" spans="20:20" x14ac:dyDescent="0.25">
      <c r="T490" s="43"/>
    </row>
    <row r="491" spans="20:20" x14ac:dyDescent="0.25">
      <c r="T491" s="43"/>
    </row>
    <row r="492" spans="20:20" x14ac:dyDescent="0.25">
      <c r="T492" s="43"/>
    </row>
    <row r="493" spans="20:20" x14ac:dyDescent="0.25">
      <c r="T493" s="43"/>
    </row>
    <row r="494" spans="20:20" x14ac:dyDescent="0.25">
      <c r="T494" s="43"/>
    </row>
    <row r="495" spans="20:20" x14ac:dyDescent="0.25">
      <c r="T495" s="43"/>
    </row>
    <row r="496" spans="20:20" x14ac:dyDescent="0.25">
      <c r="T496" s="43"/>
    </row>
    <row r="497" spans="20:59" x14ac:dyDescent="0.25">
      <c r="T497" s="43"/>
    </row>
    <row r="498" spans="20:59" x14ac:dyDescent="0.25">
      <c r="T498" s="43"/>
    </row>
    <row r="499" spans="20:59" x14ac:dyDescent="0.25">
      <c r="T499" s="43"/>
    </row>
    <row r="500" spans="20:59" x14ac:dyDescent="0.25">
      <c r="T500" s="43"/>
    </row>
    <row r="501" spans="20:59" x14ac:dyDescent="0.25">
      <c r="T501" s="43"/>
    </row>
    <row r="502" spans="20:59" x14ac:dyDescent="0.25">
      <c r="T502" s="43"/>
    </row>
    <row r="503" spans="20:59" x14ac:dyDescent="0.25">
      <c r="T503" s="43"/>
    </row>
    <row r="504" spans="20:59" x14ac:dyDescent="0.25">
      <c r="T504" s="43"/>
    </row>
    <row r="505" spans="20:59" x14ac:dyDescent="0.25">
      <c r="T505" s="43"/>
    </row>
    <row r="506" spans="20:59" x14ac:dyDescent="0.25">
      <c r="T506" s="43"/>
    </row>
    <row r="507" spans="20:59" x14ac:dyDescent="0.25">
      <c r="T507" s="43"/>
    </row>
    <row r="508" spans="20:59" x14ac:dyDescent="0.25">
      <c r="T508" s="43"/>
    </row>
    <row r="509" spans="20:59" x14ac:dyDescent="0.25">
      <c r="T509" s="43"/>
    </row>
    <row r="510" spans="20:59" x14ac:dyDescent="0.25">
      <c r="T510" s="43"/>
    </row>
    <row r="511" spans="20:59" x14ac:dyDescent="0.25">
      <c r="T511" s="43"/>
      <c r="BG511" t="s">
        <v>432</v>
      </c>
    </row>
    <row r="512" spans="20:59" x14ac:dyDescent="0.25">
      <c r="T512" s="43"/>
    </row>
    <row r="513" spans="20:20" x14ac:dyDescent="0.25">
      <c r="T513" s="43"/>
    </row>
    <row r="514" spans="20:20" x14ac:dyDescent="0.25">
      <c r="T514" s="43"/>
    </row>
    <row r="515" spans="20:20" x14ac:dyDescent="0.25">
      <c r="T515" s="43"/>
    </row>
    <row r="516" spans="20:20" x14ac:dyDescent="0.25">
      <c r="T516" s="43"/>
    </row>
    <row r="517" spans="20:20" x14ac:dyDescent="0.25">
      <c r="T517" s="43"/>
    </row>
    <row r="518" spans="20:20" x14ac:dyDescent="0.25">
      <c r="T518" s="43"/>
    </row>
    <row r="519" spans="20:20" x14ac:dyDescent="0.25">
      <c r="T519" s="43"/>
    </row>
    <row r="520" spans="20:20" x14ac:dyDescent="0.25">
      <c r="T520" s="43"/>
    </row>
    <row r="521" spans="20:20" x14ac:dyDescent="0.25">
      <c r="T521" s="43"/>
    </row>
    <row r="522" spans="20:20" x14ac:dyDescent="0.25">
      <c r="T522" s="43"/>
    </row>
    <row r="523" spans="20:20" x14ac:dyDescent="0.25">
      <c r="T523" s="43"/>
    </row>
    <row r="524" spans="20:20" x14ac:dyDescent="0.25">
      <c r="T524" s="43"/>
    </row>
    <row r="525" spans="20:20" x14ac:dyDescent="0.25">
      <c r="T525" s="43"/>
    </row>
    <row r="526" spans="20:20" x14ac:dyDescent="0.25">
      <c r="T526" s="43"/>
    </row>
    <row r="527" spans="20:20" x14ac:dyDescent="0.25">
      <c r="T527" s="43"/>
    </row>
    <row r="528" spans="20:20" x14ac:dyDescent="0.25">
      <c r="T528" s="43"/>
    </row>
    <row r="529" spans="20:20" x14ac:dyDescent="0.25">
      <c r="T529" s="43"/>
    </row>
    <row r="530" spans="20:20" x14ac:dyDescent="0.25">
      <c r="T530" s="43"/>
    </row>
    <row r="531" spans="20:20" x14ac:dyDescent="0.25">
      <c r="T531" s="43"/>
    </row>
    <row r="532" spans="20:20" x14ac:dyDescent="0.25">
      <c r="T532" s="43"/>
    </row>
    <row r="533" spans="20:20" x14ac:dyDescent="0.25">
      <c r="T533" s="43"/>
    </row>
    <row r="534" spans="20:20" x14ac:dyDescent="0.25">
      <c r="T534" s="43"/>
    </row>
    <row r="535" spans="20:20" x14ac:dyDescent="0.25">
      <c r="T535" s="43"/>
    </row>
    <row r="536" spans="20:20" x14ac:dyDescent="0.25">
      <c r="T536" s="43"/>
    </row>
    <row r="537" spans="20:20" x14ac:dyDescent="0.25">
      <c r="T537" s="43"/>
    </row>
    <row r="538" spans="20:20" x14ac:dyDescent="0.25">
      <c r="T538" s="43"/>
    </row>
    <row r="539" spans="20:20" x14ac:dyDescent="0.25">
      <c r="T539" s="43"/>
    </row>
    <row r="540" spans="20:20" x14ac:dyDescent="0.25">
      <c r="T540" s="43"/>
    </row>
    <row r="541" spans="20:20" x14ac:dyDescent="0.25">
      <c r="T541" s="43"/>
    </row>
    <row r="542" spans="20:20" x14ac:dyDescent="0.25">
      <c r="T542" s="43"/>
    </row>
    <row r="543" spans="20:20" x14ac:dyDescent="0.25">
      <c r="T543" s="43"/>
    </row>
    <row r="544" spans="20:20" x14ac:dyDescent="0.25">
      <c r="T544" s="43"/>
    </row>
    <row r="545" spans="20:20" x14ac:dyDescent="0.25">
      <c r="T545" s="43"/>
    </row>
    <row r="546" spans="20:20" x14ac:dyDescent="0.25">
      <c r="T546" s="43"/>
    </row>
    <row r="547" spans="20:20" x14ac:dyDescent="0.25">
      <c r="T547" s="43"/>
    </row>
    <row r="548" spans="20:20" x14ac:dyDescent="0.25">
      <c r="T548" s="43"/>
    </row>
    <row r="549" spans="20:20" x14ac:dyDescent="0.25">
      <c r="T549" s="43"/>
    </row>
    <row r="550" spans="20:20" x14ac:dyDescent="0.25">
      <c r="T550" s="43"/>
    </row>
    <row r="551" spans="20:20" x14ac:dyDescent="0.25">
      <c r="T551" s="43"/>
    </row>
    <row r="552" spans="20:20" x14ac:dyDescent="0.25">
      <c r="T552" s="43"/>
    </row>
    <row r="553" spans="20:20" x14ac:dyDescent="0.25">
      <c r="T553" s="43"/>
    </row>
    <row r="554" spans="20:20" x14ac:dyDescent="0.25">
      <c r="T554" s="43"/>
    </row>
    <row r="555" spans="20:20" x14ac:dyDescent="0.25">
      <c r="T555" s="43"/>
    </row>
    <row r="556" spans="20:20" x14ac:dyDescent="0.25">
      <c r="T556" s="43"/>
    </row>
    <row r="557" spans="20:20" x14ac:dyDescent="0.25">
      <c r="T557" s="43"/>
    </row>
    <row r="558" spans="20:20" x14ac:dyDescent="0.25">
      <c r="T558" s="43"/>
    </row>
    <row r="559" spans="20:20" x14ac:dyDescent="0.25">
      <c r="T559" s="43"/>
    </row>
    <row r="560" spans="20:20" x14ac:dyDescent="0.25">
      <c r="T560" s="43"/>
    </row>
    <row r="561" spans="20:20" x14ac:dyDescent="0.25">
      <c r="T561" s="43"/>
    </row>
    <row r="562" spans="20:20" x14ac:dyDescent="0.25">
      <c r="T562" s="43"/>
    </row>
    <row r="563" spans="20:20" x14ac:dyDescent="0.25">
      <c r="T563" s="43"/>
    </row>
    <row r="564" spans="20:20" x14ac:dyDescent="0.25">
      <c r="T564" s="43"/>
    </row>
    <row r="565" spans="20:20" x14ac:dyDescent="0.25">
      <c r="T565" s="43"/>
    </row>
    <row r="566" spans="20:20" x14ac:dyDescent="0.25">
      <c r="T566" s="43"/>
    </row>
    <row r="567" spans="20:20" x14ac:dyDescent="0.25">
      <c r="T567" s="43"/>
    </row>
    <row r="568" spans="20:20" x14ac:dyDescent="0.25">
      <c r="T568" s="43"/>
    </row>
    <row r="569" spans="20:20" x14ac:dyDescent="0.25">
      <c r="T569" s="43"/>
    </row>
    <row r="570" spans="20:20" x14ac:dyDescent="0.25">
      <c r="T570" s="43"/>
    </row>
    <row r="571" spans="20:20" x14ac:dyDescent="0.25">
      <c r="T571" s="43"/>
    </row>
    <row r="572" spans="20:20" x14ac:dyDescent="0.25">
      <c r="T572" s="43"/>
    </row>
    <row r="573" spans="20:20" x14ac:dyDescent="0.25">
      <c r="T573" s="43"/>
    </row>
    <row r="574" spans="20:20" x14ac:dyDescent="0.25">
      <c r="T574" s="43"/>
    </row>
    <row r="575" spans="20:20" x14ac:dyDescent="0.25">
      <c r="T575" s="43"/>
    </row>
    <row r="576" spans="20:20" x14ac:dyDescent="0.25">
      <c r="T576" s="43"/>
    </row>
    <row r="577" spans="20:20" x14ac:dyDescent="0.25">
      <c r="T577" s="43"/>
    </row>
    <row r="578" spans="20:20" x14ac:dyDescent="0.25">
      <c r="T578" s="43"/>
    </row>
    <row r="579" spans="20:20" x14ac:dyDescent="0.25">
      <c r="T579" s="43"/>
    </row>
    <row r="580" spans="20:20" x14ac:dyDescent="0.25">
      <c r="T580" s="43"/>
    </row>
    <row r="581" spans="20:20" x14ac:dyDescent="0.25">
      <c r="T581" s="43"/>
    </row>
    <row r="582" spans="20:20" x14ac:dyDescent="0.25">
      <c r="T582" s="43"/>
    </row>
    <row r="583" spans="20:20" x14ac:dyDescent="0.25">
      <c r="T583" s="43"/>
    </row>
    <row r="584" spans="20:20" x14ac:dyDescent="0.25">
      <c r="T584" s="43"/>
    </row>
    <row r="585" spans="20:20" x14ac:dyDescent="0.25">
      <c r="T585" s="43"/>
    </row>
    <row r="586" spans="20:20" x14ac:dyDescent="0.25">
      <c r="T586" s="43"/>
    </row>
    <row r="587" spans="20:20" x14ac:dyDescent="0.25">
      <c r="T587" s="43"/>
    </row>
    <row r="588" spans="20:20" x14ac:dyDescent="0.25">
      <c r="T588" s="43"/>
    </row>
    <row r="589" spans="20:20" x14ac:dyDescent="0.25">
      <c r="T589" s="43"/>
    </row>
    <row r="590" spans="20:20" x14ac:dyDescent="0.25">
      <c r="T590" s="43"/>
    </row>
    <row r="591" spans="20:20" x14ac:dyDescent="0.25">
      <c r="T591" s="43"/>
    </row>
    <row r="592" spans="20:20" x14ac:dyDescent="0.25">
      <c r="T592" s="43"/>
    </row>
    <row r="593" spans="20:20" x14ac:dyDescent="0.25">
      <c r="T593" s="43"/>
    </row>
    <row r="594" spans="20:20" x14ac:dyDescent="0.25">
      <c r="T594" s="43"/>
    </row>
    <row r="595" spans="20:20" x14ac:dyDescent="0.25">
      <c r="T595" s="43"/>
    </row>
    <row r="596" spans="20:20" x14ac:dyDescent="0.25">
      <c r="T596" s="43"/>
    </row>
    <row r="597" spans="20:20" x14ac:dyDescent="0.25">
      <c r="T597" s="43"/>
    </row>
    <row r="598" spans="20:20" x14ac:dyDescent="0.25">
      <c r="T598" s="43"/>
    </row>
    <row r="599" spans="20:20" x14ac:dyDescent="0.25">
      <c r="T599" s="43"/>
    </row>
    <row r="600" spans="20:20" x14ac:dyDescent="0.25">
      <c r="T600" s="43"/>
    </row>
    <row r="601" spans="20:20" x14ac:dyDescent="0.25">
      <c r="T601" s="43"/>
    </row>
    <row r="602" spans="20:20" x14ac:dyDescent="0.25">
      <c r="T602" s="43"/>
    </row>
    <row r="603" spans="20:20" x14ac:dyDescent="0.25">
      <c r="T603" s="43"/>
    </row>
    <row r="604" spans="20:20" x14ac:dyDescent="0.25">
      <c r="T604" s="43"/>
    </row>
    <row r="605" spans="20:20" x14ac:dyDescent="0.25">
      <c r="T605" s="43"/>
    </row>
    <row r="606" spans="20:20" x14ac:dyDescent="0.25">
      <c r="T606" s="43"/>
    </row>
    <row r="607" spans="20:20" x14ac:dyDescent="0.25">
      <c r="T607" s="43"/>
    </row>
    <row r="608" spans="20:20" x14ac:dyDescent="0.25">
      <c r="T608" s="43"/>
    </row>
    <row r="609" spans="20:20" x14ac:dyDescent="0.25">
      <c r="T609" s="43"/>
    </row>
    <row r="610" spans="20:20" x14ac:dyDescent="0.25">
      <c r="T610" s="43"/>
    </row>
    <row r="611" spans="20:20" x14ac:dyDescent="0.25">
      <c r="T611" s="43"/>
    </row>
    <row r="612" spans="20:20" x14ac:dyDescent="0.25">
      <c r="T612" s="43"/>
    </row>
    <row r="613" spans="20:20" x14ac:dyDescent="0.25">
      <c r="T613" s="43"/>
    </row>
    <row r="614" spans="20:20" x14ac:dyDescent="0.25">
      <c r="T614" s="43"/>
    </row>
    <row r="615" spans="20:20" x14ac:dyDescent="0.25">
      <c r="T615" s="43"/>
    </row>
    <row r="616" spans="20:20" x14ac:dyDescent="0.25">
      <c r="T616" s="43"/>
    </row>
    <row r="617" spans="20:20" x14ac:dyDescent="0.25">
      <c r="T617" s="43"/>
    </row>
    <row r="618" spans="20:20" x14ac:dyDescent="0.25">
      <c r="T618" s="43"/>
    </row>
    <row r="619" spans="20:20" x14ac:dyDescent="0.25">
      <c r="T619" s="43"/>
    </row>
    <row r="620" spans="20:20" x14ac:dyDescent="0.25">
      <c r="T620" s="43"/>
    </row>
    <row r="621" spans="20:20" x14ac:dyDescent="0.25">
      <c r="T621" s="43"/>
    </row>
    <row r="622" spans="20:20" x14ac:dyDescent="0.25">
      <c r="T622" s="43"/>
    </row>
    <row r="623" spans="20:20" x14ac:dyDescent="0.25">
      <c r="T623" s="43"/>
    </row>
    <row r="624" spans="20:20" x14ac:dyDescent="0.25">
      <c r="T624" s="43"/>
    </row>
    <row r="625" spans="20:20" x14ac:dyDescent="0.25">
      <c r="T625" s="43"/>
    </row>
    <row r="626" spans="20:20" x14ac:dyDescent="0.25">
      <c r="T626" s="43"/>
    </row>
    <row r="627" spans="20:20" x14ac:dyDescent="0.25">
      <c r="T627" s="43"/>
    </row>
    <row r="628" spans="20:20" x14ac:dyDescent="0.25">
      <c r="T628" s="43"/>
    </row>
    <row r="629" spans="20:20" x14ac:dyDescent="0.25">
      <c r="T629" s="43"/>
    </row>
    <row r="630" spans="20:20" x14ac:dyDescent="0.25">
      <c r="T630" s="43"/>
    </row>
    <row r="631" spans="20:20" x14ac:dyDescent="0.25">
      <c r="T631" s="43"/>
    </row>
    <row r="632" spans="20:20" x14ac:dyDescent="0.25">
      <c r="T632" s="43"/>
    </row>
    <row r="633" spans="20:20" x14ac:dyDescent="0.25">
      <c r="T633" s="43"/>
    </row>
    <row r="634" spans="20:20" x14ac:dyDescent="0.25">
      <c r="T634" s="43"/>
    </row>
    <row r="635" spans="20:20" x14ac:dyDescent="0.25">
      <c r="T635" s="43"/>
    </row>
    <row r="636" spans="20:20" x14ac:dyDescent="0.25">
      <c r="T636" s="43"/>
    </row>
    <row r="637" spans="20:20" x14ac:dyDescent="0.25">
      <c r="T637" s="43"/>
    </row>
    <row r="638" spans="20:20" x14ac:dyDescent="0.25">
      <c r="T638" s="43"/>
    </row>
    <row r="639" spans="20:20" x14ac:dyDescent="0.25">
      <c r="T639" s="43"/>
    </row>
    <row r="640" spans="20:20" x14ac:dyDescent="0.25">
      <c r="T640" s="43"/>
    </row>
    <row r="641" spans="20:20" x14ac:dyDescent="0.25">
      <c r="T641" s="43"/>
    </row>
    <row r="642" spans="20:20" x14ac:dyDescent="0.25">
      <c r="T642" s="43"/>
    </row>
    <row r="643" spans="20:20" x14ac:dyDescent="0.25">
      <c r="T643" s="43"/>
    </row>
    <row r="644" spans="20:20" x14ac:dyDescent="0.25">
      <c r="T644" s="43"/>
    </row>
    <row r="645" spans="20:20" x14ac:dyDescent="0.25">
      <c r="T645" s="43"/>
    </row>
    <row r="646" spans="20:20" x14ac:dyDescent="0.25">
      <c r="T646" s="43"/>
    </row>
    <row r="647" spans="20:20" x14ac:dyDescent="0.25">
      <c r="T647" s="43"/>
    </row>
    <row r="648" spans="20:20" x14ac:dyDescent="0.25">
      <c r="T648" s="43"/>
    </row>
    <row r="649" spans="20:20" x14ac:dyDescent="0.25">
      <c r="T649" s="43"/>
    </row>
    <row r="650" spans="20:20" x14ac:dyDescent="0.25">
      <c r="T650" s="43"/>
    </row>
    <row r="651" spans="20:20" x14ac:dyDescent="0.25">
      <c r="T651" s="43"/>
    </row>
    <row r="652" spans="20:20" x14ac:dyDescent="0.25">
      <c r="T652" s="43"/>
    </row>
    <row r="653" spans="20:20" x14ac:dyDescent="0.25">
      <c r="T653" s="43"/>
    </row>
    <row r="654" spans="20:20" x14ac:dyDescent="0.25">
      <c r="T654" s="43"/>
    </row>
    <row r="655" spans="20:20" x14ac:dyDescent="0.25">
      <c r="T655" s="43"/>
    </row>
    <row r="656" spans="20:20" x14ac:dyDescent="0.25">
      <c r="T656" s="43"/>
    </row>
    <row r="657" spans="20:20" x14ac:dyDescent="0.25">
      <c r="T657" s="43"/>
    </row>
    <row r="658" spans="20:20" x14ac:dyDescent="0.25">
      <c r="T658" s="43"/>
    </row>
    <row r="659" spans="20:20" x14ac:dyDescent="0.25">
      <c r="T659" s="43"/>
    </row>
    <row r="660" spans="20:20" x14ac:dyDescent="0.25">
      <c r="T660" s="43"/>
    </row>
    <row r="661" spans="20:20" x14ac:dyDescent="0.25">
      <c r="T661" s="43"/>
    </row>
    <row r="662" spans="20:20" x14ac:dyDescent="0.25">
      <c r="T662" s="43"/>
    </row>
    <row r="663" spans="20:20" x14ac:dyDescent="0.25">
      <c r="T663" s="43"/>
    </row>
    <row r="664" spans="20:20" x14ac:dyDescent="0.25">
      <c r="T664" s="43"/>
    </row>
    <row r="665" spans="20:20" x14ac:dyDescent="0.25">
      <c r="T665" s="43"/>
    </row>
    <row r="666" spans="20:20" x14ac:dyDescent="0.25">
      <c r="T666" s="43"/>
    </row>
    <row r="667" spans="20:20" x14ac:dyDescent="0.25">
      <c r="T667" s="43"/>
    </row>
    <row r="668" spans="20:20" x14ac:dyDescent="0.25">
      <c r="T668" s="43"/>
    </row>
    <row r="669" spans="20:20" x14ac:dyDescent="0.25">
      <c r="T669" s="43"/>
    </row>
    <row r="670" spans="20:20" x14ac:dyDescent="0.25">
      <c r="T670" s="43"/>
    </row>
    <row r="671" spans="20:20" x14ac:dyDescent="0.25">
      <c r="T671" s="43"/>
    </row>
    <row r="672" spans="20:20" x14ac:dyDescent="0.25">
      <c r="T672" s="43"/>
    </row>
    <row r="673" spans="20:20" x14ac:dyDescent="0.25">
      <c r="T673" s="43"/>
    </row>
    <row r="674" spans="20:20" x14ac:dyDescent="0.25">
      <c r="T674" s="43"/>
    </row>
    <row r="675" spans="20:20" x14ac:dyDescent="0.25">
      <c r="T675" s="43"/>
    </row>
    <row r="676" spans="20:20" x14ac:dyDescent="0.25">
      <c r="T676" s="43"/>
    </row>
    <row r="677" spans="20:20" x14ac:dyDescent="0.25">
      <c r="T677" s="43"/>
    </row>
    <row r="678" spans="20:20" x14ac:dyDescent="0.25">
      <c r="T678" s="43"/>
    </row>
    <row r="679" spans="20:20" x14ac:dyDescent="0.25">
      <c r="T679" s="43"/>
    </row>
    <row r="680" spans="20:20" x14ac:dyDescent="0.25">
      <c r="T680" s="43"/>
    </row>
    <row r="681" spans="20:20" x14ac:dyDescent="0.25">
      <c r="T681" s="43"/>
    </row>
    <row r="682" spans="20:20" x14ac:dyDescent="0.25">
      <c r="T682" s="43"/>
    </row>
    <row r="683" spans="20:20" x14ac:dyDescent="0.25">
      <c r="T683" s="43"/>
    </row>
    <row r="684" spans="20:20" x14ac:dyDescent="0.25">
      <c r="T684" s="43"/>
    </row>
    <row r="685" spans="20:20" x14ac:dyDescent="0.25">
      <c r="T685" s="43"/>
    </row>
    <row r="686" spans="20:20" x14ac:dyDescent="0.25">
      <c r="T686" s="43"/>
    </row>
    <row r="687" spans="20:20" x14ac:dyDescent="0.25">
      <c r="T687" s="43"/>
    </row>
    <row r="688" spans="20:20" x14ac:dyDescent="0.25">
      <c r="T688" s="43"/>
    </row>
    <row r="689" spans="20:20" x14ac:dyDescent="0.25">
      <c r="T689" s="43"/>
    </row>
    <row r="690" spans="20:20" x14ac:dyDescent="0.25">
      <c r="T690" s="43"/>
    </row>
    <row r="691" spans="20:20" x14ac:dyDescent="0.25">
      <c r="T691" s="43"/>
    </row>
    <row r="692" spans="20:20" x14ac:dyDescent="0.25">
      <c r="T692" s="43"/>
    </row>
    <row r="693" spans="20:20" x14ac:dyDescent="0.25">
      <c r="T693" s="43"/>
    </row>
    <row r="694" spans="20:20" x14ac:dyDescent="0.25">
      <c r="T694" s="43"/>
    </row>
    <row r="695" spans="20:20" x14ac:dyDescent="0.25">
      <c r="T695" s="43"/>
    </row>
    <row r="696" spans="20:20" x14ac:dyDescent="0.25">
      <c r="T696" s="43"/>
    </row>
    <row r="697" spans="20:20" x14ac:dyDescent="0.25">
      <c r="T697" s="43"/>
    </row>
    <row r="698" spans="20:20" x14ac:dyDescent="0.25">
      <c r="T698" s="43"/>
    </row>
    <row r="699" spans="20:20" x14ac:dyDescent="0.25">
      <c r="T699" s="43"/>
    </row>
    <row r="700" spans="20:20" x14ac:dyDescent="0.25">
      <c r="T700" s="43"/>
    </row>
    <row r="701" spans="20:20" x14ac:dyDescent="0.25">
      <c r="T701" s="43"/>
    </row>
    <row r="702" spans="20:20" x14ac:dyDescent="0.25">
      <c r="T702" s="43"/>
    </row>
    <row r="703" spans="20:20" x14ac:dyDescent="0.25">
      <c r="T703" s="43"/>
    </row>
    <row r="704" spans="20:20" x14ac:dyDescent="0.25">
      <c r="T704" s="43"/>
    </row>
    <row r="705" spans="20:20" x14ac:dyDescent="0.25">
      <c r="T705" s="43"/>
    </row>
    <row r="706" spans="20:20" x14ac:dyDescent="0.25">
      <c r="T706" s="43"/>
    </row>
    <row r="707" spans="20:20" x14ac:dyDescent="0.25">
      <c r="T707" s="43"/>
    </row>
    <row r="708" spans="20:20" x14ac:dyDescent="0.25">
      <c r="T708" s="43"/>
    </row>
    <row r="709" spans="20:20" x14ac:dyDescent="0.25">
      <c r="T709" s="43"/>
    </row>
    <row r="710" spans="20:20" x14ac:dyDescent="0.25">
      <c r="T710" s="43"/>
    </row>
    <row r="711" spans="20:20" x14ac:dyDescent="0.25">
      <c r="T711" s="43"/>
    </row>
    <row r="712" spans="20:20" x14ac:dyDescent="0.25">
      <c r="T712" s="43"/>
    </row>
    <row r="713" spans="20:20" x14ac:dyDescent="0.25">
      <c r="T713" s="43"/>
    </row>
    <row r="714" spans="20:20" x14ac:dyDescent="0.25">
      <c r="T714" s="43"/>
    </row>
    <row r="715" spans="20:20" x14ac:dyDescent="0.25">
      <c r="T715" s="43"/>
    </row>
    <row r="716" spans="20:20" x14ac:dyDescent="0.25">
      <c r="T716" s="43"/>
    </row>
    <row r="717" spans="20:20" x14ac:dyDescent="0.25">
      <c r="T717" s="43"/>
    </row>
    <row r="718" spans="20:20" x14ac:dyDescent="0.25">
      <c r="T718" s="43"/>
    </row>
    <row r="719" spans="20:20" x14ac:dyDescent="0.25">
      <c r="T719" s="43"/>
    </row>
    <row r="720" spans="20:20" x14ac:dyDescent="0.25">
      <c r="T720" s="43"/>
    </row>
    <row r="721" spans="20:20" x14ac:dyDescent="0.25">
      <c r="T721" s="43"/>
    </row>
    <row r="722" spans="20:20" x14ac:dyDescent="0.25">
      <c r="T722" s="43"/>
    </row>
    <row r="723" spans="20:20" x14ac:dyDescent="0.25">
      <c r="T723" s="43"/>
    </row>
    <row r="724" spans="20:20" x14ac:dyDescent="0.25">
      <c r="T724" s="43"/>
    </row>
    <row r="725" spans="20:20" x14ac:dyDescent="0.25">
      <c r="T725" s="43"/>
    </row>
    <row r="726" spans="20:20" x14ac:dyDescent="0.25">
      <c r="T726" s="43"/>
    </row>
    <row r="727" spans="20:20" x14ac:dyDescent="0.25">
      <c r="T727" s="43"/>
    </row>
    <row r="728" spans="20:20" x14ac:dyDescent="0.25">
      <c r="T728" s="43"/>
    </row>
    <row r="729" spans="20:20" x14ac:dyDescent="0.25">
      <c r="T729" s="43"/>
    </row>
    <row r="730" spans="20:20" x14ac:dyDescent="0.25">
      <c r="T730" s="43"/>
    </row>
    <row r="731" spans="20:20" x14ac:dyDescent="0.25">
      <c r="T731" s="43"/>
    </row>
    <row r="732" spans="20:20" x14ac:dyDescent="0.25">
      <c r="T732" s="43"/>
    </row>
    <row r="733" spans="20:20" x14ac:dyDescent="0.25">
      <c r="T733" s="43"/>
    </row>
    <row r="734" spans="20:20" x14ac:dyDescent="0.25">
      <c r="T734" s="43"/>
    </row>
    <row r="735" spans="20:20" x14ac:dyDescent="0.25">
      <c r="T735" s="43"/>
    </row>
    <row r="736" spans="20:20" x14ac:dyDescent="0.25">
      <c r="T736" s="43"/>
    </row>
    <row r="737" spans="20:20" x14ac:dyDescent="0.25">
      <c r="T737" s="43"/>
    </row>
    <row r="738" spans="20:20" x14ac:dyDescent="0.25">
      <c r="T738" s="43"/>
    </row>
    <row r="739" spans="20:20" x14ac:dyDescent="0.25">
      <c r="T739" s="43"/>
    </row>
    <row r="740" spans="20:20" x14ac:dyDescent="0.25">
      <c r="T740" s="43"/>
    </row>
    <row r="741" spans="20:20" x14ac:dyDescent="0.25">
      <c r="T741" s="43"/>
    </row>
    <row r="742" spans="20:20" x14ac:dyDescent="0.25">
      <c r="T742" s="43"/>
    </row>
    <row r="743" spans="20:20" x14ac:dyDescent="0.25">
      <c r="T743" s="43"/>
    </row>
    <row r="744" spans="20:20" x14ac:dyDescent="0.25">
      <c r="T744" s="43"/>
    </row>
    <row r="745" spans="20:20" x14ac:dyDescent="0.25">
      <c r="T745" s="43"/>
    </row>
    <row r="746" spans="20:20" x14ac:dyDescent="0.25">
      <c r="T746" s="43"/>
    </row>
    <row r="747" spans="20:20" x14ac:dyDescent="0.25">
      <c r="T747" s="43"/>
    </row>
    <row r="748" spans="20:20" x14ac:dyDescent="0.25">
      <c r="T748" s="43"/>
    </row>
    <row r="749" spans="20:20" x14ac:dyDescent="0.25">
      <c r="T749" s="43"/>
    </row>
    <row r="750" spans="20:20" x14ac:dyDescent="0.25">
      <c r="T750" s="43"/>
    </row>
    <row r="751" spans="20:20" x14ac:dyDescent="0.25">
      <c r="T751" s="43"/>
    </row>
    <row r="752" spans="20:20" x14ac:dyDescent="0.25">
      <c r="T752" s="43"/>
    </row>
    <row r="753" spans="20:20" x14ac:dyDescent="0.25">
      <c r="T753" s="43"/>
    </row>
    <row r="754" spans="20:20" x14ac:dyDescent="0.25">
      <c r="T754" s="43"/>
    </row>
    <row r="755" spans="20:20" x14ac:dyDescent="0.25">
      <c r="T755" s="43"/>
    </row>
    <row r="756" spans="20:20" x14ac:dyDescent="0.25">
      <c r="T756" s="43"/>
    </row>
    <row r="757" spans="20:20" x14ac:dyDescent="0.25">
      <c r="T757" s="43"/>
    </row>
    <row r="758" spans="20:20" x14ac:dyDescent="0.25">
      <c r="T758" s="43"/>
    </row>
    <row r="759" spans="20:20" x14ac:dyDescent="0.25">
      <c r="T759" s="43"/>
    </row>
    <row r="760" spans="20:20" x14ac:dyDescent="0.25">
      <c r="T760" s="43"/>
    </row>
    <row r="761" spans="20:20" x14ac:dyDescent="0.25">
      <c r="T761" s="43"/>
    </row>
    <row r="762" spans="20:20" x14ac:dyDescent="0.25">
      <c r="T762" s="43"/>
    </row>
    <row r="763" spans="20:20" x14ac:dyDescent="0.25">
      <c r="T763" s="43"/>
    </row>
    <row r="764" spans="20:20" x14ac:dyDescent="0.25">
      <c r="T764" s="43"/>
    </row>
    <row r="765" spans="20:20" x14ac:dyDescent="0.25">
      <c r="T765" s="43"/>
    </row>
    <row r="766" spans="20:20" x14ac:dyDescent="0.25">
      <c r="T766" s="43"/>
    </row>
    <row r="767" spans="20:20" x14ac:dyDescent="0.25">
      <c r="T767" s="43"/>
    </row>
    <row r="768" spans="20:20" x14ac:dyDescent="0.25">
      <c r="T768" s="43"/>
    </row>
  </sheetData>
  <phoneticPr fontId="32" type="noConversion"/>
  <dataValidations disablePrompts="1" count="2">
    <dataValidation type="list" allowBlank="1" showInputMessage="1" showErrorMessage="1" sqref="M7 M39" xr:uid="{2461CF34-43EE-4B5E-9BD8-7FDA32CB99C6}">
      <formula1>INDIRECT("AggAcctDash[AggAcctName]")</formula1>
    </dataValidation>
    <dataValidation type="list" allowBlank="1" showInputMessage="1" showErrorMessage="1" sqref="I10:I15" xr:uid="{B521429D-9DCB-43F5-B1E6-96354AF31115}">
      <formula1>ListAccountTypes</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Refresh_Summary">
                <anchor moveWithCells="1" sizeWithCells="1">
                  <from>
                    <xdr:col>1</xdr:col>
                    <xdr:colOff>66675</xdr:colOff>
                    <xdr:row>1</xdr:row>
                    <xdr:rowOff>95250</xdr:rowOff>
                  </from>
                  <to>
                    <xdr:col>1</xdr:col>
                    <xdr:colOff>904875</xdr:colOff>
                    <xdr:row>4</xdr:row>
                    <xdr:rowOff>0</xdr:rowOff>
                  </to>
                </anchor>
              </controlPr>
            </control>
          </mc:Choice>
        </mc:AlternateContent>
        <mc:AlternateContent xmlns:mc="http://schemas.openxmlformats.org/markup-compatibility/2006">
          <mc:Choice Requires="x14">
            <control shapeId="3074" r:id="rId6" name="Button 2">
              <controlPr defaultSize="0" print="0" autoFill="0" autoPict="0" macro="[0]!Refresh_PivotTables">
                <anchor moveWithCells="1" sizeWithCells="1">
                  <from>
                    <xdr:col>1</xdr:col>
                    <xdr:colOff>85725</xdr:colOff>
                    <xdr:row>4</xdr:row>
                    <xdr:rowOff>180975</xdr:rowOff>
                  </from>
                  <to>
                    <xdr:col>1</xdr:col>
                    <xdr:colOff>923925</xdr:colOff>
                    <xdr:row>7</xdr:row>
                    <xdr:rowOff>85725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5F20-B739-4417-99FF-F1B2619EFF02}">
  <sheetPr codeName="Sheet13">
    <tabColor theme="9" tint="0.39997558519241921"/>
  </sheetPr>
  <dimension ref="B1:FR104"/>
  <sheetViews>
    <sheetView workbookViewId="0"/>
  </sheetViews>
  <sheetFormatPr defaultColWidth="12.7109375" defaultRowHeight="15" outlineLevelCol="1" x14ac:dyDescent="0.25"/>
  <cols>
    <col min="1" max="1" width="1.85546875" customWidth="1"/>
    <col min="2" max="2" width="33.140625" customWidth="1"/>
    <col min="3" max="3" width="16.28515625" customWidth="1"/>
    <col min="4" max="4" width="8.7109375" customWidth="1"/>
    <col min="5" max="7" width="12.7109375" hidden="1" customWidth="1" outlineLevel="1"/>
    <col min="8" max="8" width="30.7109375" customWidth="1" collapsed="1"/>
    <col min="9" max="9" width="30.7109375" customWidth="1"/>
    <col min="10" max="10" width="30.7109375" hidden="1" customWidth="1" outlineLevel="1"/>
    <col min="11" max="11" width="12.7109375" customWidth="1" collapsed="1"/>
    <col min="12" max="12" width="13.7109375" customWidth="1"/>
    <col min="13" max="14" width="13.7109375" style="1" customWidth="1"/>
    <col min="15" max="15" width="11" style="1" bestFit="1" customWidth="1"/>
    <col min="16" max="16" width="10.5703125" style="1" bestFit="1" customWidth="1"/>
    <col min="17" max="17" width="11.42578125" style="1" bestFit="1" customWidth="1"/>
    <col min="18" max="18" width="17.28515625" style="1" bestFit="1" customWidth="1"/>
    <col min="19" max="19" width="14.28515625" style="1" bestFit="1" customWidth="1"/>
    <col min="20" max="20" width="11.7109375" style="1" bestFit="1" customWidth="1"/>
    <col min="21" max="21" width="11.140625" style="1" bestFit="1" customWidth="1"/>
    <col min="22" max="23" width="13.7109375" style="1" customWidth="1"/>
    <col min="24" max="24" width="15" style="1" customWidth="1"/>
    <col min="25" max="25" width="14" style="1" customWidth="1"/>
    <col min="26" max="26" width="16.2851562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341</v>
      </c>
      <c r="C2" s="72"/>
    </row>
    <row r="3" spans="2:174" s="71" customFormat="1" x14ac:dyDescent="0.25">
      <c r="C3" s="72"/>
    </row>
    <row r="4" spans="2:174" ht="15.75" x14ac:dyDescent="0.25">
      <c r="X4" s="61"/>
      <c r="Y4"/>
      <c r="Z4" s="70"/>
      <c r="AA4" s="69"/>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15.75" x14ac:dyDescent="0.25">
      <c r="H5" s="366"/>
      <c r="I5" s="366"/>
      <c r="J5" s="366"/>
      <c r="K5" s="366"/>
      <c r="L5" s="366"/>
      <c r="M5" s="366"/>
      <c r="N5" s="366"/>
      <c r="O5" s="366"/>
      <c r="P5" s="366"/>
      <c r="Q5" s="366"/>
      <c r="R5" s="366"/>
      <c r="S5" s="366"/>
      <c r="T5" s="366"/>
      <c r="V5" s="15"/>
      <c r="W5" s="15"/>
      <c r="X5" s="67"/>
      <c r="Y5" s="18"/>
      <c r="Z5" s="18"/>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5.75" x14ac:dyDescent="0.25">
      <c r="H6" s="63"/>
      <c r="I6" s="63"/>
      <c r="J6" s="63"/>
      <c r="K6" s="63"/>
      <c r="L6" s="169"/>
      <c r="M6" s="63"/>
      <c r="N6" s="63"/>
      <c r="O6" s="63"/>
      <c r="P6" s="63"/>
      <c r="Q6" s="63"/>
      <c r="R6" s="63"/>
      <c r="S6" s="63"/>
      <c r="T6" s="63"/>
      <c r="V6" s="15"/>
      <c r="W6" s="15"/>
      <c r="X6" s="67"/>
      <c r="Y6" s="18"/>
      <c r="Z6" s="18"/>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5.75" x14ac:dyDescent="0.25">
      <c r="C7" s="18" t="s">
        <v>255</v>
      </c>
      <c r="D7" s="18" t="s">
        <v>165</v>
      </c>
      <c r="E7" s="18" t="s">
        <v>164</v>
      </c>
      <c r="F7" s="18" t="s">
        <v>163</v>
      </c>
      <c r="G7" s="18" t="s">
        <v>162</v>
      </c>
      <c r="H7" s="18" t="s">
        <v>19</v>
      </c>
      <c r="I7" s="18" t="s">
        <v>174</v>
      </c>
      <c r="J7" s="18" t="s">
        <v>184</v>
      </c>
      <c r="K7" s="18" t="s">
        <v>161</v>
      </c>
      <c r="L7" s="62" t="s">
        <v>108</v>
      </c>
      <c r="M7" s="62" t="s">
        <v>109</v>
      </c>
      <c r="N7" s="62" t="s">
        <v>110</v>
      </c>
      <c r="O7" s="62" t="s">
        <v>111</v>
      </c>
      <c r="P7" s="62" t="s">
        <v>112</v>
      </c>
      <c r="Q7" s="62" t="s">
        <v>124</v>
      </c>
      <c r="R7" s="62" t="s">
        <v>160</v>
      </c>
      <c r="S7" s="62" t="s">
        <v>159</v>
      </c>
      <c r="T7" s="62" t="s">
        <v>158</v>
      </c>
      <c r="U7" s="62" t="s">
        <v>157</v>
      </c>
      <c r="V7" s="62" t="s">
        <v>156</v>
      </c>
      <c r="W7" s="62" t="s">
        <v>113</v>
      </c>
      <c r="X7" s="62" t="s">
        <v>18</v>
      </c>
      <c r="Y7" s="18"/>
      <c r="Z7" s="18"/>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15.75" x14ac:dyDescent="0.25">
      <c r="C8" s="55" t="s">
        <v>613</v>
      </c>
      <c r="D8" s="11">
        <v>2026</v>
      </c>
      <c r="E8" s="11">
        <f>_xlfn.XLOOKUP(Lia_Plan[[#This Row],[Item]],item_ref[Item],item_ref[Trans_Type],"missing info",0)</f>
        <v>0</v>
      </c>
      <c r="F8" s="11">
        <f>_xlfn.XLOOKUP(Lia_Plan[[#This Row],[Item]],item_ref[Item],item_ref[Fix/Flex],"missing info",0)</f>
        <v>0</v>
      </c>
      <c r="G8" s="11">
        <f>_xlfn.XLOOKUP(Lia_Plan[[#This Row],[Item]],item_ref[Item],item_ref[PRIO],"missing info",0)</f>
        <v>0</v>
      </c>
      <c r="H8" s="11" t="str">
        <f>_xlfn.XLOOKUP(Lia_Plan[[#This Row],[Item]],item_ref[Item],item_ref[Account],"missing info",0)</f>
        <v>Loans - OSAP</v>
      </c>
      <c r="I8" t="s">
        <v>343</v>
      </c>
      <c r="L8" s="40"/>
      <c r="M8" s="40"/>
      <c r="N8" s="40"/>
      <c r="O8" s="40"/>
      <c r="P8" s="40"/>
      <c r="Q8" s="40"/>
      <c r="R8" s="40"/>
      <c r="S8" s="40"/>
      <c r="T8" s="40">
        <v>4949</v>
      </c>
      <c r="U8" s="40"/>
      <c r="V8" s="40"/>
      <c r="W8" s="40"/>
      <c r="X8" s="40">
        <f>SUM(Lia_Plan[[#This Row],[Jan]:[Dec]])</f>
        <v>4949</v>
      </c>
      <c r="Y8" s="18"/>
      <c r="Z8" s="18"/>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15.75" x14ac:dyDescent="0.25">
      <c r="K9" s="65"/>
      <c r="L9" s="65"/>
      <c r="M9" s="65"/>
      <c r="N9" s="65"/>
      <c r="O9" s="65"/>
      <c r="P9" s="65"/>
      <c r="Q9" s="65"/>
      <c r="R9" s="65"/>
      <c r="S9" s="65"/>
      <c r="T9" s="65"/>
      <c r="U9" s="65"/>
      <c r="V9" s="65"/>
      <c r="W9" s="62"/>
      <c r="X9" s="64"/>
      <c r="Y9" s="18"/>
      <c r="Z9" s="18"/>
      <c r="AA9" s="62"/>
      <c r="AB9" s="62"/>
      <c r="AC9" s="62"/>
      <c r="AD9" s="62"/>
      <c r="AE9" s="62"/>
      <c r="AF9" s="62"/>
      <c r="AG9" s="62"/>
      <c r="AH9" s="63"/>
      <c r="AJ9" s="62"/>
      <c r="AK9" s="62"/>
      <c r="AL9" s="62"/>
      <c r="AM9" s="62"/>
      <c r="AN9" s="62"/>
      <c r="AO9" s="62"/>
      <c r="AP9" s="62"/>
      <c r="AQ9" s="62"/>
      <c r="AR9" s="62"/>
      <c r="AS9" s="62"/>
      <c r="AT9" s="62"/>
      <c r="AU9" s="62"/>
      <c r="AV9" s="63"/>
      <c r="AX9" s="62"/>
      <c r="AY9" s="62"/>
      <c r="AZ9" s="62"/>
      <c r="BA9" s="62"/>
      <c r="BB9" s="62"/>
      <c r="BC9" s="62"/>
      <c r="BD9" s="62"/>
      <c r="BE9" s="62"/>
      <c r="BF9" s="62"/>
      <c r="BG9" s="62"/>
      <c r="BH9" s="62"/>
      <c r="BI9" s="62"/>
      <c r="BJ9" s="63"/>
      <c r="BL9" s="62"/>
      <c r="BM9" s="62"/>
      <c r="BN9" s="62"/>
      <c r="BO9" s="62"/>
      <c r="BP9" s="62"/>
      <c r="BQ9" s="62"/>
      <c r="BR9" s="62"/>
      <c r="BS9" s="62"/>
      <c r="BT9" s="62"/>
      <c r="BU9" s="62"/>
      <c r="BV9" s="62"/>
      <c r="BW9" s="62"/>
      <c r="BX9" s="63"/>
      <c r="BZ9" s="62"/>
      <c r="CA9" s="62"/>
      <c r="CB9" s="62"/>
      <c r="CC9" s="62"/>
      <c r="CD9" s="62"/>
      <c r="CE9" s="62"/>
      <c r="CF9" s="62"/>
      <c r="CG9" s="62"/>
      <c r="CH9" s="62"/>
      <c r="CI9" s="62"/>
      <c r="CJ9" s="62"/>
      <c r="CK9" s="62"/>
      <c r="CL9" s="63"/>
      <c r="CN9" s="62"/>
      <c r="CO9" s="62"/>
      <c r="CP9" s="62"/>
      <c r="CQ9" s="62"/>
      <c r="CR9" s="62"/>
      <c r="CS9" s="62"/>
      <c r="CT9" s="62"/>
      <c r="CU9" s="62"/>
      <c r="CV9" s="62"/>
      <c r="CW9" s="62"/>
      <c r="CX9" s="62"/>
      <c r="CY9" s="62"/>
      <c r="CZ9" s="63"/>
      <c r="DB9" s="62"/>
      <c r="DC9" s="62"/>
      <c r="DD9" s="62"/>
      <c r="DE9" s="62"/>
      <c r="DF9" s="62"/>
      <c r="DG9" s="62"/>
      <c r="DH9" s="62"/>
      <c r="DI9" s="62"/>
      <c r="DJ9" s="62"/>
      <c r="DK9" s="62"/>
      <c r="DL9" s="62"/>
      <c r="DM9" s="62"/>
      <c r="DN9" s="63"/>
      <c r="DP9" s="62"/>
      <c r="DQ9" s="62"/>
      <c r="DR9" s="62"/>
      <c r="DS9" s="62"/>
      <c r="DT9" s="62"/>
      <c r="DU9" s="62"/>
      <c r="DV9" s="62"/>
      <c r="DW9" s="62"/>
      <c r="DX9" s="62"/>
      <c r="DY9" s="62"/>
      <c r="DZ9" s="62"/>
      <c r="EA9" s="62"/>
      <c r="EB9" s="63"/>
      <c r="ED9" s="62"/>
      <c r="EE9" s="62"/>
      <c r="EF9" s="62"/>
      <c r="EG9" s="62"/>
      <c r="EH9" s="62"/>
      <c r="EI9" s="62"/>
      <c r="EJ9" s="62"/>
      <c r="EK9" s="62"/>
      <c r="EL9" s="62"/>
      <c r="EM9" s="62"/>
      <c r="EN9" s="62"/>
      <c r="EO9" s="62"/>
      <c r="EP9" s="63"/>
      <c r="ER9" s="62"/>
      <c r="ES9" s="62"/>
      <c r="ET9" s="62"/>
      <c r="EU9" s="62"/>
      <c r="EV9" s="62"/>
      <c r="EW9" s="62"/>
      <c r="EX9" s="62"/>
      <c r="EY9" s="62"/>
      <c r="EZ9" s="62"/>
      <c r="FA9" s="62"/>
      <c r="FB9" s="62"/>
      <c r="FC9" s="62"/>
      <c r="FD9" s="63"/>
      <c r="FF9" s="62"/>
      <c r="FG9" s="62"/>
      <c r="FH9" s="62"/>
      <c r="FI9" s="62"/>
      <c r="FJ9" s="62"/>
      <c r="FK9" s="62"/>
      <c r="FL9" s="62"/>
      <c r="FM9" s="62"/>
      <c r="FN9" s="62"/>
      <c r="FO9" s="62"/>
      <c r="FP9" s="62"/>
      <c r="FQ9" s="62"/>
      <c r="FR9" s="63"/>
    </row>
    <row r="10" spans="2:174" x14ac:dyDescent="0.25">
      <c r="V10"/>
      <c r="W10"/>
      <c r="Z10" s="1"/>
      <c r="AA10" s="1"/>
      <c r="AB10" s="1"/>
      <c r="AC10" s="1"/>
      <c r="AD10" s="1"/>
      <c r="AE10" s="1"/>
      <c r="AF10" s="1"/>
      <c r="AG10" s="1"/>
      <c r="AH10" s="1"/>
      <c r="AI10" s="1"/>
      <c r="AJ10" s="56"/>
      <c r="AM10" s="1"/>
      <c r="AN10" s="1"/>
      <c r="AO10" s="1"/>
      <c r="AP10" s="1"/>
      <c r="AQ10" s="1"/>
      <c r="AR10" s="1"/>
      <c r="AS10" s="1"/>
      <c r="AT10" s="1"/>
      <c r="AU10" s="1"/>
      <c r="AV10" s="1"/>
      <c r="AW10" s="1"/>
      <c r="AX10" s="56"/>
      <c r="AZ10" s="1"/>
      <c r="BA10" s="1"/>
      <c r="BB10" s="1"/>
      <c r="BC10" s="1"/>
      <c r="BD10" s="1"/>
      <c r="BE10" s="1"/>
      <c r="BF10" s="1"/>
      <c r="BG10" s="1"/>
      <c r="BH10" s="1"/>
      <c r="BI10" s="1"/>
      <c r="BJ10" s="1"/>
      <c r="BK10" s="1"/>
      <c r="BL10" s="56"/>
      <c r="BN10" s="1"/>
      <c r="BO10" s="1"/>
      <c r="BP10" s="1"/>
      <c r="BQ10" s="1"/>
      <c r="BR10" s="1"/>
      <c r="BS10" s="1"/>
      <c r="BT10" s="1"/>
      <c r="BU10" s="1"/>
      <c r="BV10" s="1"/>
      <c r="BW10" s="1"/>
      <c r="BX10" s="1"/>
      <c r="BY10" s="1"/>
      <c r="BZ10" s="56"/>
    </row>
    <row r="11" spans="2:174" ht="15.75" x14ac:dyDescent="0.25">
      <c r="Y11" s="61"/>
      <c r="Z11" s="61"/>
      <c r="AA11" s="15"/>
      <c r="AB11" s="15"/>
      <c r="AC11" s="15"/>
      <c r="AD11" s="15"/>
      <c r="AE11" s="15"/>
      <c r="AF11" s="15"/>
      <c r="AG11" s="15"/>
      <c r="AH11" s="15"/>
      <c r="AI11" s="15"/>
      <c r="AJ11" s="15"/>
      <c r="AK11" s="15"/>
      <c r="AL11" s="15"/>
      <c r="AM11" s="60"/>
      <c r="AN11" s="56"/>
      <c r="AP11" s="1"/>
      <c r="AQ11" s="1"/>
      <c r="AR11" s="1"/>
      <c r="AS11" s="1"/>
      <c r="AT11" s="1"/>
      <c r="AU11" s="1"/>
      <c r="AV11" s="1"/>
      <c r="AW11" s="1"/>
      <c r="AX11" s="1"/>
      <c r="AY11" s="1"/>
      <c r="AZ11" s="1"/>
      <c r="BA11" s="1"/>
      <c r="BB11" s="56"/>
      <c r="BD11" s="1"/>
      <c r="BE11" s="1"/>
      <c r="BF11" s="1"/>
      <c r="BG11" s="1"/>
      <c r="BH11" s="1"/>
      <c r="BI11" s="1"/>
      <c r="BJ11" s="1"/>
      <c r="BK11" s="1"/>
      <c r="BL11" s="1"/>
      <c r="BM11" s="1"/>
      <c r="BN11" s="1"/>
      <c r="BO11" s="1"/>
      <c r="BP11" s="56"/>
      <c r="BR11" s="1"/>
      <c r="BS11" s="1"/>
      <c r="BT11" s="1"/>
      <c r="BU11" s="1"/>
      <c r="BV11" s="1"/>
      <c r="BW11" s="1"/>
      <c r="BX11" s="1"/>
      <c r="BY11" s="1"/>
      <c r="BZ11" s="1"/>
      <c r="CA11" s="1"/>
      <c r="CB11" s="1"/>
      <c r="CC11" s="1"/>
      <c r="CD11" s="56"/>
    </row>
    <row r="12" spans="2:174" x14ac:dyDescent="0.25">
      <c r="Y12" s="54"/>
      <c r="Z12" s="54"/>
      <c r="AA12" s="1"/>
      <c r="AU12" s="1"/>
      <c r="AV12" s="1"/>
      <c r="AW12" s="1"/>
      <c r="AX12" s="1"/>
      <c r="AY12" s="1"/>
      <c r="AZ12" s="1"/>
      <c r="BA12" s="1"/>
      <c r="BB12" s="56"/>
      <c r="BD12" s="1"/>
      <c r="BE12" s="1"/>
      <c r="BF12" s="1"/>
      <c r="BG12" s="1"/>
      <c r="BH12" s="1"/>
      <c r="BI12" s="1"/>
      <c r="BJ12" s="1"/>
      <c r="BK12" s="1"/>
      <c r="BL12" s="1"/>
      <c r="BM12" s="1"/>
      <c r="BN12" s="1"/>
      <c r="BO12" s="1"/>
      <c r="BP12" s="56"/>
      <c r="BR12" s="1"/>
      <c r="BS12" s="1"/>
      <c r="BT12" s="1"/>
      <c r="BU12" s="1"/>
      <c r="BV12" s="1"/>
      <c r="BW12" s="1"/>
      <c r="BX12" s="1"/>
      <c r="BY12" s="1"/>
      <c r="BZ12" s="1"/>
      <c r="CA12" s="1"/>
      <c r="CB12" s="1"/>
      <c r="CC12" s="1"/>
      <c r="CD12" s="56"/>
    </row>
    <row r="13" spans="2:174" x14ac:dyDescent="0.25">
      <c r="M13" s="1" t="s">
        <v>130</v>
      </c>
      <c r="Y13" s="54"/>
      <c r="Z13" s="54"/>
      <c r="AA13" s="1"/>
      <c r="AD13">
        <v>22.5</v>
      </c>
      <c r="AE13">
        <v>15</v>
      </c>
      <c r="AU13" s="1"/>
      <c r="AV13" s="1"/>
      <c r="AW13" s="1"/>
      <c r="AX13" s="1"/>
      <c r="AY13" s="1"/>
      <c r="AZ13" s="1"/>
      <c r="BA13" s="1"/>
      <c r="BB13" s="56"/>
      <c r="BD13" s="1"/>
      <c r="BE13" s="1"/>
      <c r="BF13" s="1"/>
      <c r="BG13" s="1"/>
      <c r="BH13" s="1"/>
      <c r="BI13" s="1"/>
      <c r="BJ13" s="1"/>
      <c r="BK13" s="1"/>
      <c r="BL13" s="1"/>
      <c r="BM13" s="1"/>
      <c r="BN13" s="1"/>
      <c r="BO13" s="1"/>
      <c r="BP13" s="56"/>
      <c r="BR13" s="1"/>
      <c r="BS13" s="1"/>
      <c r="BT13" s="1"/>
      <c r="BU13" s="1"/>
      <c r="BV13" s="1"/>
      <c r="BW13" s="1"/>
      <c r="BX13" s="1"/>
      <c r="BY13" s="1"/>
      <c r="BZ13" s="1"/>
      <c r="CA13" s="1"/>
      <c r="CB13" s="1"/>
      <c r="CC13" s="1"/>
      <c r="CD13" s="56"/>
    </row>
    <row r="14" spans="2:174" x14ac:dyDescent="0.25">
      <c r="Y14" s="54"/>
      <c r="Z14" s="54"/>
      <c r="AA14" s="1"/>
      <c r="AU14" s="1"/>
      <c r="AV14" s="1"/>
      <c r="AW14" s="1"/>
      <c r="AX14" s="1"/>
      <c r="AY14" s="1"/>
      <c r="AZ14" s="1"/>
      <c r="BA14" s="1"/>
      <c r="BB14" s="56"/>
      <c r="BD14" s="1"/>
      <c r="BE14" s="1"/>
      <c r="BF14" s="1"/>
      <c r="BG14" s="1"/>
      <c r="BH14" s="1"/>
      <c r="BI14" s="1"/>
      <c r="BJ14" s="1"/>
      <c r="BK14" s="1"/>
      <c r="BL14" s="1"/>
      <c r="BM14" s="1"/>
      <c r="BN14" s="1"/>
      <c r="BO14" s="1"/>
      <c r="BP14" s="56"/>
      <c r="BR14" s="1"/>
      <c r="BS14" s="1"/>
      <c r="BT14" s="1"/>
      <c r="BU14" s="1"/>
      <c r="BV14" s="1"/>
      <c r="BW14" s="1"/>
      <c r="BX14" s="1"/>
      <c r="BY14" s="1"/>
      <c r="BZ14" s="1"/>
      <c r="CA14" s="1"/>
      <c r="CB14" s="1"/>
      <c r="CC14" s="1"/>
      <c r="CD14" s="56"/>
    </row>
    <row r="15" spans="2:174" x14ac:dyDescent="0.25">
      <c r="Y15" s="54"/>
      <c r="Z15" s="54"/>
      <c r="AA15" s="1"/>
      <c r="AU15" s="1"/>
      <c r="AV15" s="1"/>
      <c r="AW15" s="1"/>
      <c r="AX15" s="1"/>
      <c r="AY15" s="1"/>
      <c r="AZ15" s="1"/>
      <c r="BA15" s="1"/>
      <c r="BB15" s="56"/>
      <c r="BD15" s="1"/>
      <c r="BE15" s="1"/>
      <c r="BF15" s="1"/>
      <c r="BG15" s="1"/>
      <c r="BH15" s="1"/>
      <c r="BI15" s="1"/>
      <c r="BJ15" s="1"/>
      <c r="BK15" s="1"/>
      <c r="BL15" s="1"/>
      <c r="BM15" s="1"/>
      <c r="BN15" s="1"/>
      <c r="BO15" s="1"/>
      <c r="BP15" s="56"/>
      <c r="BR15" s="1"/>
      <c r="BS15" s="1"/>
      <c r="BT15" s="1"/>
      <c r="BU15" s="1"/>
      <c r="BV15" s="1"/>
      <c r="BW15" s="1"/>
      <c r="BX15" s="1"/>
      <c r="BY15" s="1"/>
      <c r="BZ15" s="1"/>
      <c r="CA15" s="1"/>
      <c r="CB15" s="1"/>
      <c r="CC15" s="1"/>
      <c r="CD15" s="56"/>
    </row>
    <row r="16" spans="2:174" x14ac:dyDescent="0.25">
      <c r="R16"/>
      <c r="Y16" s="54"/>
      <c r="Z16" s="54"/>
      <c r="AA16" s="1"/>
      <c r="AU16" s="1"/>
      <c r="AV16" s="1"/>
      <c r="AW16" s="1"/>
      <c r="AX16" s="1"/>
      <c r="AY16" s="1"/>
      <c r="AZ16" s="1"/>
      <c r="BA16" s="1"/>
      <c r="BB16" s="56"/>
      <c r="BD16" s="1"/>
      <c r="BE16" s="1"/>
      <c r="BF16" s="1"/>
      <c r="BG16" s="1"/>
      <c r="BH16" s="1"/>
      <c r="BI16" s="1"/>
      <c r="BJ16" s="1"/>
      <c r="BK16" s="1"/>
      <c r="BL16" s="1"/>
      <c r="BM16" s="1"/>
      <c r="BN16" s="1"/>
      <c r="BO16" s="1"/>
      <c r="BP16" s="56"/>
      <c r="BR16" s="1"/>
      <c r="BS16" s="1"/>
      <c r="BT16" s="1"/>
      <c r="BU16" s="1"/>
      <c r="BV16" s="1"/>
      <c r="BW16" s="1"/>
      <c r="BX16" s="1"/>
      <c r="BY16" s="1"/>
      <c r="BZ16" s="1"/>
      <c r="CA16" s="1"/>
      <c r="CB16" s="1"/>
      <c r="CC16" s="1"/>
      <c r="CD16" s="56"/>
    </row>
    <row r="17" spans="7:82" x14ac:dyDescent="0.25">
      <c r="L17" s="170">
        <v>1</v>
      </c>
      <c r="M17" s="170">
        <v>2</v>
      </c>
      <c r="N17" s="170">
        <v>3</v>
      </c>
      <c r="O17" s="170">
        <v>4</v>
      </c>
      <c r="P17" s="170">
        <v>5</v>
      </c>
      <c r="Q17" s="170">
        <v>6</v>
      </c>
      <c r="R17" s="170">
        <v>7</v>
      </c>
      <c r="S17" s="170">
        <v>8</v>
      </c>
      <c r="T17" s="170">
        <v>9</v>
      </c>
      <c r="U17" s="170">
        <v>10</v>
      </c>
      <c r="V17" s="170">
        <v>11</v>
      </c>
      <c r="W17" s="170">
        <v>12</v>
      </c>
      <c r="Y17" s="54"/>
      <c r="Z17" s="54"/>
      <c r="AA17" s="1"/>
      <c r="AU17" s="1"/>
      <c r="AV17" s="1"/>
      <c r="AW17" s="1"/>
      <c r="AX17" s="1"/>
      <c r="AY17" s="1"/>
      <c r="AZ17" s="1"/>
      <c r="BA17" s="1"/>
      <c r="BB17" s="56"/>
      <c r="BD17" s="1"/>
      <c r="BE17" s="1"/>
      <c r="BF17" s="1"/>
      <c r="BG17" s="1"/>
      <c r="BH17" s="1"/>
      <c r="BI17" s="1"/>
      <c r="BJ17" s="1"/>
      <c r="BK17" s="1"/>
      <c r="BL17" s="1"/>
      <c r="BM17" s="1"/>
      <c r="BN17" s="1"/>
      <c r="BO17" s="1"/>
      <c r="BP17" s="56"/>
      <c r="BR17" s="1"/>
      <c r="BS17" s="1"/>
      <c r="BT17" s="1"/>
      <c r="BU17" s="1"/>
      <c r="BV17" s="1"/>
      <c r="BW17" s="1"/>
      <c r="BX17" s="1"/>
      <c r="BY17" s="1"/>
      <c r="BZ17" s="1"/>
      <c r="CA17" s="1"/>
      <c r="CB17" s="1"/>
      <c r="CC17" s="1"/>
      <c r="CD17" s="56"/>
    </row>
    <row r="18" spans="7:82" x14ac:dyDescent="0.25">
      <c r="Y18" s="54"/>
      <c r="Z18" s="54"/>
      <c r="AA18" s="1"/>
      <c r="AC18">
        <v>22</v>
      </c>
      <c r="AU18" s="1"/>
      <c r="AV18" s="1"/>
      <c r="AW18" s="1"/>
      <c r="AX18" s="1"/>
      <c r="AY18" s="1"/>
      <c r="AZ18" s="1"/>
      <c r="BA18" s="1"/>
      <c r="BB18" s="56"/>
      <c r="BD18" s="1"/>
      <c r="BE18" s="1"/>
      <c r="BF18" s="1"/>
      <c r="BG18" s="1"/>
      <c r="BH18" s="1"/>
      <c r="BI18" s="1"/>
      <c r="BJ18" s="1"/>
      <c r="BK18" s="1"/>
      <c r="BL18" s="1"/>
      <c r="BM18" s="1"/>
      <c r="BN18" s="1"/>
      <c r="BO18" s="1"/>
      <c r="BP18" s="56"/>
      <c r="BR18" s="1"/>
      <c r="BS18" s="1"/>
      <c r="BT18" s="1"/>
      <c r="BU18" s="1"/>
      <c r="BV18" s="1"/>
      <c r="BW18" s="1"/>
      <c r="BX18" s="1"/>
      <c r="BY18" s="1"/>
      <c r="BZ18" s="1"/>
      <c r="CA18" s="1"/>
      <c r="CB18" s="1"/>
      <c r="CC18" s="1"/>
      <c r="CD18" s="56"/>
    </row>
    <row r="19" spans="7:82" x14ac:dyDescent="0.25">
      <c r="Y19" s="54"/>
      <c r="Z19" s="54"/>
      <c r="AA19" s="1"/>
      <c r="AB19">
        <v>37.5</v>
      </c>
      <c r="AC19">
        <f>AB19*$AC$18</f>
        <v>825</v>
      </c>
      <c r="AU19" s="1"/>
      <c r="AV19" s="1"/>
      <c r="AW19" s="1"/>
      <c r="AX19" s="1"/>
      <c r="AY19" s="1"/>
      <c r="AZ19" s="1"/>
      <c r="BA19" s="1"/>
      <c r="BB19" s="56"/>
      <c r="BD19" s="1"/>
      <c r="BE19" s="1"/>
      <c r="BF19" s="1"/>
      <c r="BG19" s="1"/>
      <c r="BH19" s="1"/>
      <c r="BI19" s="1"/>
      <c r="BJ19" s="1"/>
      <c r="BK19" s="1"/>
      <c r="BL19" s="1"/>
      <c r="BM19" s="1"/>
      <c r="BN19" s="1"/>
      <c r="BO19" s="1"/>
      <c r="BP19" s="56"/>
      <c r="BR19" s="1"/>
      <c r="BS19" s="1"/>
      <c r="BT19" s="1"/>
      <c r="BU19" s="1"/>
      <c r="BV19" s="1"/>
      <c r="BW19" s="1"/>
      <c r="BX19" s="1"/>
      <c r="BY19" s="1"/>
      <c r="BZ19" s="1"/>
      <c r="CA19" s="1"/>
      <c r="CB19" s="1"/>
      <c r="CC19" s="1"/>
      <c r="CD19" s="56"/>
    </row>
    <row r="20" spans="7:82" x14ac:dyDescent="0.25">
      <c r="H20" s="11"/>
      <c r="I20" s="11"/>
      <c r="P20" s="53"/>
      <c r="V20"/>
      <c r="W20"/>
      <c r="Y20" s="54"/>
      <c r="Z20" s="54"/>
      <c r="AA20" s="1"/>
      <c r="AU20" s="1"/>
      <c r="AV20" s="1"/>
      <c r="AW20" s="1"/>
      <c r="AX20" s="1"/>
      <c r="AY20" s="1"/>
      <c r="AZ20" s="1"/>
      <c r="BA20" s="1"/>
      <c r="BB20" s="56"/>
      <c r="BD20" s="1"/>
      <c r="BE20" s="1"/>
      <c r="BF20" s="1"/>
      <c r="BG20" s="1"/>
      <c r="BH20" s="1"/>
      <c r="BI20" s="1"/>
      <c r="BJ20" s="1"/>
      <c r="BK20" s="1"/>
      <c r="BL20" s="1"/>
      <c r="BM20" s="1"/>
      <c r="BN20" s="1"/>
      <c r="BO20" s="1"/>
      <c r="BP20" s="56"/>
      <c r="BR20" s="1"/>
      <c r="BS20" s="1"/>
      <c r="BT20" s="1"/>
      <c r="BU20" s="1"/>
      <c r="BV20" s="1"/>
      <c r="BW20" s="1"/>
      <c r="BX20" s="1"/>
      <c r="BY20" s="1"/>
      <c r="BZ20" s="1"/>
      <c r="CA20" s="1"/>
      <c r="CB20" s="1"/>
      <c r="CC20" s="1"/>
      <c r="CD20" s="56"/>
    </row>
    <row r="21" spans="7:82" x14ac:dyDescent="0.25">
      <c r="H21" s="11"/>
      <c r="I21" s="11"/>
      <c r="P21" s="53"/>
      <c r="V21"/>
      <c r="W21"/>
      <c r="Y21" s="54"/>
      <c r="Z21" s="54"/>
      <c r="AA21" s="1"/>
      <c r="AU21" s="1"/>
      <c r="AV21" s="1"/>
      <c r="AW21" s="1"/>
      <c r="AX21" s="1"/>
      <c r="AY21" s="1"/>
      <c r="AZ21" s="1"/>
      <c r="BA21" s="1"/>
      <c r="BB21" s="56"/>
      <c r="BD21" s="1"/>
      <c r="BE21" s="1"/>
      <c r="BF21" s="1"/>
      <c r="BG21" s="1"/>
      <c r="BH21" s="1"/>
      <c r="BI21" s="1"/>
      <c r="BJ21" s="1"/>
      <c r="BK21" s="1"/>
      <c r="BL21" s="1"/>
      <c r="BM21" s="1"/>
      <c r="BN21" s="1"/>
      <c r="BO21" s="1"/>
      <c r="BP21" s="56"/>
      <c r="BR21" s="1"/>
      <c r="BS21" s="1"/>
      <c r="BT21" s="1"/>
      <c r="BU21" s="1"/>
      <c r="BV21" s="1"/>
      <c r="BW21" s="1"/>
      <c r="BX21" s="1"/>
      <c r="BY21" s="1"/>
      <c r="BZ21" s="1"/>
      <c r="CA21" s="1"/>
      <c r="CB21" s="1"/>
      <c r="CC21" s="1"/>
      <c r="CD21" s="56"/>
    </row>
    <row r="22" spans="7:82" x14ac:dyDescent="0.25">
      <c r="H22" s="11"/>
      <c r="I22" s="11"/>
      <c r="P22" s="53"/>
      <c r="V22"/>
      <c r="Y22" s="54"/>
      <c r="Z22" s="54"/>
      <c r="AA22" s="1"/>
      <c r="AU22" s="1"/>
      <c r="AV22" s="1"/>
      <c r="AW22" s="1"/>
      <c r="AX22" s="1"/>
      <c r="AY22" s="1"/>
      <c r="AZ22" s="1"/>
      <c r="BA22" s="1"/>
      <c r="BB22" s="56"/>
      <c r="BD22" s="1"/>
      <c r="BE22" s="1"/>
      <c r="BF22" s="1"/>
      <c r="BG22" s="1"/>
      <c r="BH22" s="1"/>
      <c r="BI22" s="1"/>
      <c r="BJ22" s="1"/>
      <c r="BK22" s="1"/>
      <c r="BL22" s="1"/>
      <c r="BM22" s="1"/>
      <c r="BN22" s="1"/>
      <c r="BO22" s="1"/>
      <c r="BP22" s="56"/>
      <c r="BR22" s="1"/>
      <c r="BS22" s="1"/>
      <c r="BT22" s="1"/>
      <c r="BU22" s="1"/>
      <c r="BV22" s="1"/>
      <c r="BW22" s="1"/>
      <c r="BX22" s="1"/>
      <c r="BY22" s="1"/>
      <c r="BZ22" s="1"/>
      <c r="CA22" s="1"/>
      <c r="CB22" s="1"/>
      <c r="CC22" s="1"/>
      <c r="CD22" s="56"/>
    </row>
    <row r="23" spans="7:82" x14ac:dyDescent="0.25">
      <c r="H23" s="11"/>
      <c r="I23" s="11"/>
      <c r="P23" s="53"/>
      <c r="V23"/>
      <c r="Y23" s="54"/>
      <c r="Z23" s="54"/>
      <c r="AA23" s="1"/>
      <c r="AU23" s="1"/>
      <c r="AV23" s="1"/>
      <c r="AW23" s="1"/>
      <c r="AX23" s="1"/>
      <c r="AY23" s="1"/>
      <c r="AZ23" s="1"/>
      <c r="BA23" s="1"/>
      <c r="BB23" s="56"/>
      <c r="BD23" s="1"/>
      <c r="BE23" s="1"/>
      <c r="BF23" s="1"/>
      <c r="BG23" s="1"/>
      <c r="BH23" s="1"/>
      <c r="BI23" s="1"/>
      <c r="BJ23" s="1"/>
      <c r="BK23" s="1"/>
      <c r="BL23" s="1"/>
      <c r="BM23" s="1"/>
      <c r="BN23" s="1"/>
      <c r="BO23" s="1"/>
      <c r="BP23" s="56"/>
      <c r="BR23" s="1"/>
      <c r="BS23" s="1"/>
      <c r="BT23" s="1"/>
      <c r="BU23" s="1"/>
      <c r="BV23" s="1"/>
      <c r="BW23" s="1"/>
      <c r="BX23" s="1"/>
      <c r="BY23" s="1"/>
      <c r="BZ23" s="1"/>
      <c r="CA23" s="1"/>
      <c r="CB23" s="1"/>
      <c r="CC23" s="1"/>
      <c r="CD23" s="56"/>
    </row>
    <row r="24" spans="7:82" x14ac:dyDescent="0.25">
      <c r="H24" s="11"/>
      <c r="I24" s="11"/>
      <c r="P24" s="53"/>
      <c r="V24"/>
      <c r="Y24" s="54"/>
      <c r="Z24" s="54"/>
      <c r="AA24" s="1"/>
      <c r="AC24" s="1"/>
      <c r="AU24" s="1"/>
      <c r="AV24" s="1"/>
      <c r="AW24" s="1"/>
      <c r="AX24" s="1"/>
      <c r="AY24" s="1"/>
      <c r="AZ24" s="1"/>
      <c r="BA24" s="1"/>
      <c r="BB24" s="56"/>
      <c r="BD24" s="1"/>
      <c r="BE24" s="1"/>
      <c r="BF24" s="1"/>
      <c r="BG24" s="1"/>
      <c r="BH24" s="1"/>
      <c r="BI24" s="1"/>
      <c r="BJ24" s="1"/>
      <c r="BK24" s="1"/>
      <c r="BL24" s="1"/>
      <c r="BM24" s="1"/>
      <c r="BN24" s="1"/>
      <c r="BO24" s="1"/>
      <c r="BP24" s="56"/>
      <c r="BR24" s="1"/>
      <c r="BS24" s="1"/>
      <c r="BT24" s="1"/>
      <c r="BU24" s="1"/>
      <c r="BV24" s="1"/>
      <c r="BW24" s="1"/>
      <c r="BX24" s="1"/>
      <c r="BY24" s="1"/>
      <c r="BZ24" s="1"/>
      <c r="CA24" s="1"/>
      <c r="CB24" s="1"/>
      <c r="CC24" s="1"/>
      <c r="CD24" s="56"/>
    </row>
    <row r="25" spans="7:82" x14ac:dyDescent="0.25">
      <c r="H25" s="11"/>
      <c r="I25" s="11"/>
      <c r="P25" s="53"/>
      <c r="V25"/>
      <c r="X25"/>
      <c r="Y25" s="54"/>
      <c r="Z25" s="54"/>
      <c r="AA25" s="1"/>
      <c r="AC25" s="1"/>
      <c r="AU25" s="1"/>
      <c r="AV25" s="1"/>
      <c r="AW25" s="1"/>
      <c r="AX25" s="1"/>
      <c r="AY25" s="1"/>
      <c r="AZ25" s="1"/>
      <c r="BA25" s="1"/>
      <c r="BB25" s="56"/>
      <c r="BD25" s="1"/>
      <c r="BE25" s="1"/>
      <c r="BF25" s="1"/>
      <c r="BG25" s="1"/>
      <c r="BH25" s="1"/>
      <c r="BI25" s="1"/>
      <c r="BJ25" s="1"/>
      <c r="BK25" s="1"/>
      <c r="BL25" s="1"/>
      <c r="BM25" s="1"/>
      <c r="BN25" s="1"/>
      <c r="BO25" s="1"/>
      <c r="BP25" s="56"/>
      <c r="BR25" s="1"/>
      <c r="BS25" s="1"/>
      <c r="BT25" s="1"/>
      <c r="BU25" s="1"/>
      <c r="BV25" s="1"/>
      <c r="BW25" s="1"/>
      <c r="BX25" s="1"/>
      <c r="BY25" s="1"/>
      <c r="BZ25" s="1"/>
      <c r="CA25" s="1"/>
      <c r="CB25" s="1"/>
      <c r="CC25" s="1"/>
      <c r="CD25" s="56"/>
    </row>
    <row r="26" spans="7:82" x14ac:dyDescent="0.25">
      <c r="H26" s="11"/>
      <c r="I26" s="11"/>
      <c r="P26" s="53"/>
      <c r="V26"/>
      <c r="X26"/>
      <c r="Y26" s="54"/>
      <c r="Z26" s="54"/>
      <c r="AA26" s="1"/>
      <c r="AC26" s="1"/>
      <c r="AU26" s="1"/>
      <c r="AV26" s="1"/>
      <c r="AW26" s="1"/>
      <c r="AX26" s="1"/>
      <c r="AY26" s="1"/>
      <c r="AZ26" s="1"/>
      <c r="BA26" s="1"/>
      <c r="BB26" s="56"/>
      <c r="BD26" s="1"/>
      <c r="BE26" s="1"/>
      <c r="BF26" s="1"/>
      <c r="BG26" s="1"/>
      <c r="BH26" s="1"/>
      <c r="BI26" s="1"/>
      <c r="BJ26" s="1"/>
      <c r="BK26" s="1"/>
      <c r="BL26" s="1"/>
      <c r="BM26" s="1"/>
      <c r="BN26" s="1"/>
      <c r="BO26" s="1"/>
      <c r="BP26" s="56"/>
      <c r="BR26" s="1"/>
      <c r="BS26" s="1"/>
      <c r="BT26" s="1"/>
      <c r="BU26" s="1"/>
      <c r="BV26" s="1"/>
      <c r="BW26" s="1"/>
      <c r="BX26" s="1"/>
      <c r="BY26" s="1"/>
      <c r="BZ26" s="1"/>
      <c r="CA26" s="1"/>
      <c r="CB26" s="1"/>
      <c r="CC26" s="1"/>
      <c r="CD26" s="56"/>
    </row>
    <row r="27" spans="7:82" x14ac:dyDescent="0.25">
      <c r="G27" s="53"/>
      <c r="H27" s="11"/>
      <c r="I27" s="11"/>
      <c r="P27" s="53"/>
      <c r="V27"/>
      <c r="X27"/>
      <c r="Y27" s="54"/>
      <c r="Z27" s="54"/>
      <c r="AA27" s="1"/>
      <c r="AC27" s="1"/>
      <c r="AU27" s="1"/>
      <c r="AV27" s="1"/>
      <c r="AW27" s="1"/>
      <c r="AX27" s="1"/>
      <c r="AY27" s="1"/>
      <c r="AZ27" s="1"/>
      <c r="BA27" s="1"/>
      <c r="BB27" s="56"/>
      <c r="BD27" s="1"/>
      <c r="BE27" s="1"/>
      <c r="BF27" s="1"/>
      <c r="BG27" s="1"/>
      <c r="BH27" s="1"/>
      <c r="BI27" s="1"/>
      <c r="BJ27" s="1"/>
      <c r="BK27" s="1"/>
      <c r="BL27" s="1"/>
      <c r="BM27" s="1"/>
      <c r="BN27" s="1"/>
      <c r="BO27" s="1"/>
      <c r="BP27" s="56"/>
      <c r="BR27" s="1"/>
      <c r="BS27" s="1"/>
      <c r="BT27" s="1"/>
      <c r="BU27" s="1"/>
      <c r="BV27" s="1"/>
      <c r="BW27" s="1"/>
      <c r="BX27" s="1"/>
      <c r="BY27" s="1"/>
      <c r="BZ27" s="1"/>
      <c r="CA27" s="1"/>
      <c r="CB27" s="1"/>
      <c r="CC27" s="1"/>
      <c r="CD27" s="56"/>
    </row>
    <row r="28" spans="7:82" x14ac:dyDescent="0.25">
      <c r="G28" s="53"/>
      <c r="H28" s="11"/>
      <c r="I28" s="11"/>
      <c r="P28" s="53"/>
      <c r="V28"/>
      <c r="X28"/>
      <c r="Y28" s="54"/>
      <c r="Z28" s="54"/>
      <c r="AA28" s="1"/>
      <c r="AC28" s="1"/>
      <c r="AU28" s="1"/>
      <c r="AV28" s="1"/>
      <c r="AW28" s="1"/>
      <c r="AX28" s="1"/>
      <c r="AY28" s="1"/>
      <c r="AZ28" s="1"/>
      <c r="BA28" s="1"/>
      <c r="BB28" s="56"/>
      <c r="BD28" s="1"/>
      <c r="BE28" s="1"/>
      <c r="BF28" s="1"/>
      <c r="BG28" s="1"/>
      <c r="BH28" s="1"/>
      <c r="BI28" s="1"/>
      <c r="BJ28" s="1"/>
      <c r="BK28" s="1"/>
      <c r="BL28" s="1"/>
      <c r="BM28" s="1"/>
      <c r="BN28" s="1"/>
      <c r="BO28" s="1"/>
      <c r="BP28" s="56"/>
      <c r="BR28" s="1"/>
      <c r="BS28" s="1"/>
      <c r="BT28" s="1"/>
      <c r="BU28" s="1"/>
      <c r="BV28" s="1"/>
      <c r="BW28" s="1"/>
      <c r="BX28" s="1"/>
      <c r="BY28" s="1"/>
      <c r="BZ28" s="1"/>
      <c r="CA28" s="1"/>
      <c r="CB28" s="1"/>
      <c r="CC28" s="1"/>
      <c r="CD28" s="56"/>
    </row>
    <row r="29" spans="7:82" x14ac:dyDescent="0.25">
      <c r="G29" s="53"/>
      <c r="H29" s="11"/>
      <c r="I29" s="11"/>
      <c r="P29" s="53"/>
      <c r="V29"/>
      <c r="Y29" s="54"/>
      <c r="Z29" s="54"/>
      <c r="AA29" s="1"/>
      <c r="AC29" s="1"/>
      <c r="AG29" s="1"/>
      <c r="AH29" s="1"/>
      <c r="AI29" s="1"/>
      <c r="AJ29" s="1"/>
      <c r="AK29" s="1"/>
      <c r="AL29" s="1"/>
      <c r="AM29" s="1"/>
      <c r="AN29" s="56"/>
      <c r="AP29" s="1"/>
      <c r="AQ29" s="1"/>
      <c r="AR29" s="1"/>
      <c r="AS29" s="1"/>
      <c r="AT29" s="1"/>
      <c r="AU29" s="1"/>
      <c r="AV29" s="1"/>
      <c r="AW29" s="1"/>
      <c r="AX29" s="1"/>
      <c r="AY29" s="1"/>
      <c r="AZ29" s="1"/>
      <c r="BA29" s="1"/>
      <c r="BB29" s="56"/>
      <c r="BD29" s="1"/>
      <c r="BE29" s="1"/>
      <c r="BF29" s="1"/>
      <c r="BG29" s="1"/>
      <c r="BH29" s="1"/>
      <c r="BI29" s="1"/>
      <c r="BJ29" s="1"/>
      <c r="BK29" s="1"/>
      <c r="BL29" s="1"/>
      <c r="BM29" s="1"/>
      <c r="BN29" s="1"/>
      <c r="BO29" s="1"/>
      <c r="BP29" s="56"/>
      <c r="BR29" s="1"/>
      <c r="BS29" s="1"/>
      <c r="BT29" s="1"/>
      <c r="BU29" s="1"/>
      <c r="BV29" s="1"/>
      <c r="BW29" s="1"/>
      <c r="BX29" s="1"/>
      <c r="BY29" s="1"/>
      <c r="BZ29" s="1"/>
      <c r="CA29" s="1"/>
      <c r="CB29" s="1"/>
      <c r="CC29" s="1"/>
      <c r="CD29" s="56"/>
    </row>
    <row r="30" spans="7:82" x14ac:dyDescent="0.25">
      <c r="G30" s="53"/>
      <c r="H30" s="11"/>
      <c r="I30" s="11"/>
      <c r="P30" s="53"/>
      <c r="V30"/>
      <c r="Y30" s="54"/>
      <c r="Z30" s="54"/>
      <c r="AA30" s="1"/>
      <c r="AC30" s="1"/>
      <c r="AG30" s="1"/>
      <c r="AH30" s="1"/>
      <c r="AI30" s="1"/>
      <c r="AJ30" s="1"/>
      <c r="AK30" s="1"/>
      <c r="AL30" s="1"/>
      <c r="AM30" s="1"/>
      <c r="AN30" s="56"/>
      <c r="AP30" s="1"/>
      <c r="AQ30" s="1"/>
      <c r="AR30" s="1"/>
      <c r="AS30" s="1"/>
      <c r="AT30" s="1"/>
      <c r="AU30" s="1"/>
      <c r="AV30" s="1"/>
      <c r="AW30" s="1"/>
      <c r="AX30" s="1"/>
      <c r="AY30" s="1"/>
      <c r="AZ30" s="1"/>
      <c r="BA30" s="1"/>
      <c r="BB30" s="56"/>
      <c r="BD30" s="1"/>
      <c r="BE30" s="1"/>
      <c r="BF30" s="1"/>
      <c r="BG30" s="1"/>
      <c r="BH30" s="1"/>
      <c r="BI30" s="1"/>
      <c r="BJ30" s="1"/>
      <c r="BK30" s="1"/>
      <c r="BL30" s="1"/>
      <c r="BM30" s="1"/>
      <c r="BN30" s="1"/>
      <c r="BO30" s="1"/>
      <c r="BP30" s="56"/>
      <c r="BR30" s="1"/>
      <c r="BS30" s="1"/>
      <c r="BT30" s="1"/>
      <c r="BU30" s="1"/>
      <c r="BV30" s="1"/>
      <c r="BW30" s="1"/>
      <c r="BX30" s="1"/>
      <c r="BY30" s="1"/>
      <c r="BZ30" s="1"/>
      <c r="CA30" s="1"/>
      <c r="CB30" s="1"/>
      <c r="CC30" s="1"/>
      <c r="CD30" s="56"/>
    </row>
    <row r="31" spans="7:82" x14ac:dyDescent="0.25">
      <c r="G31" s="53"/>
      <c r="H31" s="11"/>
      <c r="I31" s="11"/>
      <c r="V31"/>
      <c r="Y31" s="54"/>
      <c r="Z31" s="54"/>
      <c r="AA31" s="1"/>
      <c r="AC31" s="1"/>
      <c r="AG31" s="1"/>
      <c r="AH31" s="1"/>
      <c r="AI31" s="1"/>
      <c r="AJ31" s="1"/>
      <c r="AK31" s="1"/>
      <c r="AL31" s="1"/>
      <c r="AM31" s="1"/>
      <c r="AN31" s="56"/>
      <c r="AP31" s="1"/>
      <c r="AQ31" s="1"/>
      <c r="AR31" s="1"/>
      <c r="AS31" s="1"/>
      <c r="AT31" s="1"/>
      <c r="AU31" s="1"/>
      <c r="AV31" s="1"/>
      <c r="AW31" s="1"/>
      <c r="AX31" s="1"/>
      <c r="AY31" s="1"/>
      <c r="AZ31" s="1"/>
      <c r="BA31" s="1"/>
      <c r="BB31" s="56"/>
      <c r="BD31" s="1"/>
      <c r="BE31" s="1"/>
      <c r="BF31" s="1"/>
      <c r="BG31" s="1"/>
      <c r="BH31" s="1"/>
      <c r="BI31" s="1"/>
      <c r="BJ31" s="1"/>
      <c r="BK31" s="1"/>
      <c r="BL31" s="1"/>
      <c r="BM31" s="1"/>
      <c r="BN31" s="1"/>
      <c r="BO31" s="1"/>
      <c r="BP31" s="56"/>
      <c r="BR31" s="1"/>
      <c r="BS31" s="1"/>
      <c r="BT31" s="1"/>
      <c r="BU31" s="1"/>
      <c r="BV31" s="1"/>
      <c r="BW31" s="1"/>
      <c r="BX31" s="1"/>
      <c r="BY31" s="1"/>
      <c r="BZ31" s="1"/>
      <c r="CA31" s="1"/>
      <c r="CB31" s="1"/>
      <c r="CC31" s="1"/>
      <c r="CD31" s="56"/>
    </row>
    <row r="32" spans="7:82" x14ac:dyDescent="0.25">
      <c r="G32" s="53"/>
      <c r="H32" s="11"/>
      <c r="I32" s="11"/>
      <c r="P32" s="43"/>
      <c r="R32"/>
      <c r="V32"/>
      <c r="Y32" s="54"/>
      <c r="Z32" s="54"/>
      <c r="AA32" s="1"/>
      <c r="AC32" s="1"/>
      <c r="AG32" s="1"/>
      <c r="AH32" s="1"/>
      <c r="AI32" s="1"/>
      <c r="AJ32" s="1"/>
      <c r="AK32" s="1"/>
      <c r="AL32" s="1"/>
      <c r="AM32" s="1"/>
      <c r="AN32" s="56"/>
      <c r="AP32" s="1"/>
      <c r="AQ32" s="1"/>
      <c r="AR32" s="1"/>
      <c r="AS32" s="1"/>
      <c r="AT32" s="1"/>
      <c r="AU32" s="1"/>
      <c r="AV32" s="1"/>
      <c r="AW32" s="1"/>
      <c r="AX32" s="1"/>
      <c r="AY32" s="1"/>
      <c r="AZ32" s="1"/>
      <c r="BA32" s="1"/>
      <c r="BB32" s="56"/>
      <c r="BD32" s="1"/>
      <c r="BE32" s="1"/>
      <c r="BF32" s="1"/>
      <c r="BG32" s="1"/>
      <c r="BH32" s="1"/>
      <c r="BI32" s="1"/>
      <c r="BJ32" s="1"/>
      <c r="BK32" s="1"/>
      <c r="BL32" s="1"/>
      <c r="BM32" s="1"/>
      <c r="BN32" s="1"/>
      <c r="BO32" s="1"/>
      <c r="BP32" s="56"/>
      <c r="BR32" s="1"/>
      <c r="BS32" s="1"/>
      <c r="BT32" s="1"/>
      <c r="BU32" s="1"/>
      <c r="BV32" s="1"/>
      <c r="BW32" s="1"/>
      <c r="BX32" s="1"/>
      <c r="BY32" s="1"/>
      <c r="BZ32" s="1"/>
      <c r="CA32" s="1"/>
      <c r="CB32" s="1"/>
      <c r="CC32" s="1"/>
      <c r="CD32" s="56"/>
    </row>
    <row r="33" spans="7:82" x14ac:dyDescent="0.25">
      <c r="G33" s="53"/>
      <c r="H33" s="11"/>
      <c r="I33" s="11"/>
      <c r="P33" s="53"/>
      <c r="V33" s="53"/>
      <c r="Y33" s="54"/>
      <c r="Z33" s="54"/>
      <c r="AA33" s="1"/>
      <c r="AC33" s="1"/>
      <c r="AG33" s="1"/>
      <c r="AH33" s="1"/>
      <c r="AI33" s="1"/>
      <c r="AJ33" s="1"/>
      <c r="AK33" s="1"/>
      <c r="AL33" s="1"/>
      <c r="AM33" s="1"/>
      <c r="AN33" s="56"/>
      <c r="AP33" s="1"/>
      <c r="AQ33" s="1"/>
      <c r="AR33" s="1"/>
      <c r="AS33" s="1"/>
      <c r="AT33" s="1"/>
      <c r="AU33" s="1"/>
      <c r="AV33" s="1"/>
      <c r="AW33" s="1"/>
      <c r="AX33" s="1"/>
      <c r="AY33" s="1"/>
      <c r="AZ33" s="1"/>
      <c r="BA33" s="1"/>
      <c r="BB33" s="56"/>
      <c r="BD33" s="1"/>
      <c r="BE33" s="1"/>
      <c r="BF33" s="1"/>
      <c r="BG33" s="1"/>
      <c r="BH33" s="1"/>
      <c r="BI33" s="1"/>
      <c r="BJ33" s="1"/>
      <c r="BK33" s="1"/>
      <c r="BL33" s="1"/>
      <c r="BM33" s="1"/>
      <c r="BN33" s="1"/>
      <c r="BO33" s="1"/>
      <c r="BP33" s="56"/>
      <c r="BR33" s="1"/>
      <c r="BS33" s="1"/>
      <c r="BT33" s="1"/>
      <c r="BU33" s="1"/>
      <c r="BV33" s="1"/>
      <c r="BW33" s="1"/>
      <c r="BX33" s="1"/>
      <c r="BY33" s="1"/>
      <c r="BZ33" s="1"/>
      <c r="CA33" s="1"/>
      <c r="CB33" s="1"/>
      <c r="CC33" s="1"/>
      <c r="CD33" s="56"/>
    </row>
    <row r="34" spans="7:82" x14ac:dyDescent="0.25">
      <c r="G34" s="53"/>
      <c r="H34" s="11"/>
      <c r="I34" s="11"/>
      <c r="P34" s="53"/>
      <c r="V34" s="53"/>
      <c r="Y34" s="54"/>
      <c r="Z34" s="54"/>
      <c r="AA34" s="1"/>
      <c r="AC34" s="1"/>
      <c r="AG34" s="1"/>
      <c r="AH34" s="1"/>
      <c r="AI34" s="1"/>
      <c r="AJ34" s="1"/>
      <c r="AK34" s="1"/>
      <c r="AL34" s="1"/>
      <c r="AM34" s="1"/>
      <c r="AN34" s="56"/>
      <c r="AP34" s="1"/>
      <c r="AQ34" s="1"/>
      <c r="AR34" s="1"/>
      <c r="AS34" s="1"/>
      <c r="AT34" s="1"/>
      <c r="AU34" s="1"/>
      <c r="AV34" s="1"/>
      <c r="AW34" s="1"/>
      <c r="AX34" s="1"/>
      <c r="AY34" s="1"/>
      <c r="AZ34" s="1"/>
      <c r="BA34" s="1"/>
      <c r="BB34" s="56"/>
      <c r="BD34" s="1"/>
      <c r="BE34" s="1"/>
      <c r="BF34" s="1"/>
      <c r="BG34" s="1"/>
      <c r="BH34" s="1"/>
      <c r="BI34" s="1"/>
      <c r="BJ34" s="1"/>
      <c r="BK34" s="1"/>
      <c r="BL34" s="1"/>
      <c r="BM34" s="1"/>
      <c r="BN34" s="1"/>
      <c r="BO34" s="1"/>
      <c r="BP34" s="56"/>
      <c r="BR34" s="1"/>
      <c r="BS34" s="1"/>
      <c r="BT34" s="1"/>
      <c r="BU34" s="1"/>
      <c r="BV34" s="1"/>
      <c r="BW34" s="1"/>
      <c r="BX34" s="1"/>
      <c r="BY34" s="1"/>
      <c r="BZ34" s="1"/>
      <c r="CA34" s="1"/>
      <c r="CB34" s="1"/>
      <c r="CC34" s="1"/>
      <c r="CD34" s="56"/>
    </row>
    <row r="35" spans="7:82" x14ac:dyDescent="0.25">
      <c r="G35" s="53"/>
      <c r="H35" s="11"/>
      <c r="I35" s="11"/>
      <c r="P35" s="53"/>
      <c r="V35" s="53"/>
      <c r="Y35" s="54"/>
      <c r="Z35" s="54"/>
      <c r="AA35" s="1"/>
      <c r="AC35" s="1"/>
      <c r="AG35" s="1"/>
      <c r="AH35" s="1"/>
      <c r="AI35" s="1"/>
      <c r="AJ35" s="1"/>
      <c r="AK35" s="1"/>
      <c r="AL35" s="1"/>
      <c r="AM35" s="1"/>
      <c r="AN35" s="56"/>
      <c r="AP35" s="1"/>
      <c r="AQ35" s="1"/>
      <c r="AR35" s="1"/>
      <c r="AS35" s="1"/>
      <c r="AT35" s="1"/>
      <c r="AU35" s="1"/>
      <c r="AV35" s="1"/>
      <c r="AW35" s="1"/>
      <c r="AX35" s="1"/>
      <c r="AY35" s="1"/>
      <c r="AZ35" s="1"/>
      <c r="BA35" s="1"/>
      <c r="BB35" s="56"/>
      <c r="BD35" s="1"/>
      <c r="BE35" s="1"/>
      <c r="BF35" s="1"/>
      <c r="BG35" s="1"/>
      <c r="BH35" s="1"/>
      <c r="BI35" s="1"/>
      <c r="BJ35" s="1"/>
      <c r="BK35" s="1"/>
      <c r="BL35" s="1"/>
      <c r="BM35" s="1"/>
      <c r="BN35" s="1"/>
      <c r="BO35" s="1"/>
      <c r="BP35" s="56"/>
      <c r="BR35" s="1"/>
      <c r="BS35" s="1"/>
      <c r="BT35" s="1"/>
      <c r="BU35" s="1"/>
      <c r="BV35" s="1"/>
      <c r="BW35" s="1"/>
      <c r="BX35" s="1"/>
      <c r="BY35" s="1"/>
      <c r="BZ35" s="1"/>
      <c r="CA35" s="1"/>
      <c r="CB35" s="1"/>
      <c r="CC35" s="1"/>
      <c r="CD35" s="56"/>
    </row>
    <row r="36" spans="7:82" x14ac:dyDescent="0.25">
      <c r="G36" s="53"/>
      <c r="H36" s="11"/>
      <c r="I36" s="11"/>
      <c r="P36" s="53"/>
      <c r="V36" s="53"/>
      <c r="Y36" s="54"/>
      <c r="Z36" s="54"/>
      <c r="AA36" s="1"/>
      <c r="AC36" s="1"/>
      <c r="AG36" s="1"/>
      <c r="AH36" s="1"/>
      <c r="AI36" s="1"/>
      <c r="AJ36" s="1"/>
      <c r="AK36" s="1"/>
      <c r="AL36" s="1"/>
      <c r="AM36" s="1"/>
      <c r="AN36" s="56"/>
      <c r="AP36" s="1"/>
      <c r="AQ36" s="1"/>
      <c r="AR36" s="1"/>
      <c r="AS36" s="1"/>
      <c r="AT36" s="1"/>
      <c r="AU36" s="1"/>
      <c r="AV36" s="1"/>
      <c r="AW36" s="1"/>
      <c r="AX36" s="1"/>
      <c r="AY36" s="1"/>
      <c r="AZ36" s="1"/>
      <c r="BA36" s="1"/>
      <c r="BB36" s="56"/>
      <c r="BD36" s="1"/>
      <c r="BE36" s="1"/>
      <c r="BF36" s="1"/>
      <c r="BG36" s="1"/>
      <c r="BH36" s="1"/>
      <c r="BI36" s="1"/>
      <c r="BJ36" s="1"/>
      <c r="BK36" s="1"/>
      <c r="BL36" s="1"/>
      <c r="BM36" s="1"/>
      <c r="BN36" s="1"/>
      <c r="BO36" s="1"/>
      <c r="BP36" s="56"/>
      <c r="BR36" s="1"/>
      <c r="BS36" s="1"/>
      <c r="BT36" s="1"/>
      <c r="BU36" s="1"/>
      <c r="BV36" s="1"/>
      <c r="BW36" s="1"/>
      <c r="BX36" s="1"/>
      <c r="BY36" s="1"/>
      <c r="BZ36" s="1"/>
      <c r="CA36" s="1"/>
      <c r="CB36" s="1"/>
      <c r="CC36" s="1"/>
      <c r="CD36" s="56"/>
    </row>
    <row r="37" spans="7:82" x14ac:dyDescent="0.25">
      <c r="G37" s="53"/>
      <c r="H37" s="11"/>
      <c r="I37" s="11"/>
      <c r="P37" s="53"/>
      <c r="V37" s="53"/>
      <c r="Y37" s="54"/>
      <c r="Z37" s="54"/>
      <c r="AA37" s="1"/>
      <c r="AC37" s="1"/>
      <c r="AG37" s="1"/>
      <c r="AH37" s="1"/>
      <c r="AI37" s="1"/>
      <c r="AJ37" s="1"/>
      <c r="AK37" s="1"/>
      <c r="AL37" s="1"/>
      <c r="AM37" s="1"/>
      <c r="AN37" s="56"/>
      <c r="AP37" s="1"/>
      <c r="AQ37" s="1"/>
      <c r="AR37" s="1"/>
      <c r="AS37" s="1"/>
      <c r="AT37" s="1"/>
      <c r="AU37" s="1"/>
      <c r="AV37" s="1"/>
      <c r="AW37" s="1"/>
      <c r="AX37" s="1"/>
      <c r="AY37" s="1"/>
      <c r="AZ37" s="1"/>
      <c r="BA37" s="1"/>
      <c r="BB37" s="56"/>
      <c r="BD37" s="1"/>
      <c r="BE37" s="1"/>
      <c r="BF37" s="1"/>
      <c r="BG37" s="1"/>
      <c r="BH37" s="1"/>
      <c r="BI37" s="1"/>
      <c r="BJ37" s="1"/>
      <c r="BK37" s="1"/>
      <c r="BL37" s="1"/>
      <c r="BM37" s="1"/>
      <c r="BN37" s="1"/>
      <c r="BO37" s="1"/>
      <c r="BP37" s="56"/>
      <c r="BR37" s="1"/>
      <c r="BS37" s="1"/>
      <c r="BT37" s="1"/>
      <c r="BU37" s="1"/>
      <c r="BV37" s="1"/>
      <c r="BW37" s="1"/>
      <c r="BX37" s="1"/>
      <c r="BY37" s="1"/>
      <c r="BZ37" s="1"/>
      <c r="CA37" s="1"/>
      <c r="CB37" s="1"/>
      <c r="CC37" s="1"/>
      <c r="CD37" s="56"/>
    </row>
    <row r="38" spans="7:82" x14ac:dyDescent="0.25">
      <c r="G38" s="53"/>
      <c r="H38" s="11"/>
      <c r="I38" s="11"/>
      <c r="P38" s="53"/>
      <c r="V38" s="53"/>
      <c r="Y38" s="54"/>
      <c r="Z38" s="54"/>
      <c r="AA38" s="1"/>
      <c r="AC38" s="1"/>
      <c r="AG38" s="1"/>
      <c r="AH38" s="1"/>
      <c r="AI38" s="1"/>
      <c r="AJ38" s="1"/>
      <c r="AK38" s="1"/>
      <c r="AL38" s="1"/>
      <c r="AM38" s="1"/>
      <c r="AN38" s="56"/>
      <c r="AP38" s="1"/>
      <c r="AQ38" s="1"/>
      <c r="AR38" s="1"/>
      <c r="AS38" s="1"/>
      <c r="AT38" s="1"/>
      <c r="AU38" s="1"/>
      <c r="AV38" s="1"/>
      <c r="AW38" s="1"/>
      <c r="AX38" s="1"/>
      <c r="AY38" s="1"/>
      <c r="AZ38" s="1"/>
      <c r="BA38" s="1"/>
      <c r="BB38" s="56"/>
      <c r="BD38" s="1"/>
      <c r="BE38" s="1"/>
      <c r="BF38" s="1"/>
      <c r="BG38" s="1"/>
      <c r="BH38" s="1"/>
      <c r="BI38" s="1"/>
      <c r="BJ38" s="1"/>
      <c r="BK38" s="1"/>
      <c r="BL38" s="1"/>
      <c r="BM38" s="1"/>
      <c r="BN38" s="1"/>
      <c r="BO38" s="1"/>
      <c r="BP38" s="56"/>
      <c r="BR38" s="1"/>
      <c r="BS38" s="1"/>
      <c r="BT38" s="1"/>
      <c r="BU38" s="1"/>
      <c r="BV38" s="1"/>
      <c r="BW38" s="1"/>
      <c r="BX38" s="1"/>
      <c r="BY38" s="1"/>
      <c r="BZ38" s="1"/>
      <c r="CA38" s="1"/>
      <c r="CB38" s="1"/>
      <c r="CC38" s="1"/>
      <c r="CD38" s="56"/>
    </row>
    <row r="39" spans="7:82" x14ac:dyDescent="0.25">
      <c r="G39" s="53"/>
      <c r="H39" s="11"/>
      <c r="I39" s="11"/>
      <c r="P39" s="53"/>
      <c r="V39" s="53"/>
      <c r="Y39" s="54"/>
      <c r="Z39" s="54"/>
      <c r="AA39" s="1"/>
      <c r="AC39" s="1"/>
      <c r="AG39" s="1"/>
      <c r="AH39" s="1"/>
      <c r="AI39" s="1"/>
      <c r="AJ39" s="1"/>
      <c r="AK39" s="1"/>
      <c r="AL39" s="1"/>
      <c r="AM39" s="1"/>
      <c r="AN39" s="56"/>
      <c r="AP39" s="1"/>
      <c r="AQ39" s="1"/>
      <c r="AR39" s="1"/>
      <c r="AS39" s="1"/>
      <c r="AT39" s="1"/>
      <c r="AU39" s="1"/>
      <c r="AV39" s="1"/>
      <c r="AW39" s="1"/>
      <c r="AX39" s="1"/>
      <c r="AY39" s="1"/>
      <c r="AZ39" s="1"/>
      <c r="BA39" s="1"/>
      <c r="BB39" s="56"/>
      <c r="BD39" s="1"/>
      <c r="BE39" s="1"/>
      <c r="BF39" s="1"/>
      <c r="BG39" s="1"/>
      <c r="BH39" s="1"/>
      <c r="BI39" s="1"/>
      <c r="BJ39" s="1"/>
      <c r="BK39" s="1"/>
      <c r="BL39" s="1"/>
      <c r="BM39" s="1"/>
      <c r="BN39" s="1"/>
      <c r="BO39" s="1"/>
      <c r="BP39" s="56"/>
      <c r="BR39" s="1"/>
      <c r="BS39" s="1"/>
      <c r="BT39" s="1"/>
      <c r="BU39" s="1"/>
      <c r="BV39" s="1"/>
      <c r="BW39" s="1"/>
      <c r="BX39" s="1"/>
      <c r="BY39" s="1"/>
      <c r="BZ39" s="1"/>
      <c r="CA39" s="1"/>
      <c r="CB39" s="1"/>
      <c r="CC39" s="1"/>
      <c r="CD39" s="56"/>
    </row>
    <row r="40" spans="7:82" x14ac:dyDescent="0.25">
      <c r="G40" s="53"/>
      <c r="H40" s="11"/>
      <c r="I40" s="11"/>
      <c r="P40" s="53"/>
      <c r="V40" s="53"/>
      <c r="Y40" s="54"/>
      <c r="Z40" s="54"/>
      <c r="AA40" s="1"/>
      <c r="AC40" s="1"/>
      <c r="AG40" s="1"/>
      <c r="AH40" s="1"/>
      <c r="AI40" s="1"/>
      <c r="AJ40" s="1"/>
      <c r="AK40" s="1"/>
      <c r="AL40" s="1"/>
      <c r="AM40" s="1"/>
      <c r="AN40" s="56"/>
      <c r="AP40" s="1"/>
      <c r="AQ40" s="1"/>
      <c r="AR40" s="1"/>
      <c r="AS40" s="1"/>
      <c r="AT40" s="1"/>
      <c r="AU40" s="1"/>
      <c r="AV40" s="1"/>
      <c r="AW40" s="1"/>
      <c r="AX40" s="1"/>
      <c r="AY40" s="1"/>
      <c r="AZ40" s="1"/>
      <c r="BA40" s="1"/>
      <c r="BB40" s="56"/>
      <c r="BD40" s="1"/>
      <c r="BE40" s="1"/>
      <c r="BF40" s="1"/>
      <c r="BG40" s="1"/>
      <c r="BH40" s="1"/>
      <c r="BI40" s="1"/>
      <c r="BJ40" s="1"/>
      <c r="BK40" s="1"/>
      <c r="BL40" s="1"/>
      <c r="BM40" s="1"/>
      <c r="BN40" s="1"/>
      <c r="BO40" s="1"/>
      <c r="BP40" s="56"/>
      <c r="BR40" s="1"/>
      <c r="BS40" s="1"/>
      <c r="BT40" s="1"/>
      <c r="BU40" s="1"/>
      <c r="BV40" s="1"/>
      <c r="BW40" s="1"/>
      <c r="BX40" s="1"/>
      <c r="BY40" s="1"/>
      <c r="BZ40" s="1"/>
      <c r="CA40" s="1"/>
      <c r="CB40" s="1"/>
      <c r="CC40" s="1"/>
      <c r="CD40" s="56"/>
    </row>
    <row r="41" spans="7:82" x14ac:dyDescent="0.25">
      <c r="G41" s="53"/>
      <c r="H41" s="11"/>
      <c r="I41" s="11"/>
      <c r="P41" s="53"/>
      <c r="V41" s="53"/>
      <c r="Y41" s="54"/>
      <c r="Z41" s="54"/>
      <c r="AA41" s="1"/>
      <c r="AC41" s="1"/>
      <c r="AG41" s="1"/>
      <c r="AH41" s="1"/>
      <c r="AI41" s="1"/>
      <c r="AJ41" s="1"/>
      <c r="AK41" s="1"/>
      <c r="AL41" s="1"/>
      <c r="AM41" s="1"/>
      <c r="AN41" s="56"/>
      <c r="AP41" s="1"/>
      <c r="AQ41" s="1"/>
      <c r="AR41" s="1"/>
      <c r="AS41" s="1"/>
      <c r="AT41" s="1"/>
      <c r="AU41" s="1"/>
      <c r="AV41" s="1"/>
      <c r="AW41" s="1"/>
      <c r="AX41" s="1"/>
      <c r="AY41" s="1"/>
      <c r="AZ41" s="1"/>
      <c r="BA41" s="1"/>
      <c r="BB41" s="56"/>
      <c r="BD41" s="1"/>
      <c r="BE41" s="1"/>
      <c r="BF41" s="1"/>
      <c r="BG41" s="1"/>
      <c r="BH41" s="1"/>
      <c r="BI41" s="1"/>
      <c r="BJ41" s="1"/>
      <c r="BK41" s="1"/>
      <c r="BL41" s="1"/>
      <c r="BM41" s="1"/>
      <c r="BN41" s="1"/>
      <c r="BO41" s="1"/>
      <c r="BP41" s="56"/>
      <c r="BR41" s="1"/>
      <c r="BS41" s="1"/>
      <c r="BT41" s="1"/>
      <c r="BU41" s="1"/>
      <c r="BV41" s="1"/>
      <c r="BW41" s="1"/>
      <c r="BX41" s="1"/>
      <c r="BY41" s="1"/>
      <c r="BZ41" s="1"/>
      <c r="CA41" s="1"/>
      <c r="CB41" s="1"/>
      <c r="CC41" s="1"/>
      <c r="CD41" s="56"/>
    </row>
    <row r="42" spans="7:82" x14ac:dyDescent="0.25">
      <c r="G42" s="53"/>
      <c r="H42" s="11"/>
      <c r="I42" s="11"/>
      <c r="P42" s="53"/>
      <c r="V42" s="53"/>
      <c r="Z42" s="1"/>
      <c r="AA42" s="1"/>
      <c r="AB42" s="1"/>
    </row>
    <row r="43" spans="7:82" x14ac:dyDescent="0.25">
      <c r="G43" s="53"/>
      <c r="H43" s="11"/>
      <c r="I43" s="11"/>
      <c r="P43" s="53"/>
      <c r="V43" s="53"/>
      <c r="X43"/>
      <c r="Z43" s="1"/>
      <c r="AA43" s="1"/>
      <c r="AB43" s="1"/>
    </row>
    <row r="44" spans="7:82" x14ac:dyDescent="0.25">
      <c r="G44" s="53"/>
      <c r="H44" s="11"/>
      <c r="I44" s="11"/>
      <c r="P44" s="53"/>
      <c r="V44" s="53"/>
      <c r="Z44" s="1"/>
      <c r="AA44" s="1"/>
      <c r="AB44" s="1"/>
    </row>
    <row r="45" spans="7:82" x14ac:dyDescent="0.25">
      <c r="G45" s="53"/>
      <c r="H45" s="11"/>
      <c r="I45" s="11"/>
      <c r="P45" s="53"/>
      <c r="V45" s="53"/>
      <c r="Z45" s="1"/>
      <c r="AA45" s="1"/>
      <c r="AB45" s="1"/>
    </row>
    <row r="46" spans="7:82" x14ac:dyDescent="0.25">
      <c r="G46" s="53"/>
      <c r="P46" s="53"/>
      <c r="V46" s="53"/>
      <c r="X46"/>
      <c r="Z46" s="1"/>
      <c r="AA46" s="1"/>
      <c r="AB46" s="1"/>
    </row>
    <row r="47" spans="7:82" x14ac:dyDescent="0.25">
      <c r="G47" s="53"/>
      <c r="P47" s="53"/>
      <c r="V47" s="53"/>
      <c r="Z47" s="1"/>
      <c r="AA47" s="1"/>
      <c r="AB47" s="1"/>
    </row>
    <row r="48" spans="7:82" x14ac:dyDescent="0.25">
      <c r="G48" s="53"/>
      <c r="P48" s="53"/>
      <c r="V48" s="53"/>
      <c r="Z48" s="1"/>
      <c r="AA48" s="1"/>
      <c r="AB48" s="1"/>
    </row>
    <row r="49" spans="7:25" x14ac:dyDescent="0.25">
      <c r="G49" s="53"/>
      <c r="P49" s="53"/>
      <c r="V49" s="53"/>
    </row>
    <row r="50" spans="7:25" x14ac:dyDescent="0.25">
      <c r="G50" s="53"/>
      <c r="P50" s="53"/>
      <c r="V50" s="53"/>
    </row>
    <row r="51" spans="7:25" x14ac:dyDescent="0.25">
      <c r="G51" s="53"/>
      <c r="P51" s="53"/>
      <c r="V51" s="53"/>
    </row>
    <row r="52" spans="7:25" x14ac:dyDescent="0.25">
      <c r="G52" s="53"/>
      <c r="P52" s="53"/>
      <c r="V52" s="53"/>
    </row>
    <row r="53" spans="7:25" x14ac:dyDescent="0.25">
      <c r="G53" s="53"/>
      <c r="P53" s="53"/>
      <c r="V53" s="53"/>
    </row>
    <row r="54" spans="7:25" x14ac:dyDescent="0.25">
      <c r="G54" s="53"/>
      <c r="P54" s="53"/>
      <c r="V54" s="53"/>
      <c r="Y54"/>
    </row>
    <row r="55" spans="7:25" x14ac:dyDescent="0.25">
      <c r="G55" s="53"/>
      <c r="P55" s="53"/>
      <c r="V55" s="53"/>
      <c r="Y55"/>
    </row>
    <row r="56" spans="7:25" x14ac:dyDescent="0.25">
      <c r="G56" s="53"/>
      <c r="P56" s="53"/>
      <c r="V56" s="53"/>
      <c r="Y56"/>
    </row>
    <row r="57" spans="7:25" x14ac:dyDescent="0.25">
      <c r="G57" s="53"/>
      <c r="P57" s="53"/>
      <c r="V57" s="53"/>
      <c r="Y57"/>
    </row>
    <row r="58" spans="7:25" x14ac:dyDescent="0.25">
      <c r="G58" s="53"/>
      <c r="P58" s="53"/>
      <c r="V58" s="53"/>
      <c r="X58"/>
    </row>
    <row r="59" spans="7:25" x14ac:dyDescent="0.25">
      <c r="G59" s="53"/>
      <c r="P59" s="53"/>
      <c r="V59" s="53"/>
    </row>
    <row r="60" spans="7:25" x14ac:dyDescent="0.25">
      <c r="G60" s="53"/>
      <c r="P60" s="53"/>
      <c r="V60" s="53"/>
    </row>
    <row r="61" spans="7:25" x14ac:dyDescent="0.25">
      <c r="G61" s="53"/>
      <c r="P61" s="53"/>
      <c r="V61" s="53"/>
    </row>
    <row r="62" spans="7:25" x14ac:dyDescent="0.25">
      <c r="G62" s="53"/>
      <c r="P62" s="53"/>
      <c r="V62" s="53"/>
    </row>
    <row r="63" spans="7:25" x14ac:dyDescent="0.25">
      <c r="P63" s="53"/>
      <c r="V63" s="53"/>
    </row>
    <row r="64" spans="7:25" x14ac:dyDescent="0.25">
      <c r="P64" s="53"/>
      <c r="V64" s="53"/>
    </row>
    <row r="65" spans="16:25" x14ac:dyDescent="0.25">
      <c r="P65" s="53"/>
      <c r="V65" s="53"/>
    </row>
    <row r="66" spans="16:25" x14ac:dyDescent="0.25">
      <c r="P66" s="53"/>
      <c r="V66" s="53"/>
    </row>
    <row r="67" spans="16:25" x14ac:dyDescent="0.25">
      <c r="P67" s="53"/>
      <c r="V67" s="53"/>
    </row>
    <row r="68" spans="16:25" x14ac:dyDescent="0.25">
      <c r="P68" s="53"/>
      <c r="V68" s="53"/>
      <c r="Y68"/>
    </row>
    <row r="69" spans="16:25" x14ac:dyDescent="0.25">
      <c r="P69" s="53"/>
      <c r="Y69"/>
    </row>
    <row r="70" spans="16:25" x14ac:dyDescent="0.25">
      <c r="P70" s="53"/>
      <c r="Y70"/>
    </row>
    <row r="71" spans="16:25" x14ac:dyDescent="0.25">
      <c r="P71" s="53"/>
      <c r="Y71"/>
    </row>
    <row r="72" spans="16:25" x14ac:dyDescent="0.25">
      <c r="P72" s="53"/>
      <c r="Y72"/>
    </row>
    <row r="73" spans="16:25" x14ac:dyDescent="0.25">
      <c r="P73" s="53"/>
      <c r="Y73"/>
    </row>
    <row r="74" spans="16:25" x14ac:dyDescent="0.25">
      <c r="P74" s="53"/>
      <c r="Y74"/>
    </row>
    <row r="75" spans="16:25" x14ac:dyDescent="0.25">
      <c r="P75" s="53"/>
      <c r="Y75"/>
    </row>
    <row r="76" spans="16:25" x14ac:dyDescent="0.25">
      <c r="P76" s="53"/>
      <c r="Y76"/>
    </row>
    <row r="77" spans="16:25" x14ac:dyDescent="0.25">
      <c r="P77" s="53"/>
      <c r="Y77"/>
    </row>
    <row r="78" spans="16:25" x14ac:dyDescent="0.25">
      <c r="P78" s="53"/>
      <c r="Y78"/>
    </row>
    <row r="79" spans="16:25" x14ac:dyDescent="0.25">
      <c r="P79" s="53"/>
      <c r="Y79"/>
    </row>
    <row r="80" spans="16:25" x14ac:dyDescent="0.25">
      <c r="P80" s="53"/>
      <c r="Y80"/>
    </row>
    <row r="81" spans="16:25" x14ac:dyDescent="0.25">
      <c r="P81" s="53"/>
      <c r="Y81"/>
    </row>
    <row r="82" spans="16:25" x14ac:dyDescent="0.25">
      <c r="P82" s="53"/>
      <c r="Y82"/>
    </row>
    <row r="83" spans="16:25" x14ac:dyDescent="0.25">
      <c r="P83" s="53"/>
      <c r="Y83"/>
    </row>
    <row r="84" spans="16:25" x14ac:dyDescent="0.25">
      <c r="P84" s="53"/>
      <c r="Y84"/>
    </row>
    <row r="85" spans="16:25" x14ac:dyDescent="0.25">
      <c r="P85" s="53"/>
      <c r="Y85"/>
    </row>
    <row r="86" spans="16:25" x14ac:dyDescent="0.25">
      <c r="P86" s="53"/>
      <c r="Y86"/>
    </row>
    <row r="87" spans="16:25" x14ac:dyDescent="0.25">
      <c r="P87" s="53"/>
      <c r="Y87"/>
    </row>
    <row r="88" spans="16:25" x14ac:dyDescent="0.25">
      <c r="P88" s="53"/>
      <c r="Y88"/>
    </row>
    <row r="89" spans="16:25" x14ac:dyDescent="0.25">
      <c r="P89" s="53"/>
      <c r="Y89"/>
    </row>
    <row r="90" spans="16:25" x14ac:dyDescent="0.25">
      <c r="P90" s="53"/>
      <c r="Y90"/>
    </row>
    <row r="91" spans="16:25" x14ac:dyDescent="0.25">
      <c r="P91" s="53"/>
      <c r="Y91"/>
    </row>
    <row r="92" spans="16:25" x14ac:dyDescent="0.25">
      <c r="P92" s="53"/>
      <c r="Y92"/>
    </row>
    <row r="93" spans="16:25" x14ac:dyDescent="0.25">
      <c r="Y93"/>
    </row>
    <row r="94" spans="16:25" x14ac:dyDescent="0.25">
      <c r="Y94"/>
    </row>
    <row r="95" spans="16:25" x14ac:dyDescent="0.25">
      <c r="Y95"/>
    </row>
    <row r="96" spans="16:25" x14ac:dyDescent="0.25">
      <c r="Y96"/>
    </row>
    <row r="97" spans="25:25" x14ac:dyDescent="0.25">
      <c r="Y97"/>
    </row>
    <row r="98" spans="25:25" x14ac:dyDescent="0.25">
      <c r="Y98"/>
    </row>
    <row r="99" spans="25:25" x14ac:dyDescent="0.25">
      <c r="Y99"/>
    </row>
    <row r="100" spans="25:25" x14ac:dyDescent="0.25">
      <c r="Y100"/>
    </row>
    <row r="101" spans="25:25" x14ac:dyDescent="0.25">
      <c r="Y101"/>
    </row>
    <row r="102" spans="25:25" x14ac:dyDescent="0.25">
      <c r="Y102"/>
    </row>
    <row r="103" spans="25:25" x14ac:dyDescent="0.25">
      <c r="Y103"/>
    </row>
    <row r="104" spans="25:25" x14ac:dyDescent="0.25">
      <c r="Y104"/>
    </row>
  </sheetData>
  <mergeCells count="1">
    <mergeCell ref="H5:T5"/>
  </mergeCells>
  <conditionalFormatting sqref="K20:N20">
    <cfRule type="expression" dxfId="26" priority="3">
      <formula>COUNTIF($K20,2)</formula>
    </cfRule>
  </conditionalFormatting>
  <conditionalFormatting sqref="K9:V9">
    <cfRule type="cellIs" dxfId="25" priority="4" operator="greaterThan">
      <formula>$Y$5</formula>
    </cfRule>
    <cfRule type="cellIs" dxfId="24" priority="5" operator="between">
      <formula>$Y$8</formula>
      <formula>$Z$8</formula>
    </cfRule>
    <cfRule type="cellIs" dxfId="23" priority="6" operator="lessThan">
      <formula>$Y$9</formula>
    </cfRule>
  </conditionalFormatting>
  <conditionalFormatting sqref="L8:W8">
    <cfRule type="cellIs" dxfId="22" priority="2" operator="lessThan">
      <formula>0</formula>
    </cfRule>
  </conditionalFormatting>
  <conditionalFormatting sqref="L8:X8">
    <cfRule type="cellIs" dxfId="21" priority="1" operator="equal">
      <formula>0</formula>
    </cfRule>
  </conditionalFormatting>
  <dataValidations count="3">
    <dataValidation type="list" allowBlank="1" showInputMessage="1" showErrorMessage="1" sqref="I8" xr:uid="{A68D0561-B5B7-42CD-AEA1-06121AA1F48F}">
      <formula1>list_item_name</formula1>
    </dataValidation>
    <dataValidation type="list" allowBlank="1" showInputMessage="1" showErrorMessage="1" sqref="H8" xr:uid="{59B37413-5EC0-4C94-B084-6C8BE1D4C5D8}">
      <formula1>list_acct_name</formula1>
    </dataValidation>
    <dataValidation type="list" allowBlank="1" showInputMessage="1" showErrorMessage="1" sqref="C8" xr:uid="{56DCA624-E171-4D08-A0B0-7BFA4EC2D60E}">
      <formula1>list_src_name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Refresh_Lia_Plan">
                <anchor moveWithCells="1" sizeWithCells="1">
                  <from>
                    <xdr:col>1</xdr:col>
                    <xdr:colOff>447675</xdr:colOff>
                    <xdr:row>4</xdr:row>
                    <xdr:rowOff>9525</xdr:rowOff>
                  </from>
                  <to>
                    <xdr:col>1</xdr:col>
                    <xdr:colOff>1704975</xdr:colOff>
                    <xdr:row>6</xdr:row>
                    <xdr:rowOff>180975</xdr:rowOff>
                  </to>
                </anchor>
              </controlPr>
            </control>
          </mc:Choice>
        </mc:AlternateContent>
        <mc:AlternateContent xmlns:mc="http://schemas.openxmlformats.org/markup-compatibility/2006">
          <mc:Choice Requires="x14">
            <control shapeId="91138" r:id="rId5" name="Button 2">
              <controlPr defaultSize="0" print="0" autoFill="0" autoPict="0" macro="[0]!Summary_All_Refresh">
                <anchor moveWithCells="1" sizeWithCells="1">
                  <from>
                    <xdr:col>1</xdr:col>
                    <xdr:colOff>485775</xdr:colOff>
                    <xdr:row>8</xdr:row>
                    <xdr:rowOff>19050</xdr:rowOff>
                  </from>
                  <to>
                    <xdr:col>1</xdr:col>
                    <xdr:colOff>1704975</xdr:colOff>
                    <xdr:row>10</xdr:row>
                    <xdr:rowOff>104775</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8F76D-3081-468E-A5E8-257FFDBE8931}">
  <sheetPr codeName="Sheet12">
    <tabColor theme="9" tint="0.39997558519241921"/>
  </sheetPr>
  <dimension ref="B1:FR104"/>
  <sheetViews>
    <sheetView showGridLines="0" workbookViewId="0">
      <pane xSplit="2" topLeftCell="C1" activePane="topRight" state="frozen"/>
      <selection activeCell="J9" sqref="J9"/>
      <selection pane="topRight" activeCell="H19" sqref="H19"/>
    </sheetView>
  </sheetViews>
  <sheetFormatPr defaultColWidth="12.7109375" defaultRowHeight="15" outlineLevelCol="1" x14ac:dyDescent="0.25"/>
  <cols>
    <col min="1" max="1" width="1.85546875" customWidth="1"/>
    <col min="2" max="2" width="34.42578125" customWidth="1"/>
    <col min="3" max="3" width="12.85546875" customWidth="1"/>
    <col min="4" max="4" width="8.7109375" customWidth="1"/>
    <col min="5" max="7" width="12.7109375" hidden="1" customWidth="1" outlineLevel="1"/>
    <col min="8" max="8" width="24.140625" customWidth="1" collapsed="1"/>
    <col min="9" max="9" width="25" customWidth="1"/>
    <col min="10" max="10" width="30.7109375" hidden="1" customWidth="1" outlineLevel="1"/>
    <col min="11" max="11" width="12.7109375" hidden="1" customWidth="1" outlineLevel="1"/>
    <col min="12" max="12" width="15.7109375" customWidth="1" collapsed="1"/>
    <col min="13" max="23" width="15.7109375" style="1" customWidth="1"/>
    <col min="24" max="24" width="15" style="1" customWidth="1"/>
    <col min="25" max="25" width="14" style="1" customWidth="1"/>
    <col min="26" max="26" width="16.2851562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340</v>
      </c>
      <c r="C2" s="72"/>
    </row>
    <row r="3" spans="2:174" s="71" customFormat="1" x14ac:dyDescent="0.25">
      <c r="C3" s="72"/>
    </row>
    <row r="4" spans="2:174" ht="15.75" x14ac:dyDescent="0.25">
      <c r="X4" s="61"/>
      <c r="Y4"/>
      <c r="Z4" s="70"/>
      <c r="AA4" s="69"/>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15.75" x14ac:dyDescent="0.25">
      <c r="H5" s="366"/>
      <c r="I5" s="366"/>
      <c r="J5" s="366"/>
      <c r="K5" s="366"/>
      <c r="L5" s="366"/>
      <c r="M5" s="366"/>
      <c r="N5" s="366"/>
      <c r="O5" s="366"/>
      <c r="P5" s="366"/>
      <c r="Q5" s="366"/>
      <c r="R5" s="366"/>
      <c r="S5" s="366"/>
      <c r="T5" s="366"/>
      <c r="V5" s="15"/>
      <c r="W5" s="15"/>
      <c r="X5" s="67" t="s">
        <v>168</v>
      </c>
      <c r="Y5" s="18">
        <v>100</v>
      </c>
      <c r="Z5" s="18"/>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5.75" x14ac:dyDescent="0.25">
      <c r="H6" s="63"/>
      <c r="I6" s="63"/>
      <c r="J6" s="63"/>
      <c r="K6" s="63"/>
      <c r="L6" s="63"/>
      <c r="M6" s="63"/>
      <c r="N6" s="63"/>
      <c r="O6" s="63"/>
      <c r="P6" s="63"/>
      <c r="Q6" s="63"/>
      <c r="R6" s="63"/>
      <c r="S6" s="63"/>
      <c r="T6" s="63"/>
      <c r="V6" s="15"/>
      <c r="W6" s="15"/>
      <c r="X6" s="67"/>
      <c r="Y6" s="18"/>
      <c r="Z6" s="18"/>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5.75" x14ac:dyDescent="0.25">
      <c r="K7" s="18"/>
      <c r="L7" s="18"/>
      <c r="M7" s="18"/>
      <c r="N7" s="18"/>
      <c r="O7" s="18"/>
      <c r="P7" s="18"/>
      <c r="Q7" s="18"/>
      <c r="R7" s="18"/>
      <c r="S7" s="18"/>
      <c r="T7" s="18"/>
      <c r="U7" s="18"/>
      <c r="V7" s="18"/>
      <c r="W7" s="15"/>
      <c r="X7" s="67"/>
      <c r="Y7" s="18"/>
      <c r="Z7" s="18"/>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15.75" x14ac:dyDescent="0.25">
      <c r="M8"/>
      <c r="N8"/>
      <c r="O8"/>
      <c r="P8"/>
      <c r="Q8"/>
      <c r="R8"/>
      <c r="S8"/>
      <c r="T8"/>
      <c r="U8"/>
      <c r="V8"/>
      <c r="W8" s="63"/>
      <c r="X8" s="66" t="s">
        <v>167</v>
      </c>
      <c r="Y8" s="18">
        <v>0</v>
      </c>
      <c r="Z8" s="18">
        <v>100</v>
      </c>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15.75" x14ac:dyDescent="0.25">
      <c r="K9" s="65"/>
      <c r="L9" s="65"/>
      <c r="M9" s="65"/>
      <c r="N9" s="65"/>
      <c r="O9" s="65"/>
      <c r="P9" s="65"/>
      <c r="Q9" s="65"/>
      <c r="R9" s="65"/>
      <c r="S9" s="65"/>
      <c r="T9" s="65"/>
      <c r="U9" s="65"/>
      <c r="V9" s="65"/>
      <c r="W9" s="62"/>
      <c r="X9" s="64" t="s">
        <v>166</v>
      </c>
      <c r="Y9" s="18">
        <v>100</v>
      </c>
      <c r="Z9" s="18"/>
      <c r="AA9" s="62"/>
      <c r="AB9" s="62"/>
      <c r="AC9" s="62"/>
      <c r="AD9" s="62"/>
      <c r="AE9" s="62"/>
      <c r="AF9" s="62"/>
      <c r="AG9" s="62"/>
      <c r="AH9" s="63"/>
      <c r="AJ9" s="62"/>
      <c r="AK9" s="62"/>
      <c r="AL9" s="62"/>
      <c r="AM9" s="62"/>
      <c r="AN9" s="62"/>
      <c r="AO9" s="62"/>
      <c r="AP9" s="62"/>
      <c r="AQ9" s="62"/>
      <c r="AR9" s="62"/>
      <c r="AS9" s="62"/>
      <c r="AT9" s="62"/>
      <c r="AU9" s="62"/>
      <c r="AV9" s="63"/>
      <c r="AX9" s="62"/>
      <c r="AY9" s="62"/>
      <c r="AZ9" s="62"/>
      <c r="BA9" s="62"/>
      <c r="BB9" s="62"/>
      <c r="BC9" s="62"/>
      <c r="BD9" s="62"/>
      <c r="BE9" s="62"/>
      <c r="BF9" s="62"/>
      <c r="BG9" s="62"/>
      <c r="BH9" s="62"/>
      <c r="BI9" s="62"/>
      <c r="BJ9" s="63"/>
      <c r="BL9" s="62"/>
      <c r="BM9" s="62"/>
      <c r="BN9" s="62"/>
      <c r="BO9" s="62"/>
      <c r="BP9" s="62"/>
      <c r="BQ9" s="62"/>
      <c r="BR9" s="62"/>
      <c r="BS9" s="62"/>
      <c r="BT9" s="62"/>
      <c r="BU9" s="62"/>
      <c r="BV9" s="62"/>
      <c r="BW9" s="62"/>
      <c r="BX9" s="63"/>
      <c r="BZ9" s="62"/>
      <c r="CA9" s="62"/>
      <c r="CB9" s="62"/>
      <c r="CC9" s="62"/>
      <c r="CD9" s="62"/>
      <c r="CE9" s="62"/>
      <c r="CF9" s="62"/>
      <c r="CG9" s="62"/>
      <c r="CH9" s="62"/>
      <c r="CI9" s="62"/>
      <c r="CJ9" s="62"/>
      <c r="CK9" s="62"/>
      <c r="CL9" s="63"/>
      <c r="CN9" s="62"/>
      <c r="CO9" s="62"/>
      <c r="CP9" s="62"/>
      <c r="CQ9" s="62"/>
      <c r="CR9" s="62"/>
      <c r="CS9" s="62"/>
      <c r="CT9" s="62"/>
      <c r="CU9" s="62"/>
      <c r="CV9" s="62"/>
      <c r="CW9" s="62"/>
      <c r="CX9" s="62"/>
      <c r="CY9" s="62"/>
      <c r="CZ9" s="63"/>
      <c r="DB9" s="62"/>
      <c r="DC9" s="62"/>
      <c r="DD9" s="62"/>
      <c r="DE9" s="62"/>
      <c r="DF9" s="62"/>
      <c r="DG9" s="62"/>
      <c r="DH9" s="62"/>
      <c r="DI9" s="62"/>
      <c r="DJ9" s="62"/>
      <c r="DK9" s="62"/>
      <c r="DL9" s="62"/>
      <c r="DM9" s="62"/>
      <c r="DN9" s="63"/>
      <c r="DP9" s="62"/>
      <c r="DQ9" s="62"/>
      <c r="DR9" s="62"/>
      <c r="DS9" s="62"/>
      <c r="DT9" s="62"/>
      <c r="DU9" s="62"/>
      <c r="DV9" s="62"/>
      <c r="DW9" s="62"/>
      <c r="DX9" s="62"/>
      <c r="DY9" s="62"/>
      <c r="DZ9" s="62"/>
      <c r="EA9" s="62"/>
      <c r="EB9" s="63"/>
      <c r="ED9" s="62"/>
      <c r="EE9" s="62"/>
      <c r="EF9" s="62"/>
      <c r="EG9" s="62"/>
      <c r="EH9" s="62"/>
      <c r="EI9" s="62"/>
      <c r="EJ9" s="62"/>
      <c r="EK9" s="62"/>
      <c r="EL9" s="62"/>
      <c r="EM9" s="62"/>
      <c r="EN9" s="62"/>
      <c r="EO9" s="62"/>
      <c r="EP9" s="63"/>
      <c r="ER9" s="62"/>
      <c r="ES9" s="62"/>
      <c r="ET9" s="62"/>
      <c r="EU9" s="62"/>
      <c r="EV9" s="62"/>
      <c r="EW9" s="62"/>
      <c r="EX9" s="62"/>
      <c r="EY9" s="62"/>
      <c r="EZ9" s="62"/>
      <c r="FA9" s="62"/>
      <c r="FB9" s="62"/>
      <c r="FC9" s="62"/>
      <c r="FD9" s="63"/>
      <c r="FF9" s="62"/>
      <c r="FG9" s="62"/>
      <c r="FH9" s="62"/>
      <c r="FI9" s="62"/>
      <c r="FJ9" s="62"/>
      <c r="FK9" s="62"/>
      <c r="FL9" s="62"/>
      <c r="FM9" s="62"/>
      <c r="FN9" s="62"/>
      <c r="FO9" s="62"/>
      <c r="FP9" s="62"/>
      <c r="FQ9" s="62"/>
      <c r="FR9" s="63"/>
    </row>
    <row r="10" spans="2:174" x14ac:dyDescent="0.25">
      <c r="V10"/>
      <c r="W10"/>
      <c r="Z10" s="1"/>
      <c r="AA10" s="1"/>
      <c r="AB10" s="1"/>
      <c r="AC10" s="1"/>
      <c r="AD10" s="1"/>
      <c r="AE10" s="1"/>
      <c r="AF10" s="1"/>
      <c r="AG10" s="1"/>
      <c r="AH10" s="1"/>
      <c r="AI10" s="1"/>
      <c r="AJ10" s="56"/>
      <c r="AM10" s="1"/>
      <c r="AN10" s="1"/>
      <c r="AO10" s="1"/>
      <c r="AP10" s="1"/>
      <c r="AQ10" s="1"/>
      <c r="AR10" s="1"/>
      <c r="AS10" s="1"/>
      <c r="AT10" s="1"/>
      <c r="AU10" s="1"/>
      <c r="AV10" s="1"/>
      <c r="AW10" s="1"/>
      <c r="AX10" s="56"/>
      <c r="AZ10" s="1"/>
      <c r="BA10" s="1"/>
      <c r="BB10" s="1"/>
      <c r="BC10" s="1"/>
      <c r="BD10" s="1"/>
      <c r="BE10" s="1"/>
      <c r="BF10" s="1"/>
      <c r="BG10" s="1"/>
      <c r="BH10" s="1"/>
      <c r="BI10" s="1"/>
      <c r="BJ10" s="1"/>
      <c r="BK10" s="1"/>
      <c r="BL10" s="56"/>
      <c r="BN10" s="1"/>
      <c r="BO10" s="1"/>
      <c r="BP10" s="1"/>
      <c r="BQ10" s="1"/>
      <c r="BR10" s="1"/>
      <c r="BS10" s="1"/>
      <c r="BT10" s="1"/>
      <c r="BU10" s="1"/>
      <c r="BV10" s="1"/>
      <c r="BW10" s="1"/>
      <c r="BX10" s="1"/>
      <c r="BY10" s="1"/>
      <c r="BZ10" s="56"/>
    </row>
    <row r="11" spans="2:174" ht="15.75" x14ac:dyDescent="0.25">
      <c r="C11" s="18" t="s">
        <v>255</v>
      </c>
      <c r="D11" s="18" t="s">
        <v>165</v>
      </c>
      <c r="E11" s="18" t="s">
        <v>164</v>
      </c>
      <c r="F11" s="18" t="s">
        <v>163</v>
      </c>
      <c r="G11" s="18" t="s">
        <v>162</v>
      </c>
      <c r="H11" s="18" t="s">
        <v>19</v>
      </c>
      <c r="I11" s="18" t="s">
        <v>174</v>
      </c>
      <c r="J11" s="18" t="s">
        <v>184</v>
      </c>
      <c r="K11" s="18" t="s">
        <v>161</v>
      </c>
      <c r="L11" s="62" t="s">
        <v>108</v>
      </c>
      <c r="M11" s="62" t="s">
        <v>109</v>
      </c>
      <c r="N11" s="62" t="s">
        <v>110</v>
      </c>
      <c r="O11" s="62" t="s">
        <v>111</v>
      </c>
      <c r="P11" s="62" t="s">
        <v>112</v>
      </c>
      <c r="Q11" s="62" t="s">
        <v>124</v>
      </c>
      <c r="R11" s="62" t="s">
        <v>160</v>
      </c>
      <c r="S11" s="62" t="s">
        <v>159</v>
      </c>
      <c r="T11" s="62" t="s">
        <v>158</v>
      </c>
      <c r="U11" s="62" t="s">
        <v>157</v>
      </c>
      <c r="V11" s="62" t="s">
        <v>156</v>
      </c>
      <c r="W11" s="62" t="s">
        <v>113</v>
      </c>
      <c r="X11" s="62" t="s">
        <v>18</v>
      </c>
      <c r="Y11" s="61"/>
      <c r="Z11" s="61"/>
      <c r="AA11" s="15"/>
      <c r="AB11" s="15"/>
      <c r="AC11" s="15"/>
      <c r="AD11" s="15"/>
      <c r="AE11" s="15"/>
      <c r="AF11" s="15"/>
      <c r="AG11" s="15"/>
      <c r="AH11" s="15"/>
      <c r="AI11" s="15"/>
      <c r="AJ11" s="15"/>
      <c r="AK11" s="15"/>
      <c r="AL11" s="15"/>
      <c r="AM11" s="60"/>
      <c r="AN11" s="56"/>
      <c r="AP11" s="1"/>
      <c r="AQ11" s="1"/>
      <c r="AR11" s="1"/>
      <c r="AS11" s="1"/>
      <c r="AT11" s="1"/>
      <c r="AU11" s="1"/>
      <c r="AV11" s="1"/>
      <c r="AW11" s="1"/>
      <c r="AX11" s="1"/>
      <c r="AY11" s="1"/>
      <c r="AZ11" s="1"/>
      <c r="BA11" s="1"/>
      <c r="BB11" s="56"/>
      <c r="BD11" s="1"/>
      <c r="BE11" s="1"/>
      <c r="BF11" s="1"/>
      <c r="BG11" s="1"/>
      <c r="BH11" s="1"/>
      <c r="BI11" s="1"/>
      <c r="BJ11" s="1"/>
      <c r="BK11" s="1"/>
      <c r="BL11" s="1"/>
      <c r="BM11" s="1"/>
      <c r="BN11" s="1"/>
      <c r="BO11" s="1"/>
      <c r="BP11" s="56"/>
      <c r="BR11" s="1"/>
      <c r="BS11" s="1"/>
      <c r="BT11" s="1"/>
      <c r="BU11" s="1"/>
      <c r="BV11" s="1"/>
      <c r="BW11" s="1"/>
      <c r="BX11" s="1"/>
      <c r="BY11" s="1"/>
      <c r="BZ11" s="1"/>
      <c r="CA11" s="1"/>
      <c r="CB11" s="1"/>
      <c r="CC11" s="1"/>
      <c r="CD11" s="56"/>
    </row>
    <row r="12" spans="2:174" x14ac:dyDescent="0.25">
      <c r="C12" s="55" t="s">
        <v>607</v>
      </c>
      <c r="D12" s="265">
        <v>2026</v>
      </c>
      <c r="E12" s="11"/>
      <c r="F12" s="11"/>
      <c r="G12" s="11"/>
      <c r="H12" s="41" t="str">
        <f>_xlfn.XLOOKUP(Inc_Plan[[#This Row],[Item]],item_ref[Item],item_ref[Account],"data missing",0)</f>
        <v>Salary Revenue</v>
      </c>
      <c r="I12" t="s">
        <v>193</v>
      </c>
      <c r="L12" s="40">
        <v>3250</v>
      </c>
      <c r="M12" s="40">
        <v>3250</v>
      </c>
      <c r="N12" s="40">
        <v>3250</v>
      </c>
      <c r="O12" s="40">
        <v>3250</v>
      </c>
      <c r="P12" s="40">
        <v>3250</v>
      </c>
      <c r="Q12" s="40">
        <v>3250</v>
      </c>
      <c r="R12" s="40">
        <v>3250</v>
      </c>
      <c r="S12" s="40">
        <v>3250</v>
      </c>
      <c r="T12" s="40">
        <v>3250</v>
      </c>
      <c r="U12" s="40">
        <v>3250</v>
      </c>
      <c r="V12" s="40">
        <v>3250</v>
      </c>
      <c r="W12" s="40">
        <v>3250</v>
      </c>
      <c r="X12" s="40">
        <f>SUM(Inc_Plan[[#This Row],[Jan]:[Dec]])</f>
        <v>39000</v>
      </c>
      <c r="Y12" s="54"/>
      <c r="Z12" s="54"/>
      <c r="AA12" s="1"/>
      <c r="AU12" s="1"/>
      <c r="AV12" s="1"/>
      <c r="AW12" s="1"/>
      <c r="AX12" s="1"/>
      <c r="AY12" s="1"/>
      <c r="AZ12" s="1"/>
      <c r="BA12" s="1"/>
      <c r="BB12" s="56"/>
      <c r="BD12" s="1"/>
      <c r="BE12" s="1"/>
      <c r="BF12" s="1"/>
      <c r="BG12" s="1"/>
      <c r="BH12" s="1"/>
      <c r="BI12" s="1"/>
      <c r="BJ12" s="1"/>
      <c r="BK12" s="1"/>
      <c r="BL12" s="1"/>
      <c r="BM12" s="1"/>
      <c r="BN12" s="1"/>
      <c r="BO12" s="1"/>
      <c r="BP12" s="56"/>
      <c r="BR12" s="1"/>
      <c r="BS12" s="1"/>
      <c r="BT12" s="1"/>
      <c r="BU12" s="1"/>
      <c r="BV12" s="1"/>
      <c r="BW12" s="1"/>
      <c r="BX12" s="1"/>
      <c r="BY12" s="1"/>
      <c r="BZ12" s="1"/>
      <c r="CA12" s="1"/>
      <c r="CB12" s="1"/>
      <c r="CC12" s="1"/>
      <c r="CD12" s="56"/>
    </row>
    <row r="13" spans="2:174" x14ac:dyDescent="0.25">
      <c r="C13" s="55" t="s">
        <v>607</v>
      </c>
      <c r="D13" s="265">
        <v>2026</v>
      </c>
      <c r="E13" s="11"/>
      <c r="F13" s="11"/>
      <c r="G13" s="11"/>
      <c r="H13" s="41" t="str">
        <f>_xlfn.XLOOKUP(Inc_Plan[[#This Row],[Item]],item_ref[Item],item_ref[Account],"data missing",0)</f>
        <v>Gift Revenue</v>
      </c>
      <c r="I13" t="s">
        <v>348</v>
      </c>
      <c r="L13" s="40"/>
      <c r="M13" s="40"/>
      <c r="N13" s="40"/>
      <c r="O13" s="40"/>
      <c r="P13" s="40"/>
      <c r="Q13" s="40"/>
      <c r="R13" s="40"/>
      <c r="S13" s="40"/>
      <c r="T13" s="40">
        <v>500</v>
      </c>
      <c r="U13" s="40"/>
      <c r="V13" s="40"/>
      <c r="W13" s="40">
        <v>500</v>
      </c>
      <c r="X13" s="54">
        <f>SUM(Inc_Plan[[#This Row],[Jan]:[Dec]])</f>
        <v>1000</v>
      </c>
      <c r="Y13" s="54"/>
      <c r="Z13" s="54"/>
      <c r="AA13" s="1"/>
      <c r="AD13">
        <v>22.5</v>
      </c>
      <c r="AE13">
        <v>15</v>
      </c>
      <c r="AU13" s="1"/>
      <c r="AV13" s="1"/>
      <c r="AW13" s="1"/>
      <c r="AX13" s="1"/>
      <c r="AY13" s="1"/>
      <c r="AZ13" s="1"/>
      <c r="BA13" s="1"/>
      <c r="BB13" s="56"/>
      <c r="BD13" s="1"/>
      <c r="BE13" s="1"/>
      <c r="BF13" s="1"/>
      <c r="BG13" s="1"/>
      <c r="BH13" s="1"/>
      <c r="BI13" s="1"/>
      <c r="BJ13" s="1"/>
      <c r="BK13" s="1"/>
      <c r="BL13" s="1"/>
      <c r="BM13" s="1"/>
      <c r="BN13" s="1"/>
      <c r="BO13" s="1"/>
      <c r="BP13" s="56"/>
      <c r="BR13" s="1"/>
      <c r="BS13" s="1"/>
      <c r="BT13" s="1"/>
      <c r="BU13" s="1"/>
      <c r="BV13" s="1"/>
      <c r="BW13" s="1"/>
      <c r="BX13" s="1"/>
      <c r="BY13" s="1"/>
      <c r="BZ13" s="1"/>
      <c r="CA13" s="1"/>
      <c r="CB13" s="1"/>
      <c r="CC13" s="1"/>
      <c r="CD13" s="56"/>
    </row>
    <row r="14" spans="2:174" x14ac:dyDescent="0.25">
      <c r="C14" s="55" t="s">
        <v>607</v>
      </c>
      <c r="D14" s="265">
        <v>2026</v>
      </c>
      <c r="E14" s="11"/>
      <c r="F14" s="11"/>
      <c r="G14" s="11"/>
      <c r="H14" s="41" t="str">
        <f>_xlfn.XLOOKUP(Inc_Plan[[#This Row],[Item]],item_ref[Item],item_ref[Account],"data missing",0)</f>
        <v>Loans - OSAP</v>
      </c>
      <c r="I14" t="s">
        <v>343</v>
      </c>
      <c r="L14" s="40"/>
      <c r="M14" s="40"/>
      <c r="N14" s="40"/>
      <c r="O14" s="40"/>
      <c r="P14" s="40"/>
      <c r="Q14" s="40"/>
      <c r="R14" s="40"/>
      <c r="S14" s="40"/>
      <c r="T14" s="40"/>
      <c r="U14" s="40"/>
      <c r="V14" s="40"/>
      <c r="W14" s="40"/>
      <c r="X14" s="40">
        <f>SUM(Inc_Plan[[#This Row],[Jan]:[Dec]])</f>
        <v>0</v>
      </c>
      <c r="Y14" s="54"/>
      <c r="Z14" s="54"/>
      <c r="AA14" s="1"/>
      <c r="AU14" s="1"/>
      <c r="AV14" s="1"/>
      <c r="AW14" s="1"/>
      <c r="AX14" s="1"/>
      <c r="AY14" s="1"/>
      <c r="AZ14" s="1"/>
      <c r="BA14" s="1"/>
      <c r="BB14" s="56"/>
      <c r="BD14" s="1"/>
      <c r="BE14" s="1"/>
      <c r="BF14" s="1"/>
      <c r="BG14" s="1"/>
      <c r="BH14" s="1"/>
      <c r="BI14" s="1"/>
      <c r="BJ14" s="1"/>
      <c r="BK14" s="1"/>
      <c r="BL14" s="1"/>
      <c r="BM14" s="1"/>
      <c r="BN14" s="1"/>
      <c r="BO14" s="1"/>
      <c r="BP14" s="56"/>
      <c r="BR14" s="1"/>
      <c r="BS14" s="1"/>
      <c r="BT14" s="1"/>
      <c r="BU14" s="1"/>
      <c r="BV14" s="1"/>
      <c r="BW14" s="1"/>
      <c r="BX14" s="1"/>
      <c r="BY14" s="1"/>
      <c r="BZ14" s="1"/>
      <c r="CA14" s="1"/>
      <c r="CB14" s="1"/>
      <c r="CC14" s="1"/>
      <c r="CD14" s="56"/>
    </row>
    <row r="15" spans="2:174" x14ac:dyDescent="0.25">
      <c r="M15" s="1" t="s">
        <v>130</v>
      </c>
      <c r="Y15" s="54"/>
      <c r="Z15" s="54"/>
      <c r="AA15" s="1"/>
      <c r="AU15" s="1"/>
      <c r="AV15" s="1"/>
      <c r="AW15" s="1"/>
      <c r="AX15" s="1"/>
      <c r="AY15" s="1"/>
      <c r="AZ15" s="1"/>
      <c r="BA15" s="1"/>
      <c r="BB15" s="56"/>
      <c r="BD15" s="1"/>
      <c r="BE15" s="1"/>
      <c r="BF15" s="1"/>
      <c r="BG15" s="1"/>
      <c r="BH15" s="1"/>
      <c r="BI15" s="1"/>
      <c r="BJ15" s="1"/>
      <c r="BK15" s="1"/>
      <c r="BL15" s="1"/>
      <c r="BM15" s="1"/>
      <c r="BN15" s="1"/>
      <c r="BO15" s="1"/>
      <c r="BP15" s="56"/>
      <c r="BR15" s="1"/>
      <c r="BS15" s="1"/>
      <c r="BT15" s="1"/>
      <c r="BU15" s="1"/>
      <c r="BV15" s="1"/>
      <c r="BW15" s="1"/>
      <c r="BX15" s="1"/>
      <c r="BY15" s="1"/>
      <c r="BZ15" s="1"/>
      <c r="CA15" s="1"/>
      <c r="CB15" s="1"/>
      <c r="CC15" s="1"/>
      <c r="CD15" s="56"/>
    </row>
    <row r="16" spans="2:174" x14ac:dyDescent="0.25">
      <c r="Y16" s="54"/>
      <c r="Z16" s="54"/>
      <c r="AA16" s="1"/>
      <c r="AU16" s="1"/>
      <c r="AV16" s="1"/>
      <c r="AW16" s="1"/>
      <c r="AX16" s="1"/>
      <c r="AY16" s="1"/>
      <c r="AZ16" s="1"/>
      <c r="BA16" s="1"/>
      <c r="BB16" s="56"/>
      <c r="BD16" s="1"/>
      <c r="BE16" s="1"/>
      <c r="BF16" s="1"/>
      <c r="BG16" s="1"/>
      <c r="BH16" s="1"/>
      <c r="BI16" s="1"/>
      <c r="BJ16" s="1"/>
      <c r="BK16" s="1"/>
      <c r="BL16" s="1"/>
      <c r="BM16" s="1"/>
      <c r="BN16" s="1"/>
      <c r="BO16" s="1"/>
      <c r="BP16" s="56"/>
      <c r="BR16" s="1"/>
      <c r="BS16" s="1"/>
      <c r="BT16" s="1"/>
      <c r="BU16" s="1"/>
      <c r="BV16" s="1"/>
      <c r="BW16" s="1"/>
      <c r="BX16" s="1"/>
      <c r="BY16" s="1"/>
      <c r="BZ16" s="1"/>
      <c r="CA16" s="1"/>
      <c r="CB16" s="1"/>
      <c r="CC16" s="1"/>
      <c r="CD16" s="56"/>
    </row>
    <row r="17" spans="7:82" x14ac:dyDescent="0.25">
      <c r="Y17" s="54"/>
      <c r="Z17" s="54"/>
      <c r="AA17" s="1"/>
      <c r="AU17" s="1"/>
      <c r="AV17" s="1"/>
      <c r="AW17" s="1"/>
      <c r="AX17" s="1"/>
      <c r="AY17" s="1"/>
      <c r="AZ17" s="1"/>
      <c r="BA17" s="1"/>
      <c r="BB17" s="56"/>
      <c r="BD17" s="1"/>
      <c r="BE17" s="1"/>
      <c r="BF17" s="1"/>
      <c r="BG17" s="1"/>
      <c r="BH17" s="1"/>
      <c r="BI17" s="1"/>
      <c r="BJ17" s="1"/>
      <c r="BK17" s="1"/>
      <c r="BL17" s="1"/>
      <c r="BM17" s="1"/>
      <c r="BN17" s="1"/>
      <c r="BO17" s="1"/>
      <c r="BP17" s="56"/>
      <c r="BR17" s="1"/>
      <c r="BS17" s="1"/>
      <c r="BT17" s="1"/>
      <c r="BU17" s="1"/>
      <c r="BV17" s="1"/>
      <c r="BW17" s="1"/>
      <c r="BX17" s="1"/>
      <c r="BY17" s="1"/>
      <c r="BZ17" s="1"/>
      <c r="CA17" s="1"/>
      <c r="CB17" s="1"/>
      <c r="CC17" s="1"/>
      <c r="CD17" s="56"/>
    </row>
    <row r="18" spans="7:82" x14ac:dyDescent="0.25">
      <c r="R18"/>
      <c r="Y18" s="54"/>
      <c r="Z18" s="54"/>
      <c r="AA18" s="1"/>
      <c r="AC18">
        <v>22</v>
      </c>
      <c r="AU18" s="1"/>
      <c r="AV18" s="1"/>
      <c r="AW18" s="1"/>
      <c r="AX18" s="1"/>
      <c r="AY18" s="1"/>
      <c r="AZ18" s="1"/>
      <c r="BA18" s="1"/>
      <c r="BB18" s="56"/>
      <c r="BD18" s="1"/>
      <c r="BE18" s="1"/>
      <c r="BF18" s="1"/>
      <c r="BG18" s="1"/>
      <c r="BH18" s="1"/>
      <c r="BI18" s="1"/>
      <c r="BJ18" s="1"/>
      <c r="BK18" s="1"/>
      <c r="BL18" s="1"/>
      <c r="BM18" s="1"/>
      <c r="BN18" s="1"/>
      <c r="BO18" s="1"/>
      <c r="BP18" s="56"/>
      <c r="BR18" s="1"/>
      <c r="BS18" s="1"/>
      <c r="BT18" s="1"/>
      <c r="BU18" s="1"/>
      <c r="BV18" s="1"/>
      <c r="BW18" s="1"/>
      <c r="BX18" s="1"/>
      <c r="BY18" s="1"/>
      <c r="BZ18" s="1"/>
      <c r="CA18" s="1"/>
      <c r="CB18" s="1"/>
      <c r="CC18" s="1"/>
      <c r="CD18" s="56"/>
    </row>
    <row r="19" spans="7:82" x14ac:dyDescent="0.25">
      <c r="R19"/>
      <c r="Y19" s="54"/>
      <c r="Z19" s="54"/>
      <c r="AA19" s="1"/>
      <c r="AB19">
        <v>37.5</v>
      </c>
      <c r="AC19">
        <f>AB19*$AC$18</f>
        <v>825</v>
      </c>
      <c r="AU19" s="1"/>
      <c r="AV19" s="1"/>
      <c r="AW19" s="1"/>
      <c r="AX19" s="1"/>
      <c r="AY19" s="1"/>
      <c r="AZ19" s="1"/>
      <c r="BA19" s="1"/>
      <c r="BB19" s="56"/>
      <c r="BD19" s="1"/>
      <c r="BE19" s="1"/>
      <c r="BF19" s="1"/>
      <c r="BG19" s="1"/>
      <c r="BH19" s="1"/>
      <c r="BI19" s="1"/>
      <c r="BJ19" s="1"/>
      <c r="BK19" s="1"/>
      <c r="BL19" s="1"/>
      <c r="BM19" s="1"/>
      <c r="BN19" s="1"/>
      <c r="BO19" s="1"/>
      <c r="BP19" s="56"/>
      <c r="BR19" s="1"/>
      <c r="BS19" s="1"/>
      <c r="BT19" s="1"/>
      <c r="BU19" s="1"/>
      <c r="BV19" s="1"/>
      <c r="BW19" s="1"/>
      <c r="BX19" s="1"/>
      <c r="BY19" s="1"/>
      <c r="BZ19" s="1"/>
      <c r="CA19" s="1"/>
      <c r="CB19" s="1"/>
      <c r="CC19" s="1"/>
      <c r="CD19" s="56"/>
    </row>
    <row r="20" spans="7:82" x14ac:dyDescent="0.25">
      <c r="R20"/>
      <c r="W20"/>
      <c r="Y20" s="54"/>
      <c r="Z20" s="54"/>
      <c r="AA20" s="1"/>
      <c r="AU20" s="1"/>
      <c r="AV20" s="1"/>
      <c r="AW20" s="1"/>
      <c r="AX20" s="1"/>
      <c r="AY20" s="1"/>
      <c r="AZ20" s="1"/>
      <c r="BA20" s="1"/>
      <c r="BB20" s="56"/>
      <c r="BD20" s="1"/>
      <c r="BE20" s="1"/>
      <c r="BF20" s="1"/>
      <c r="BG20" s="1"/>
      <c r="BH20" s="1"/>
      <c r="BI20" s="1"/>
      <c r="BJ20" s="1"/>
      <c r="BK20" s="1"/>
      <c r="BL20" s="1"/>
      <c r="BM20" s="1"/>
      <c r="BN20" s="1"/>
      <c r="BO20" s="1"/>
      <c r="BP20" s="56"/>
      <c r="BR20" s="1"/>
      <c r="BS20" s="1"/>
      <c r="BT20" s="1"/>
      <c r="BU20" s="1"/>
      <c r="BV20" s="1"/>
      <c r="BW20" s="1"/>
      <c r="BX20" s="1"/>
      <c r="BY20" s="1"/>
      <c r="BZ20" s="1"/>
      <c r="CA20" s="1"/>
      <c r="CB20" s="1"/>
      <c r="CC20" s="1"/>
      <c r="CD20" s="56"/>
    </row>
    <row r="21" spans="7:82" x14ac:dyDescent="0.25">
      <c r="P21" s="53"/>
      <c r="V21"/>
      <c r="W21"/>
      <c r="Y21" s="54"/>
      <c r="Z21" s="54"/>
      <c r="AA21" s="1"/>
      <c r="AU21" s="1"/>
      <c r="AV21" s="1"/>
      <c r="AW21" s="1"/>
      <c r="AX21" s="1"/>
      <c r="AY21" s="1"/>
      <c r="AZ21" s="1"/>
      <c r="BA21" s="1"/>
      <c r="BB21" s="56"/>
      <c r="BD21" s="1"/>
      <c r="BE21" s="1"/>
      <c r="BF21" s="1"/>
      <c r="BG21" s="1"/>
      <c r="BH21" s="1"/>
      <c r="BI21" s="1"/>
      <c r="BJ21" s="1"/>
      <c r="BK21" s="1"/>
      <c r="BL21" s="1"/>
      <c r="BM21" s="1"/>
      <c r="BN21" s="1"/>
      <c r="BO21" s="1"/>
      <c r="BP21" s="56"/>
      <c r="BR21" s="1"/>
      <c r="BS21" s="1"/>
      <c r="BT21" s="1"/>
      <c r="BU21" s="1"/>
      <c r="BV21" s="1"/>
      <c r="BW21" s="1"/>
      <c r="BX21" s="1"/>
      <c r="BY21" s="1"/>
      <c r="BZ21" s="1"/>
      <c r="CA21" s="1"/>
      <c r="CB21" s="1"/>
      <c r="CC21" s="1"/>
      <c r="CD21" s="56"/>
    </row>
    <row r="22" spans="7:82" x14ac:dyDescent="0.25">
      <c r="H22" s="11"/>
      <c r="I22" s="11"/>
      <c r="P22" s="53"/>
      <c r="V22"/>
      <c r="W22"/>
      <c r="Y22" s="54"/>
      <c r="Z22" s="54"/>
      <c r="AA22" s="1"/>
      <c r="AU22" s="1"/>
      <c r="AV22" s="1"/>
      <c r="AW22" s="1"/>
      <c r="AX22" s="1"/>
      <c r="AY22" s="1"/>
      <c r="AZ22" s="1"/>
      <c r="BA22" s="1"/>
      <c r="BB22" s="56"/>
      <c r="BD22" s="1"/>
      <c r="BE22" s="1"/>
      <c r="BF22" s="1"/>
      <c r="BG22" s="1"/>
      <c r="BH22" s="1"/>
      <c r="BI22" s="1"/>
      <c r="BJ22" s="1"/>
      <c r="BK22" s="1"/>
      <c r="BL22" s="1"/>
      <c r="BM22" s="1"/>
      <c r="BN22" s="1"/>
      <c r="BO22" s="1"/>
      <c r="BP22" s="56"/>
      <c r="BR22" s="1"/>
      <c r="BS22" s="1"/>
      <c r="BT22" s="1"/>
      <c r="BU22" s="1"/>
      <c r="BV22" s="1"/>
      <c r="BW22" s="1"/>
      <c r="BX22" s="1"/>
      <c r="BY22" s="1"/>
      <c r="BZ22" s="1"/>
      <c r="CA22" s="1"/>
      <c r="CB22" s="1"/>
      <c r="CC22" s="1"/>
      <c r="CD22" s="56"/>
    </row>
    <row r="23" spans="7:82" x14ac:dyDescent="0.25">
      <c r="H23" s="11"/>
      <c r="I23" s="11"/>
      <c r="L23" s="1"/>
      <c r="V23"/>
      <c r="W23"/>
      <c r="Y23" s="54"/>
      <c r="Z23" s="54"/>
      <c r="AA23" s="1"/>
      <c r="AU23" s="1"/>
      <c r="AV23" s="1"/>
      <c r="AW23" s="1"/>
      <c r="AX23" s="1"/>
      <c r="AY23" s="1"/>
      <c r="AZ23" s="1"/>
      <c r="BA23" s="1"/>
      <c r="BB23" s="56"/>
      <c r="BD23" s="1"/>
      <c r="BE23" s="1"/>
      <c r="BF23" s="1"/>
      <c r="BG23" s="1"/>
      <c r="BH23" s="1"/>
      <c r="BI23" s="1"/>
      <c r="BJ23" s="1"/>
      <c r="BK23" s="1"/>
      <c r="BL23" s="1"/>
      <c r="BM23" s="1"/>
      <c r="BN23" s="1"/>
      <c r="BO23" s="1"/>
      <c r="BP23" s="56"/>
      <c r="BR23" s="1"/>
      <c r="BS23" s="1"/>
      <c r="BT23" s="1"/>
      <c r="BU23" s="1"/>
      <c r="BV23" s="1"/>
      <c r="BW23" s="1"/>
      <c r="BX23" s="1"/>
      <c r="BY23" s="1"/>
      <c r="BZ23" s="1"/>
      <c r="CA23" s="1"/>
      <c r="CB23" s="1"/>
      <c r="CC23" s="1"/>
      <c r="CD23" s="56"/>
    </row>
    <row r="24" spans="7:82" x14ac:dyDescent="0.25">
      <c r="H24" s="11"/>
      <c r="I24" s="11"/>
      <c r="M24" s="43"/>
      <c r="N24"/>
      <c r="O24"/>
      <c r="P24"/>
      <c r="Q24"/>
      <c r="R24"/>
      <c r="V24"/>
      <c r="Y24" s="54"/>
      <c r="Z24" s="54"/>
      <c r="AA24" s="1"/>
      <c r="AC24" s="1"/>
      <c r="AU24" s="1"/>
      <c r="AV24" s="1"/>
      <c r="AW24" s="1"/>
      <c r="AX24" s="1"/>
      <c r="AY24" s="1"/>
      <c r="AZ24" s="1"/>
      <c r="BA24" s="1"/>
      <c r="BB24" s="56"/>
      <c r="BD24" s="1"/>
      <c r="BE24" s="1"/>
      <c r="BF24" s="1"/>
      <c r="BG24" s="1"/>
      <c r="BH24" s="1"/>
      <c r="BI24" s="1"/>
      <c r="BJ24" s="1"/>
      <c r="BK24" s="1"/>
      <c r="BL24" s="1"/>
      <c r="BM24" s="1"/>
      <c r="BN24" s="1"/>
      <c r="BO24" s="1"/>
      <c r="BP24" s="56"/>
      <c r="BR24" s="1"/>
      <c r="BS24" s="1"/>
      <c r="BT24" s="1"/>
      <c r="BU24" s="1"/>
      <c r="BV24" s="1"/>
      <c r="BW24" s="1"/>
      <c r="BX24" s="1"/>
      <c r="BY24" s="1"/>
      <c r="BZ24" s="1"/>
      <c r="CA24" s="1"/>
      <c r="CB24" s="1"/>
      <c r="CC24" s="1"/>
      <c r="CD24" s="56"/>
    </row>
    <row r="25" spans="7:82" x14ac:dyDescent="0.25">
      <c r="H25" s="11"/>
      <c r="I25" s="11"/>
      <c r="M25" s="43"/>
      <c r="N25"/>
      <c r="O25"/>
      <c r="P25"/>
      <c r="Q25"/>
      <c r="R25"/>
      <c r="V25"/>
      <c r="Y25" s="54"/>
      <c r="Z25" s="54"/>
      <c r="AA25" s="1"/>
      <c r="AC25" s="1"/>
      <c r="AU25" s="1"/>
      <c r="AV25" s="1"/>
      <c r="AW25" s="1"/>
      <c r="AX25" s="1"/>
      <c r="AY25" s="1"/>
      <c r="AZ25" s="1"/>
      <c r="BA25" s="1"/>
      <c r="BB25" s="56"/>
      <c r="BD25" s="1"/>
      <c r="BE25" s="1"/>
      <c r="BF25" s="1"/>
      <c r="BG25" s="1"/>
      <c r="BH25" s="1"/>
      <c r="BI25" s="1"/>
      <c r="BJ25" s="1"/>
      <c r="BK25" s="1"/>
      <c r="BL25" s="1"/>
      <c r="BM25" s="1"/>
      <c r="BN25" s="1"/>
      <c r="BO25" s="1"/>
      <c r="BP25" s="56"/>
      <c r="BR25" s="1"/>
      <c r="BS25" s="1"/>
      <c r="BT25" s="1"/>
      <c r="BU25" s="1"/>
      <c r="BV25" s="1"/>
      <c r="BW25" s="1"/>
      <c r="BX25" s="1"/>
      <c r="BY25" s="1"/>
      <c r="BZ25" s="1"/>
      <c r="CA25" s="1"/>
      <c r="CB25" s="1"/>
      <c r="CC25" s="1"/>
      <c r="CD25" s="56"/>
    </row>
    <row r="26" spans="7:82" x14ac:dyDescent="0.25">
      <c r="H26" s="11"/>
      <c r="I26" s="11"/>
      <c r="M26" s="43"/>
      <c r="N26"/>
      <c r="O26"/>
      <c r="P26"/>
      <c r="Q26"/>
      <c r="R26"/>
      <c r="V26"/>
      <c r="Y26" s="54"/>
      <c r="Z26" s="54"/>
      <c r="AA26" s="1"/>
      <c r="AC26" s="1"/>
      <c r="AU26" s="1"/>
      <c r="AV26" s="1"/>
      <c r="AW26" s="1"/>
      <c r="AX26" s="1"/>
      <c r="AY26" s="1"/>
      <c r="AZ26" s="1"/>
      <c r="BA26" s="1"/>
      <c r="BB26" s="56"/>
      <c r="BD26" s="1"/>
      <c r="BE26" s="1"/>
      <c r="BF26" s="1"/>
      <c r="BG26" s="1"/>
      <c r="BH26" s="1"/>
      <c r="BI26" s="1"/>
      <c r="BJ26" s="1"/>
      <c r="BK26" s="1"/>
      <c r="BL26" s="1"/>
      <c r="BM26" s="1"/>
      <c r="BN26" s="1"/>
      <c r="BO26" s="1"/>
      <c r="BP26" s="56"/>
      <c r="BR26" s="1"/>
      <c r="BS26" s="1"/>
      <c r="BT26" s="1"/>
      <c r="BU26" s="1"/>
      <c r="BV26" s="1"/>
      <c r="BW26" s="1"/>
      <c r="BX26" s="1"/>
      <c r="BY26" s="1"/>
      <c r="BZ26" s="1"/>
      <c r="CA26" s="1"/>
      <c r="CB26" s="1"/>
      <c r="CC26" s="1"/>
      <c r="CD26" s="56"/>
    </row>
    <row r="27" spans="7:82" x14ac:dyDescent="0.25">
      <c r="H27" s="11"/>
      <c r="I27" s="11"/>
      <c r="M27" s="43"/>
      <c r="N27"/>
      <c r="O27"/>
      <c r="P27"/>
      <c r="Q27"/>
      <c r="R27"/>
      <c r="V27"/>
      <c r="X27"/>
      <c r="Y27" s="54"/>
      <c r="Z27" s="54"/>
      <c r="AA27" s="1"/>
      <c r="AC27" s="1"/>
      <c r="AU27" s="1"/>
      <c r="AV27" s="1"/>
      <c r="AW27" s="1"/>
      <c r="AX27" s="1"/>
      <c r="AY27" s="1"/>
      <c r="AZ27" s="1"/>
      <c r="BA27" s="1"/>
      <c r="BB27" s="56"/>
      <c r="BD27" s="1"/>
      <c r="BE27" s="1"/>
      <c r="BF27" s="1"/>
      <c r="BG27" s="1"/>
      <c r="BH27" s="1"/>
      <c r="BI27" s="1"/>
      <c r="BJ27" s="1"/>
      <c r="BK27" s="1"/>
      <c r="BL27" s="1"/>
      <c r="BM27" s="1"/>
      <c r="BN27" s="1"/>
      <c r="BO27" s="1"/>
      <c r="BP27" s="56"/>
      <c r="BR27" s="1"/>
      <c r="BS27" s="1"/>
      <c r="BT27" s="1"/>
      <c r="BU27" s="1"/>
      <c r="BV27" s="1"/>
      <c r="BW27" s="1"/>
      <c r="BX27" s="1"/>
      <c r="BY27" s="1"/>
      <c r="BZ27" s="1"/>
      <c r="CA27" s="1"/>
      <c r="CB27" s="1"/>
      <c r="CC27" s="1"/>
      <c r="CD27" s="56"/>
    </row>
    <row r="28" spans="7:82" x14ac:dyDescent="0.25">
      <c r="H28" s="11"/>
      <c r="I28" s="11"/>
      <c r="M28" s="43"/>
      <c r="N28"/>
      <c r="O28"/>
      <c r="P28"/>
      <c r="Q28"/>
      <c r="R28"/>
      <c r="S28"/>
      <c r="T28"/>
      <c r="V28"/>
      <c r="X28"/>
      <c r="Y28" s="54"/>
      <c r="Z28" s="54"/>
      <c r="AA28" s="1"/>
      <c r="AC28" s="1"/>
      <c r="AU28" s="1"/>
      <c r="AV28" s="1"/>
      <c r="AW28" s="1"/>
      <c r="AX28" s="1"/>
      <c r="AY28" s="1"/>
      <c r="AZ28" s="1"/>
      <c r="BA28" s="1"/>
      <c r="BB28" s="56"/>
      <c r="BD28" s="1"/>
      <c r="BE28" s="1"/>
      <c r="BF28" s="1"/>
      <c r="BG28" s="1"/>
      <c r="BH28" s="1"/>
      <c r="BI28" s="1"/>
      <c r="BJ28" s="1"/>
      <c r="BK28" s="1"/>
      <c r="BL28" s="1"/>
      <c r="BM28" s="1"/>
      <c r="BN28" s="1"/>
      <c r="BO28" s="1"/>
      <c r="BP28" s="56"/>
      <c r="BR28" s="1"/>
      <c r="BS28" s="1"/>
      <c r="BT28" s="1"/>
      <c r="BU28" s="1"/>
      <c r="BV28" s="1"/>
      <c r="BW28" s="1"/>
      <c r="BX28" s="1"/>
      <c r="BY28" s="1"/>
      <c r="BZ28" s="1"/>
      <c r="CA28" s="1"/>
      <c r="CB28" s="1"/>
      <c r="CC28" s="1"/>
      <c r="CD28" s="56"/>
    </row>
    <row r="29" spans="7:82" x14ac:dyDescent="0.25">
      <c r="G29" s="53"/>
      <c r="H29" s="11"/>
      <c r="I29" s="11"/>
      <c r="M29" s="43"/>
      <c r="N29"/>
      <c r="O29"/>
      <c r="P29"/>
      <c r="Q29"/>
      <c r="R29"/>
      <c r="S29"/>
      <c r="T29"/>
      <c r="V29"/>
      <c r="X29"/>
      <c r="Y29" s="54"/>
      <c r="Z29" s="54"/>
      <c r="AA29" s="1"/>
      <c r="AC29" s="1"/>
      <c r="AG29" s="1"/>
      <c r="AH29" s="1"/>
      <c r="AI29" s="1"/>
      <c r="AJ29" s="1"/>
      <c r="AK29" s="1"/>
      <c r="AL29" s="1"/>
      <c r="AM29" s="1"/>
      <c r="AN29" s="56"/>
      <c r="AP29" s="1"/>
      <c r="AQ29" s="1"/>
      <c r="AR29" s="1"/>
      <c r="AS29" s="1"/>
      <c r="AT29" s="1"/>
      <c r="AU29" s="1"/>
      <c r="AV29" s="1"/>
      <c r="AW29" s="1"/>
      <c r="AX29" s="1"/>
      <c r="AY29" s="1"/>
      <c r="AZ29" s="1"/>
      <c r="BA29" s="1"/>
      <c r="BB29" s="56"/>
      <c r="BD29" s="1"/>
      <c r="BE29" s="1"/>
      <c r="BF29" s="1"/>
      <c r="BG29" s="1"/>
      <c r="BH29" s="1"/>
      <c r="BI29" s="1"/>
      <c r="BJ29" s="1"/>
      <c r="BK29" s="1"/>
      <c r="BL29" s="1"/>
      <c r="BM29" s="1"/>
      <c r="BN29" s="1"/>
      <c r="BO29" s="1"/>
      <c r="BP29" s="56"/>
      <c r="BR29" s="1"/>
      <c r="BS29" s="1"/>
      <c r="BT29" s="1"/>
      <c r="BU29" s="1"/>
      <c r="BV29" s="1"/>
      <c r="BW29" s="1"/>
      <c r="BX29" s="1"/>
      <c r="BY29" s="1"/>
      <c r="BZ29" s="1"/>
      <c r="CA29" s="1"/>
      <c r="CB29" s="1"/>
      <c r="CC29" s="1"/>
      <c r="CD29" s="56"/>
    </row>
    <row r="30" spans="7:82" x14ac:dyDescent="0.25">
      <c r="G30" s="53"/>
      <c r="H30" s="11"/>
      <c r="I30" s="11"/>
      <c r="M30" s="43"/>
      <c r="N30"/>
      <c r="O30"/>
      <c r="P30"/>
      <c r="Q30"/>
      <c r="R30"/>
      <c r="S30"/>
      <c r="T30"/>
      <c r="V30"/>
      <c r="X30"/>
      <c r="Y30" s="54"/>
      <c r="Z30" s="54"/>
      <c r="AA30" s="1"/>
      <c r="AC30" s="1"/>
      <c r="AG30" s="1"/>
      <c r="AH30" s="1"/>
      <c r="AI30" s="1"/>
      <c r="AJ30" s="1"/>
      <c r="AK30" s="1"/>
      <c r="AL30" s="1"/>
      <c r="AM30" s="1"/>
      <c r="AN30" s="56"/>
      <c r="AP30" s="1"/>
      <c r="AQ30" s="1"/>
      <c r="AR30" s="1"/>
      <c r="AS30" s="1"/>
      <c r="AT30" s="1"/>
      <c r="AU30" s="1"/>
      <c r="AV30" s="1"/>
      <c r="AW30" s="1"/>
      <c r="AX30" s="1"/>
      <c r="AY30" s="1"/>
      <c r="AZ30" s="1"/>
      <c r="BA30" s="1"/>
      <c r="BB30" s="56"/>
      <c r="BD30" s="1"/>
      <c r="BE30" s="1"/>
      <c r="BF30" s="1"/>
      <c r="BG30" s="1"/>
      <c r="BH30" s="1"/>
      <c r="BI30" s="1"/>
      <c r="BJ30" s="1"/>
      <c r="BK30" s="1"/>
      <c r="BL30" s="1"/>
      <c r="BM30" s="1"/>
      <c r="BN30" s="1"/>
      <c r="BO30" s="1"/>
      <c r="BP30" s="56"/>
      <c r="BR30" s="1"/>
      <c r="BS30" s="1"/>
      <c r="BT30" s="1"/>
      <c r="BU30" s="1"/>
      <c r="BV30" s="1"/>
      <c r="BW30" s="1"/>
      <c r="BX30" s="1"/>
      <c r="BY30" s="1"/>
      <c r="BZ30" s="1"/>
      <c r="CA30" s="1"/>
      <c r="CB30" s="1"/>
      <c r="CC30" s="1"/>
      <c r="CD30" s="56"/>
    </row>
    <row r="31" spans="7:82" x14ac:dyDescent="0.25">
      <c r="G31" s="53"/>
      <c r="H31" s="11"/>
      <c r="I31" s="11"/>
      <c r="M31" s="43"/>
      <c r="N31"/>
      <c r="O31"/>
      <c r="P31"/>
      <c r="Q31"/>
      <c r="R31"/>
      <c r="S31"/>
      <c r="T31"/>
      <c r="V31"/>
      <c r="Y31" s="54"/>
      <c r="Z31" s="54"/>
      <c r="AA31" s="1"/>
      <c r="AC31" s="1"/>
      <c r="AG31" s="1"/>
      <c r="AH31" s="1"/>
      <c r="AI31" s="1"/>
      <c r="AJ31" s="1"/>
      <c r="AK31" s="1"/>
      <c r="AL31" s="1"/>
      <c r="AM31" s="1"/>
      <c r="AN31" s="56"/>
      <c r="AP31" s="1"/>
      <c r="AQ31" s="1"/>
      <c r="AR31" s="1"/>
      <c r="AS31" s="1"/>
      <c r="AT31" s="1"/>
      <c r="AU31" s="1"/>
      <c r="AV31" s="1"/>
      <c r="AW31" s="1"/>
      <c r="AX31" s="1"/>
      <c r="AY31" s="1"/>
      <c r="AZ31" s="1"/>
      <c r="BA31" s="1"/>
      <c r="BB31" s="56"/>
      <c r="BD31" s="1"/>
      <c r="BE31" s="1"/>
      <c r="BF31" s="1"/>
      <c r="BG31" s="1"/>
      <c r="BH31" s="1"/>
      <c r="BI31" s="1"/>
      <c r="BJ31" s="1"/>
      <c r="BK31" s="1"/>
      <c r="BL31" s="1"/>
      <c r="BM31" s="1"/>
      <c r="BN31" s="1"/>
      <c r="BO31" s="1"/>
      <c r="BP31" s="56"/>
      <c r="BR31" s="1"/>
      <c r="BS31" s="1"/>
      <c r="BT31" s="1"/>
      <c r="BU31" s="1"/>
      <c r="BV31" s="1"/>
      <c r="BW31" s="1"/>
      <c r="BX31" s="1"/>
      <c r="BY31" s="1"/>
      <c r="BZ31" s="1"/>
      <c r="CA31" s="1"/>
      <c r="CB31" s="1"/>
      <c r="CC31" s="1"/>
      <c r="CD31" s="56"/>
    </row>
    <row r="32" spans="7:82" x14ac:dyDescent="0.25">
      <c r="G32" s="53"/>
      <c r="H32" s="11"/>
      <c r="I32" s="11"/>
      <c r="M32" s="43"/>
      <c r="N32"/>
      <c r="O32"/>
      <c r="P32"/>
      <c r="Q32"/>
      <c r="R32"/>
      <c r="S32"/>
      <c r="T32"/>
      <c r="V32"/>
      <c r="Y32" s="54"/>
      <c r="Z32" s="54"/>
      <c r="AA32" s="1"/>
      <c r="AC32" s="1"/>
      <c r="AG32" s="1"/>
      <c r="AH32" s="1"/>
      <c r="AI32" s="1"/>
      <c r="AJ32" s="1"/>
      <c r="AK32" s="1"/>
      <c r="AL32" s="1"/>
      <c r="AM32" s="1"/>
      <c r="AN32" s="56"/>
      <c r="AP32" s="1"/>
      <c r="AQ32" s="1"/>
      <c r="AR32" s="1"/>
      <c r="AS32" s="1"/>
      <c r="AT32" s="1"/>
      <c r="AU32" s="1"/>
      <c r="AV32" s="1"/>
      <c r="AW32" s="1"/>
      <c r="AX32" s="1"/>
      <c r="AY32" s="1"/>
      <c r="AZ32" s="1"/>
      <c r="BA32" s="1"/>
      <c r="BB32" s="56"/>
      <c r="BD32" s="1"/>
      <c r="BE32" s="1"/>
      <c r="BF32" s="1"/>
      <c r="BG32" s="1"/>
      <c r="BH32" s="1"/>
      <c r="BI32" s="1"/>
      <c r="BJ32" s="1"/>
      <c r="BK32" s="1"/>
      <c r="BL32" s="1"/>
      <c r="BM32" s="1"/>
      <c r="BN32" s="1"/>
      <c r="BO32" s="1"/>
      <c r="BP32" s="56"/>
      <c r="BR32" s="1"/>
      <c r="BS32" s="1"/>
      <c r="BT32" s="1"/>
      <c r="BU32" s="1"/>
      <c r="BV32" s="1"/>
      <c r="BW32" s="1"/>
      <c r="BX32" s="1"/>
      <c r="BY32" s="1"/>
      <c r="BZ32" s="1"/>
      <c r="CA32" s="1"/>
      <c r="CB32" s="1"/>
      <c r="CC32" s="1"/>
      <c r="CD32" s="56"/>
    </row>
    <row r="33" spans="7:82" x14ac:dyDescent="0.25">
      <c r="G33" s="53"/>
      <c r="H33" s="11"/>
      <c r="I33" s="11"/>
      <c r="M33" s="43"/>
      <c r="N33"/>
      <c r="O33"/>
      <c r="P33"/>
      <c r="Q33"/>
      <c r="R33"/>
      <c r="S33"/>
      <c r="T33"/>
      <c r="V33"/>
      <c r="Y33" s="54"/>
      <c r="Z33" s="54"/>
      <c r="AA33" s="1"/>
      <c r="AC33" s="1"/>
      <c r="AG33" s="1"/>
      <c r="AH33" s="1"/>
      <c r="AI33" s="1"/>
      <c r="AJ33" s="1"/>
      <c r="AK33" s="1"/>
      <c r="AL33" s="1"/>
      <c r="AM33" s="1"/>
      <c r="AN33" s="56"/>
      <c r="AP33" s="1"/>
      <c r="AQ33" s="1"/>
      <c r="AR33" s="1"/>
      <c r="AS33" s="1"/>
      <c r="AT33" s="1"/>
      <c r="AU33" s="1"/>
      <c r="AV33" s="1"/>
      <c r="AW33" s="1"/>
      <c r="AX33" s="1"/>
      <c r="AY33" s="1"/>
      <c r="AZ33" s="1"/>
      <c r="BA33" s="1"/>
      <c r="BB33" s="56"/>
      <c r="BD33" s="1"/>
      <c r="BE33" s="1"/>
      <c r="BF33" s="1"/>
      <c r="BG33" s="1"/>
      <c r="BH33" s="1"/>
      <c r="BI33" s="1"/>
      <c r="BJ33" s="1"/>
      <c r="BK33" s="1"/>
      <c r="BL33" s="1"/>
      <c r="BM33" s="1"/>
      <c r="BN33" s="1"/>
      <c r="BO33" s="1"/>
      <c r="BP33" s="56"/>
      <c r="BR33" s="1"/>
      <c r="BS33" s="1"/>
      <c r="BT33" s="1"/>
      <c r="BU33" s="1"/>
      <c r="BV33" s="1"/>
      <c r="BW33" s="1"/>
      <c r="BX33" s="1"/>
      <c r="BY33" s="1"/>
      <c r="BZ33" s="1"/>
      <c r="CA33" s="1"/>
      <c r="CB33" s="1"/>
      <c r="CC33" s="1"/>
      <c r="CD33" s="56"/>
    </row>
    <row r="34" spans="7:82" x14ac:dyDescent="0.25">
      <c r="G34" s="53"/>
      <c r="H34" s="11"/>
      <c r="I34" s="11"/>
      <c r="N34"/>
      <c r="O34" s="43"/>
      <c r="P34"/>
      <c r="Q34"/>
      <c r="R34"/>
      <c r="S34"/>
      <c r="T34"/>
      <c r="V34"/>
      <c r="Y34" s="54"/>
      <c r="Z34" s="54"/>
      <c r="AA34" s="1"/>
      <c r="AC34" s="1"/>
      <c r="AG34" s="1"/>
      <c r="AH34" s="1"/>
      <c r="AI34" s="1"/>
      <c r="AJ34" s="1"/>
      <c r="AK34" s="1"/>
      <c r="AL34" s="1"/>
      <c r="AM34" s="1"/>
      <c r="AN34" s="56"/>
      <c r="AP34" s="1"/>
      <c r="AQ34" s="1"/>
      <c r="AR34" s="1"/>
      <c r="AS34" s="1"/>
      <c r="AT34" s="1"/>
      <c r="AU34" s="1"/>
      <c r="AV34" s="1"/>
      <c r="AW34" s="1"/>
      <c r="AX34" s="1"/>
      <c r="AY34" s="1"/>
      <c r="AZ34" s="1"/>
      <c r="BA34" s="1"/>
      <c r="BB34" s="56"/>
      <c r="BD34" s="1"/>
      <c r="BE34" s="1"/>
      <c r="BF34" s="1"/>
      <c r="BG34" s="1"/>
      <c r="BH34" s="1"/>
      <c r="BI34" s="1"/>
      <c r="BJ34" s="1"/>
      <c r="BK34" s="1"/>
      <c r="BL34" s="1"/>
      <c r="BM34" s="1"/>
      <c r="BN34" s="1"/>
      <c r="BO34" s="1"/>
      <c r="BP34" s="56"/>
      <c r="BR34" s="1"/>
      <c r="BS34" s="1"/>
      <c r="BT34" s="1"/>
      <c r="BU34" s="1"/>
      <c r="BV34" s="1"/>
      <c r="BW34" s="1"/>
      <c r="BX34" s="1"/>
      <c r="BY34" s="1"/>
      <c r="BZ34" s="1"/>
      <c r="CA34" s="1"/>
      <c r="CB34" s="1"/>
      <c r="CC34" s="1"/>
      <c r="CD34" s="56"/>
    </row>
    <row r="35" spans="7:82" x14ac:dyDescent="0.25">
      <c r="G35" s="53"/>
      <c r="H35" s="11"/>
      <c r="I35" s="11"/>
      <c r="N35"/>
      <c r="O35" s="43"/>
      <c r="P35"/>
      <c r="Q35"/>
      <c r="R35"/>
      <c r="S35"/>
      <c r="T35"/>
      <c r="V35" s="53"/>
      <c r="Y35" s="54"/>
      <c r="Z35" s="54"/>
      <c r="AA35" s="1"/>
      <c r="AC35" s="1"/>
      <c r="AG35" s="1"/>
      <c r="AH35" s="1"/>
      <c r="AI35" s="1"/>
      <c r="AJ35" s="1"/>
      <c r="AK35" s="1"/>
      <c r="AL35" s="1"/>
      <c r="AM35" s="1"/>
      <c r="AN35" s="56"/>
      <c r="AP35" s="1"/>
      <c r="AQ35" s="1"/>
      <c r="AR35" s="1"/>
      <c r="AS35" s="1"/>
      <c r="AT35" s="1"/>
      <c r="AU35" s="1"/>
      <c r="AV35" s="1"/>
      <c r="AW35" s="1"/>
      <c r="AX35" s="1"/>
      <c r="AY35" s="1"/>
      <c r="AZ35" s="1"/>
      <c r="BA35" s="1"/>
      <c r="BB35" s="56"/>
      <c r="BD35" s="1"/>
      <c r="BE35" s="1"/>
      <c r="BF35" s="1"/>
      <c r="BG35" s="1"/>
      <c r="BH35" s="1"/>
      <c r="BI35" s="1"/>
      <c r="BJ35" s="1"/>
      <c r="BK35" s="1"/>
      <c r="BL35" s="1"/>
      <c r="BM35" s="1"/>
      <c r="BN35" s="1"/>
      <c r="BO35" s="1"/>
      <c r="BP35" s="56"/>
      <c r="BR35" s="1"/>
      <c r="BS35" s="1"/>
      <c r="BT35" s="1"/>
      <c r="BU35" s="1"/>
      <c r="BV35" s="1"/>
      <c r="BW35" s="1"/>
      <c r="BX35" s="1"/>
      <c r="BY35" s="1"/>
      <c r="BZ35" s="1"/>
      <c r="CA35" s="1"/>
      <c r="CB35" s="1"/>
      <c r="CC35" s="1"/>
      <c r="CD35" s="56"/>
    </row>
    <row r="36" spans="7:82" x14ac:dyDescent="0.25">
      <c r="G36" s="53"/>
      <c r="H36" s="11"/>
      <c r="I36" s="11"/>
      <c r="N36"/>
      <c r="O36" s="43"/>
      <c r="P36"/>
      <c r="Q36"/>
      <c r="R36"/>
      <c r="S36"/>
      <c r="T36"/>
      <c r="V36" s="53"/>
      <c r="Y36" s="54"/>
      <c r="Z36" s="54"/>
      <c r="AA36" s="1"/>
      <c r="AC36" s="1"/>
      <c r="AG36" s="1"/>
      <c r="AH36" s="1"/>
      <c r="AI36" s="1"/>
      <c r="AJ36" s="1"/>
      <c r="AK36" s="1"/>
      <c r="AL36" s="1"/>
      <c r="AM36" s="1"/>
      <c r="AN36" s="56"/>
      <c r="AP36" s="1"/>
      <c r="AQ36" s="1"/>
      <c r="AR36" s="1"/>
      <c r="AS36" s="1"/>
      <c r="AT36" s="1"/>
      <c r="AU36" s="1"/>
      <c r="AV36" s="1"/>
      <c r="AW36" s="1"/>
      <c r="AX36" s="1"/>
      <c r="AY36" s="1"/>
      <c r="AZ36" s="1"/>
      <c r="BA36" s="1"/>
      <c r="BB36" s="56"/>
      <c r="BD36" s="1"/>
      <c r="BE36" s="1"/>
      <c r="BF36" s="1"/>
      <c r="BG36" s="1"/>
      <c r="BH36" s="1"/>
      <c r="BI36" s="1"/>
      <c r="BJ36" s="1"/>
      <c r="BK36" s="1"/>
      <c r="BL36" s="1"/>
      <c r="BM36" s="1"/>
      <c r="BN36" s="1"/>
      <c r="BO36" s="1"/>
      <c r="BP36" s="56"/>
      <c r="BR36" s="1"/>
      <c r="BS36" s="1"/>
      <c r="BT36" s="1"/>
      <c r="BU36" s="1"/>
      <c r="BV36" s="1"/>
      <c r="BW36" s="1"/>
      <c r="BX36" s="1"/>
      <c r="BY36" s="1"/>
      <c r="BZ36" s="1"/>
      <c r="CA36" s="1"/>
      <c r="CB36" s="1"/>
      <c r="CC36" s="1"/>
      <c r="CD36" s="56"/>
    </row>
    <row r="37" spans="7:82" x14ac:dyDescent="0.25">
      <c r="G37" s="53"/>
      <c r="H37" s="11"/>
      <c r="I37" s="11"/>
      <c r="P37" s="53"/>
      <c r="V37" s="53"/>
      <c r="Y37" s="54"/>
      <c r="Z37" s="54"/>
      <c r="AA37" s="1"/>
      <c r="AC37" s="1"/>
      <c r="AG37" s="1"/>
      <c r="AH37" s="1"/>
      <c r="AI37" s="1"/>
      <c r="AJ37" s="1"/>
      <c r="AK37" s="1"/>
      <c r="AL37" s="1"/>
      <c r="AM37" s="1"/>
      <c r="AN37" s="56"/>
      <c r="AP37" s="1"/>
      <c r="AQ37" s="1"/>
      <c r="AR37" s="1"/>
      <c r="AS37" s="1"/>
      <c r="AT37" s="1"/>
      <c r="AU37" s="1"/>
      <c r="AV37" s="1"/>
      <c r="AW37" s="1"/>
      <c r="AX37" s="1"/>
      <c r="AY37" s="1"/>
      <c r="AZ37" s="1"/>
      <c r="BA37" s="1"/>
      <c r="BB37" s="56"/>
      <c r="BD37" s="1"/>
      <c r="BE37" s="1"/>
      <c r="BF37" s="1"/>
      <c r="BG37" s="1"/>
      <c r="BH37" s="1"/>
      <c r="BI37" s="1"/>
      <c r="BJ37" s="1"/>
      <c r="BK37" s="1"/>
      <c r="BL37" s="1"/>
      <c r="BM37" s="1"/>
      <c r="BN37" s="1"/>
      <c r="BO37" s="1"/>
      <c r="BP37" s="56"/>
      <c r="BR37" s="1"/>
      <c r="BS37" s="1"/>
      <c r="BT37" s="1"/>
      <c r="BU37" s="1"/>
      <c r="BV37" s="1"/>
      <c r="BW37" s="1"/>
      <c r="BX37" s="1"/>
      <c r="BY37" s="1"/>
      <c r="BZ37" s="1"/>
      <c r="CA37" s="1"/>
      <c r="CB37" s="1"/>
      <c r="CC37" s="1"/>
      <c r="CD37" s="56"/>
    </row>
    <row r="38" spans="7:82" x14ac:dyDescent="0.25">
      <c r="G38" s="53"/>
      <c r="H38" s="11"/>
      <c r="I38" s="11"/>
      <c r="P38" s="53"/>
      <c r="V38" s="53"/>
      <c r="Y38" s="54"/>
      <c r="Z38" s="54"/>
      <c r="AA38" s="1"/>
      <c r="AC38" s="1"/>
      <c r="AG38" s="1"/>
      <c r="AH38" s="1"/>
      <c r="AI38" s="1"/>
      <c r="AJ38" s="1"/>
      <c r="AK38" s="1"/>
      <c r="AL38" s="1"/>
      <c r="AM38" s="1"/>
      <c r="AN38" s="56"/>
      <c r="AP38" s="1"/>
      <c r="AQ38" s="1"/>
      <c r="AR38" s="1"/>
      <c r="AS38" s="1"/>
      <c r="AT38" s="1"/>
      <c r="AU38" s="1"/>
      <c r="AV38" s="1"/>
      <c r="AW38" s="1"/>
      <c r="AX38" s="1"/>
      <c r="AY38" s="1"/>
      <c r="AZ38" s="1"/>
      <c r="BA38" s="1"/>
      <c r="BB38" s="56"/>
      <c r="BD38" s="1"/>
      <c r="BE38" s="1"/>
      <c r="BF38" s="1"/>
      <c r="BG38" s="1"/>
      <c r="BH38" s="1"/>
      <c r="BI38" s="1"/>
      <c r="BJ38" s="1"/>
      <c r="BK38" s="1"/>
      <c r="BL38" s="1"/>
      <c r="BM38" s="1"/>
      <c r="BN38" s="1"/>
      <c r="BO38" s="1"/>
      <c r="BP38" s="56"/>
      <c r="BR38" s="1"/>
      <c r="BS38" s="1"/>
      <c r="BT38" s="1"/>
      <c r="BU38" s="1"/>
      <c r="BV38" s="1"/>
      <c r="BW38" s="1"/>
      <c r="BX38" s="1"/>
      <c r="BY38" s="1"/>
      <c r="BZ38" s="1"/>
      <c r="CA38" s="1"/>
      <c r="CB38" s="1"/>
      <c r="CC38" s="1"/>
      <c r="CD38" s="56"/>
    </row>
    <row r="39" spans="7:82" x14ac:dyDescent="0.25">
      <c r="G39" s="53"/>
      <c r="H39" s="11"/>
      <c r="I39" s="11"/>
      <c r="P39" s="53"/>
      <c r="V39" s="53"/>
      <c r="Y39" s="54"/>
      <c r="Z39" s="54"/>
      <c r="AA39" s="1"/>
      <c r="AC39" s="1"/>
      <c r="AG39" s="1"/>
      <c r="AH39" s="1"/>
      <c r="AI39" s="1"/>
      <c r="AJ39" s="1"/>
      <c r="AK39" s="1"/>
      <c r="AL39" s="1"/>
      <c r="AM39" s="1"/>
      <c r="AN39" s="56"/>
      <c r="AP39" s="1"/>
      <c r="AQ39" s="1"/>
      <c r="AR39" s="1"/>
      <c r="AS39" s="1"/>
      <c r="AT39" s="1"/>
      <c r="AU39" s="1"/>
      <c r="AV39" s="1"/>
      <c r="AW39" s="1"/>
      <c r="AX39" s="1"/>
      <c r="AY39" s="1"/>
      <c r="AZ39" s="1"/>
      <c r="BA39" s="1"/>
      <c r="BB39" s="56"/>
      <c r="BD39" s="1"/>
      <c r="BE39" s="1"/>
      <c r="BF39" s="1"/>
      <c r="BG39" s="1"/>
      <c r="BH39" s="1"/>
      <c r="BI39" s="1"/>
      <c r="BJ39" s="1"/>
      <c r="BK39" s="1"/>
      <c r="BL39" s="1"/>
      <c r="BM39" s="1"/>
      <c r="BN39" s="1"/>
      <c r="BO39" s="1"/>
      <c r="BP39" s="56"/>
      <c r="BR39" s="1"/>
      <c r="BS39" s="1"/>
      <c r="BT39" s="1"/>
      <c r="BU39" s="1"/>
      <c r="BV39" s="1"/>
      <c r="BW39" s="1"/>
      <c r="BX39" s="1"/>
      <c r="BY39" s="1"/>
      <c r="BZ39" s="1"/>
      <c r="CA39" s="1"/>
      <c r="CB39" s="1"/>
      <c r="CC39" s="1"/>
      <c r="CD39" s="56"/>
    </row>
    <row r="40" spans="7:82" x14ac:dyDescent="0.25">
      <c r="G40" s="53"/>
      <c r="H40" s="11"/>
      <c r="I40" s="11"/>
      <c r="P40" s="53"/>
      <c r="V40" s="53"/>
      <c r="Y40" s="54"/>
      <c r="Z40" s="54"/>
      <c r="AA40" s="1"/>
      <c r="AC40" s="1"/>
      <c r="AG40" s="1"/>
      <c r="AH40" s="1"/>
      <c r="AI40" s="1"/>
      <c r="AJ40" s="1"/>
      <c r="AK40" s="1"/>
      <c r="AL40" s="1"/>
      <c r="AM40" s="1"/>
      <c r="AN40" s="56"/>
      <c r="AP40" s="1"/>
      <c r="AQ40" s="1"/>
      <c r="AR40" s="1"/>
      <c r="AS40" s="1"/>
      <c r="AT40" s="1"/>
      <c r="AU40" s="1"/>
      <c r="AV40" s="1"/>
      <c r="AW40" s="1"/>
      <c r="AX40" s="1"/>
      <c r="AY40" s="1"/>
      <c r="AZ40" s="1"/>
      <c r="BA40" s="1"/>
      <c r="BB40" s="56"/>
      <c r="BD40" s="1"/>
      <c r="BE40" s="1"/>
      <c r="BF40" s="1"/>
      <c r="BG40" s="1"/>
      <c r="BH40" s="1"/>
      <c r="BI40" s="1"/>
      <c r="BJ40" s="1"/>
      <c r="BK40" s="1"/>
      <c r="BL40" s="1"/>
      <c r="BM40" s="1"/>
      <c r="BN40" s="1"/>
      <c r="BO40" s="1"/>
      <c r="BP40" s="56"/>
      <c r="BR40" s="1"/>
      <c r="BS40" s="1"/>
      <c r="BT40" s="1"/>
      <c r="BU40" s="1"/>
      <c r="BV40" s="1"/>
      <c r="BW40" s="1"/>
      <c r="BX40" s="1"/>
      <c r="BY40" s="1"/>
      <c r="BZ40" s="1"/>
      <c r="CA40" s="1"/>
      <c r="CB40" s="1"/>
      <c r="CC40" s="1"/>
      <c r="CD40" s="56"/>
    </row>
    <row r="41" spans="7:82" x14ac:dyDescent="0.25">
      <c r="G41" s="53"/>
      <c r="H41" s="11"/>
      <c r="I41" s="11"/>
      <c r="P41" s="53"/>
      <c r="V41" s="53"/>
      <c r="Y41" s="54"/>
      <c r="Z41" s="54"/>
      <c r="AA41" s="1"/>
      <c r="AC41" s="1"/>
      <c r="AG41" s="1"/>
      <c r="AH41" s="1"/>
      <c r="AI41" s="1"/>
      <c r="AJ41" s="1"/>
      <c r="AK41" s="1"/>
      <c r="AL41" s="1"/>
      <c r="AM41" s="1"/>
      <c r="AN41" s="56"/>
      <c r="AP41" s="1"/>
      <c r="AQ41" s="1"/>
      <c r="AR41" s="1"/>
      <c r="AS41" s="1"/>
      <c r="AT41" s="1"/>
      <c r="AU41" s="1"/>
      <c r="AV41" s="1"/>
      <c r="AW41" s="1"/>
      <c r="AX41" s="1"/>
      <c r="AY41" s="1"/>
      <c r="AZ41" s="1"/>
      <c r="BA41" s="1"/>
      <c r="BB41" s="56"/>
      <c r="BD41" s="1"/>
      <c r="BE41" s="1"/>
      <c r="BF41" s="1"/>
      <c r="BG41" s="1"/>
      <c r="BH41" s="1"/>
      <c r="BI41" s="1"/>
      <c r="BJ41" s="1"/>
      <c r="BK41" s="1"/>
      <c r="BL41" s="1"/>
      <c r="BM41" s="1"/>
      <c r="BN41" s="1"/>
      <c r="BO41" s="1"/>
      <c r="BP41" s="56"/>
      <c r="BR41" s="1"/>
      <c r="BS41" s="1"/>
      <c r="BT41" s="1"/>
      <c r="BU41" s="1"/>
      <c r="BV41" s="1"/>
      <c r="BW41" s="1"/>
      <c r="BX41" s="1"/>
      <c r="BY41" s="1"/>
      <c r="BZ41" s="1"/>
      <c r="CA41" s="1"/>
      <c r="CB41" s="1"/>
      <c r="CC41" s="1"/>
      <c r="CD41" s="56"/>
    </row>
    <row r="42" spans="7:82" x14ac:dyDescent="0.25">
      <c r="G42" s="53"/>
      <c r="H42" s="11"/>
      <c r="I42" s="11"/>
      <c r="P42" s="53"/>
      <c r="V42" s="53"/>
      <c r="Z42" s="1"/>
      <c r="AA42" s="1"/>
      <c r="AB42" s="1"/>
    </row>
    <row r="43" spans="7:82" x14ac:dyDescent="0.25">
      <c r="G43" s="53"/>
      <c r="H43" s="11"/>
      <c r="I43" s="11"/>
      <c r="P43" s="53"/>
      <c r="V43" s="53"/>
      <c r="Z43" s="1"/>
      <c r="AA43" s="1"/>
      <c r="AB43" s="1"/>
    </row>
    <row r="44" spans="7:82" x14ac:dyDescent="0.25">
      <c r="G44" s="53"/>
      <c r="H44" s="11"/>
      <c r="I44" s="11"/>
      <c r="P44" s="53"/>
      <c r="V44" s="53"/>
      <c r="Z44" s="1"/>
      <c r="AA44" s="1"/>
      <c r="AB44" s="1"/>
    </row>
    <row r="45" spans="7:82" x14ac:dyDescent="0.25">
      <c r="G45" s="53"/>
      <c r="H45" s="11"/>
      <c r="I45" s="11"/>
      <c r="P45" s="53"/>
      <c r="V45" s="53"/>
      <c r="X45"/>
      <c r="Z45" s="1"/>
      <c r="AA45" s="1"/>
      <c r="AB45" s="1"/>
    </row>
    <row r="46" spans="7:82" x14ac:dyDescent="0.25">
      <c r="G46" s="53"/>
      <c r="H46" s="11"/>
      <c r="I46" s="11"/>
      <c r="P46" s="53"/>
      <c r="V46" s="53"/>
      <c r="Z46" s="1"/>
      <c r="AA46" s="1"/>
      <c r="AB46" s="1"/>
    </row>
    <row r="47" spans="7:82" x14ac:dyDescent="0.25">
      <c r="G47" s="53"/>
      <c r="H47" s="11"/>
      <c r="I47" s="11"/>
      <c r="P47" s="53"/>
      <c r="V47" s="53"/>
      <c r="Z47" s="1"/>
      <c r="AA47" s="1"/>
      <c r="AB47" s="1"/>
    </row>
    <row r="48" spans="7:82" x14ac:dyDescent="0.25">
      <c r="G48" s="53"/>
      <c r="P48" s="53"/>
      <c r="V48" s="53"/>
      <c r="X48"/>
      <c r="Z48" s="1"/>
      <c r="AA48" s="1"/>
      <c r="AB48" s="1"/>
    </row>
    <row r="49" spans="7:25" x14ac:dyDescent="0.25">
      <c r="G49" s="53"/>
      <c r="P49" s="53"/>
      <c r="V49" s="53"/>
    </row>
    <row r="50" spans="7:25" x14ac:dyDescent="0.25">
      <c r="G50" s="53"/>
      <c r="P50" s="53"/>
      <c r="V50" s="53"/>
    </row>
    <row r="51" spans="7:25" x14ac:dyDescent="0.25">
      <c r="G51" s="53"/>
      <c r="P51" s="53"/>
      <c r="V51" s="53"/>
    </row>
    <row r="52" spans="7:25" x14ac:dyDescent="0.25">
      <c r="G52" s="53"/>
      <c r="P52" s="53"/>
      <c r="V52" s="53"/>
    </row>
    <row r="53" spans="7:25" x14ac:dyDescent="0.25">
      <c r="G53" s="53"/>
      <c r="P53" s="53"/>
      <c r="V53" s="53"/>
    </row>
    <row r="54" spans="7:25" x14ac:dyDescent="0.25">
      <c r="G54" s="53"/>
      <c r="P54" s="53"/>
      <c r="V54" s="53"/>
      <c r="Y54"/>
    </row>
    <row r="55" spans="7:25" x14ac:dyDescent="0.25">
      <c r="G55" s="53"/>
      <c r="P55" s="53"/>
      <c r="V55" s="53"/>
      <c r="Y55"/>
    </row>
    <row r="56" spans="7:25" x14ac:dyDescent="0.25">
      <c r="G56" s="53"/>
      <c r="P56" s="53"/>
      <c r="V56" s="53"/>
      <c r="Y56"/>
    </row>
    <row r="57" spans="7:25" x14ac:dyDescent="0.25">
      <c r="G57" s="53"/>
      <c r="P57" s="53"/>
      <c r="V57" s="53"/>
      <c r="Y57"/>
    </row>
    <row r="58" spans="7:25" x14ac:dyDescent="0.25">
      <c r="G58" s="53"/>
      <c r="P58" s="53"/>
      <c r="V58" s="53"/>
    </row>
    <row r="59" spans="7:25" x14ac:dyDescent="0.25">
      <c r="G59" s="53"/>
      <c r="P59" s="53"/>
      <c r="V59" s="53"/>
    </row>
    <row r="60" spans="7:25" x14ac:dyDescent="0.25">
      <c r="G60" s="53"/>
      <c r="P60" s="53"/>
      <c r="V60" s="53"/>
      <c r="X60"/>
    </row>
    <row r="61" spans="7:25" x14ac:dyDescent="0.25">
      <c r="G61" s="53"/>
      <c r="P61" s="53"/>
      <c r="V61" s="53"/>
    </row>
    <row r="62" spans="7:25" x14ac:dyDescent="0.25">
      <c r="G62" s="53"/>
      <c r="P62" s="53"/>
      <c r="V62" s="53"/>
    </row>
    <row r="63" spans="7:25" x14ac:dyDescent="0.25">
      <c r="G63" s="53"/>
      <c r="P63" s="53"/>
      <c r="V63" s="53"/>
    </row>
    <row r="64" spans="7:25" x14ac:dyDescent="0.25">
      <c r="G64" s="53"/>
      <c r="P64" s="53"/>
      <c r="V64" s="53"/>
    </row>
    <row r="65" spans="16:25" x14ac:dyDescent="0.25">
      <c r="P65" s="53"/>
      <c r="V65" s="53"/>
    </row>
    <row r="66" spans="16:25" x14ac:dyDescent="0.25">
      <c r="P66" s="53"/>
      <c r="V66" s="53"/>
    </row>
    <row r="67" spans="16:25" x14ac:dyDescent="0.25">
      <c r="P67" s="53"/>
      <c r="V67" s="53"/>
    </row>
    <row r="68" spans="16:25" x14ac:dyDescent="0.25">
      <c r="P68" s="53"/>
      <c r="V68" s="53"/>
      <c r="Y68"/>
    </row>
    <row r="69" spans="16:25" x14ac:dyDescent="0.25">
      <c r="P69" s="53"/>
      <c r="V69" s="53"/>
      <c r="Y69"/>
    </row>
    <row r="70" spans="16:25" x14ac:dyDescent="0.25">
      <c r="P70" s="53"/>
      <c r="V70" s="53"/>
      <c r="Y70"/>
    </row>
    <row r="71" spans="16:25" x14ac:dyDescent="0.25">
      <c r="P71" s="53"/>
      <c r="Y71"/>
    </row>
    <row r="72" spans="16:25" x14ac:dyDescent="0.25">
      <c r="P72" s="53"/>
      <c r="Y72"/>
    </row>
    <row r="73" spans="16:25" x14ac:dyDescent="0.25">
      <c r="P73" s="53"/>
      <c r="Y73"/>
    </row>
    <row r="74" spans="16:25" x14ac:dyDescent="0.25">
      <c r="P74" s="53"/>
      <c r="Y74"/>
    </row>
    <row r="75" spans="16:25" x14ac:dyDescent="0.25">
      <c r="P75" s="53"/>
      <c r="Y75"/>
    </row>
    <row r="76" spans="16:25" x14ac:dyDescent="0.25">
      <c r="P76" s="53"/>
      <c r="Y76"/>
    </row>
    <row r="77" spans="16:25" x14ac:dyDescent="0.25">
      <c r="P77" s="53"/>
      <c r="Y77"/>
    </row>
    <row r="78" spans="16:25" x14ac:dyDescent="0.25">
      <c r="P78" s="53"/>
      <c r="Y78"/>
    </row>
    <row r="79" spans="16:25" x14ac:dyDescent="0.25">
      <c r="P79" s="53"/>
      <c r="Y79"/>
    </row>
    <row r="80" spans="16:25" x14ac:dyDescent="0.25">
      <c r="P80" s="53"/>
      <c r="Y80"/>
    </row>
    <row r="81" spans="16:25" x14ac:dyDescent="0.25">
      <c r="P81" s="53"/>
      <c r="Y81"/>
    </row>
    <row r="82" spans="16:25" x14ac:dyDescent="0.25">
      <c r="P82" s="53"/>
      <c r="Y82"/>
    </row>
    <row r="83" spans="16:25" x14ac:dyDescent="0.25">
      <c r="P83" s="53"/>
      <c r="Y83"/>
    </row>
    <row r="84" spans="16:25" x14ac:dyDescent="0.25">
      <c r="P84" s="53"/>
      <c r="Y84"/>
    </row>
    <row r="85" spans="16:25" x14ac:dyDescent="0.25">
      <c r="P85" s="53"/>
      <c r="Y85"/>
    </row>
    <row r="86" spans="16:25" x14ac:dyDescent="0.25">
      <c r="P86" s="53"/>
      <c r="Y86"/>
    </row>
    <row r="87" spans="16:25" x14ac:dyDescent="0.25">
      <c r="P87" s="53"/>
      <c r="Y87"/>
    </row>
    <row r="88" spans="16:25" x14ac:dyDescent="0.25">
      <c r="P88" s="53"/>
      <c r="Y88"/>
    </row>
    <row r="89" spans="16:25" x14ac:dyDescent="0.25">
      <c r="P89" s="53"/>
      <c r="Y89"/>
    </row>
    <row r="90" spans="16:25" x14ac:dyDescent="0.25">
      <c r="P90" s="53"/>
      <c r="Y90"/>
    </row>
    <row r="91" spans="16:25" x14ac:dyDescent="0.25">
      <c r="P91" s="53"/>
      <c r="Y91"/>
    </row>
    <row r="92" spans="16:25" x14ac:dyDescent="0.25">
      <c r="P92" s="53"/>
      <c r="Y92"/>
    </row>
    <row r="93" spans="16:25" x14ac:dyDescent="0.25">
      <c r="P93" s="53"/>
      <c r="Y93"/>
    </row>
    <row r="94" spans="16:25" x14ac:dyDescent="0.25">
      <c r="Y94"/>
    </row>
    <row r="95" spans="16:25" x14ac:dyDescent="0.25">
      <c r="Y95"/>
    </row>
    <row r="96" spans="16:25" x14ac:dyDescent="0.25">
      <c r="Y96"/>
    </row>
    <row r="97" spans="25:25" x14ac:dyDescent="0.25">
      <c r="Y97"/>
    </row>
    <row r="98" spans="25:25" x14ac:dyDescent="0.25">
      <c r="Y98"/>
    </row>
    <row r="99" spans="25:25" x14ac:dyDescent="0.25">
      <c r="Y99"/>
    </row>
    <row r="100" spans="25:25" x14ac:dyDescent="0.25">
      <c r="Y100"/>
    </row>
    <row r="101" spans="25:25" x14ac:dyDescent="0.25">
      <c r="Y101"/>
    </row>
    <row r="102" spans="25:25" x14ac:dyDescent="0.25">
      <c r="Y102"/>
    </row>
    <row r="103" spans="25:25" x14ac:dyDescent="0.25">
      <c r="Y103"/>
    </row>
    <row r="104" spans="25:25" x14ac:dyDescent="0.25">
      <c r="Y104"/>
    </row>
  </sheetData>
  <mergeCells count="1">
    <mergeCell ref="H5:T5"/>
  </mergeCells>
  <conditionalFormatting sqref="K20:N22">
    <cfRule type="expression" dxfId="20" priority="3">
      <formula>COUNTIF($K20,2)</formula>
    </cfRule>
  </conditionalFormatting>
  <conditionalFormatting sqref="K9:V9">
    <cfRule type="cellIs" dxfId="19" priority="4" operator="greaterThan">
      <formula>$Y$5</formula>
    </cfRule>
    <cfRule type="cellIs" dxfId="18" priority="5" operator="between">
      <formula>$Y$8</formula>
      <formula>$Z$8</formula>
    </cfRule>
    <cfRule type="cellIs" dxfId="17" priority="6" operator="lessThan">
      <formula>$Y$9</formula>
    </cfRule>
  </conditionalFormatting>
  <conditionalFormatting sqref="L12:W14">
    <cfRule type="cellIs" dxfId="16" priority="2" operator="lessThan">
      <formula>0</formula>
    </cfRule>
  </conditionalFormatting>
  <conditionalFormatting sqref="L12:X14">
    <cfRule type="cellIs" dxfId="15" priority="1" operator="equal">
      <formula>0</formula>
    </cfRule>
  </conditionalFormatting>
  <dataValidations count="2">
    <dataValidation type="list" allowBlank="1" showInputMessage="1" showErrorMessage="1" sqref="I12:I14" xr:uid="{989E9817-7AE2-4F3F-B958-31C652C08E98}">
      <formula1>INDIRECT("ItemRef[Item]")</formula1>
    </dataValidation>
    <dataValidation type="list" allowBlank="1" showInputMessage="1" showErrorMessage="1" sqref="C12:C14" xr:uid="{08FA9215-D965-4AF2-BF2C-F18DFEFCBB26}">
      <formula1>list_src_name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2" r:id="rId4" name="Button 2">
              <controlPr defaultSize="0" print="0" autoFill="0" autoPict="0" macro="[0]!Refresh_Summary">
                <anchor moveWithCells="1" sizeWithCells="1">
                  <from>
                    <xdr:col>1</xdr:col>
                    <xdr:colOff>504825</xdr:colOff>
                    <xdr:row>3</xdr:row>
                    <xdr:rowOff>190500</xdr:rowOff>
                  </from>
                  <to>
                    <xdr:col>1</xdr:col>
                    <xdr:colOff>1724025</xdr:colOff>
                    <xdr:row>6</xdr:row>
                    <xdr:rowOff>66675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300A-3190-4DC1-8398-F5932E3558A8}">
  <sheetPr codeName="Sheet11">
    <tabColor theme="9" tint="0.39997558519241921"/>
  </sheetPr>
  <dimension ref="B1:FR429"/>
  <sheetViews>
    <sheetView showGridLines="0" topLeftCell="B1" zoomScaleNormal="100" workbookViewId="0">
      <pane ySplit="11" topLeftCell="A12" activePane="bottomLeft" state="frozen"/>
      <selection pane="bottomLeft" activeCell="D15" sqref="D15"/>
    </sheetView>
  </sheetViews>
  <sheetFormatPr defaultColWidth="12.7109375" defaultRowHeight="15" outlineLevelCol="1" x14ac:dyDescent="0.25"/>
  <cols>
    <col min="1" max="1" width="1.85546875" customWidth="1"/>
    <col min="2" max="2" width="35.42578125" customWidth="1"/>
    <col min="3" max="3" width="14" customWidth="1"/>
    <col min="4" max="4" width="12.85546875" customWidth="1"/>
    <col min="5" max="7" width="12.7109375" hidden="1" customWidth="1" outlineLevel="1"/>
    <col min="8" max="8" width="27.28515625" customWidth="1" collapsed="1"/>
    <col min="9" max="9" width="25.42578125" customWidth="1"/>
    <col min="10" max="10" width="30.7109375" hidden="1" customWidth="1" outlineLevel="1"/>
    <col min="11" max="11" width="8.28515625" customWidth="1" collapsed="1"/>
    <col min="12" max="12" width="15.7109375" customWidth="1"/>
    <col min="13" max="23" width="15.7109375" style="1" customWidth="1"/>
    <col min="24" max="24" width="20.5703125" style="1" customWidth="1"/>
    <col min="25" max="25" width="14" style="1" customWidth="1"/>
    <col min="26" max="26" width="16.2851562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169</v>
      </c>
      <c r="C2" s="72"/>
    </row>
    <row r="3" spans="2:174" s="71" customFormat="1" x14ac:dyDescent="0.25">
      <c r="C3" s="72"/>
    </row>
    <row r="4" spans="2:174" ht="15.75" x14ac:dyDescent="0.25">
      <c r="X4" s="61"/>
      <c r="Y4"/>
      <c r="Z4" s="70"/>
      <c r="AA4" s="69"/>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15.75" x14ac:dyDescent="0.25">
      <c r="H5" s="366"/>
      <c r="I5" s="366"/>
      <c r="J5" s="366"/>
      <c r="K5" s="366"/>
      <c r="L5" s="366"/>
      <c r="M5" s="366"/>
      <c r="N5" s="366"/>
      <c r="O5" s="366"/>
      <c r="P5" s="366"/>
      <c r="Q5" s="366"/>
      <c r="R5" s="366"/>
      <c r="S5" s="366"/>
      <c r="T5" s="366"/>
      <c r="V5" s="15"/>
      <c r="W5" s="15"/>
      <c r="Z5" s="18"/>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5.75" x14ac:dyDescent="0.25">
      <c r="H6" s="63"/>
      <c r="I6" s="63"/>
      <c r="J6" s="63"/>
      <c r="K6" s="63"/>
      <c r="L6" s="63"/>
      <c r="M6" s="63"/>
      <c r="N6" s="63"/>
      <c r="O6" s="63"/>
      <c r="P6" s="63"/>
      <c r="Q6" s="63"/>
      <c r="R6" s="63"/>
      <c r="S6" s="63"/>
      <c r="T6" s="63"/>
      <c r="V6" s="15"/>
      <c r="W6" s="15"/>
      <c r="X6" s="67"/>
      <c r="Y6" s="18"/>
      <c r="Z6" s="18"/>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5.75" x14ac:dyDescent="0.25">
      <c r="K7" s="18"/>
      <c r="L7" s="18"/>
      <c r="M7" s="18"/>
      <c r="N7" s="18"/>
      <c r="O7" s="18"/>
      <c r="P7" s="18"/>
      <c r="Q7" s="18"/>
      <c r="R7" s="18"/>
      <c r="S7" s="18"/>
      <c r="T7" s="18"/>
      <c r="U7" s="18"/>
      <c r="V7" s="18"/>
      <c r="W7" s="67" t="s">
        <v>168</v>
      </c>
      <c r="X7" s="18">
        <v>100</v>
      </c>
      <c r="Z7" s="18"/>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15.75" x14ac:dyDescent="0.25">
      <c r="M8"/>
      <c r="N8"/>
      <c r="O8"/>
      <c r="P8"/>
      <c r="Q8"/>
      <c r="R8"/>
      <c r="S8"/>
      <c r="T8"/>
      <c r="U8"/>
      <c r="V8"/>
      <c r="W8" s="66" t="s">
        <v>167</v>
      </c>
      <c r="X8" s="18">
        <v>0</v>
      </c>
      <c r="Z8" s="18">
        <v>100</v>
      </c>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15.75" x14ac:dyDescent="0.25">
      <c r="K9" s="65"/>
      <c r="L9" s="65"/>
      <c r="M9" s="65"/>
      <c r="N9" s="65"/>
      <c r="O9" s="65"/>
      <c r="P9" s="65"/>
      <c r="Q9" s="65"/>
      <c r="R9" s="65"/>
      <c r="S9" s="65"/>
      <c r="T9" s="65"/>
      <c r="U9" s="65"/>
      <c r="V9" s="65"/>
      <c r="W9" s="64" t="s">
        <v>166</v>
      </c>
      <c r="X9" s="18">
        <v>100</v>
      </c>
      <c r="Z9" s="18"/>
      <c r="AA9" s="62"/>
      <c r="AB9" s="62"/>
      <c r="AC9" s="62"/>
      <c r="AD9" s="62"/>
      <c r="AE9" s="62"/>
      <c r="AF9" s="62"/>
      <c r="AG9" s="62"/>
      <c r="AH9" s="63"/>
      <c r="AJ9" s="62"/>
      <c r="AK9" s="62"/>
      <c r="AL9" s="62"/>
      <c r="AM9" s="62"/>
      <c r="AN9" s="62"/>
      <c r="AO9" s="62"/>
      <c r="AP9" s="62"/>
      <c r="AQ9" s="62"/>
      <c r="AR9" s="62"/>
      <c r="AS9" s="62"/>
      <c r="AT9" s="62"/>
      <c r="AU9" s="62"/>
      <c r="AV9" s="63"/>
      <c r="AX9" s="62"/>
      <c r="AY9" s="62"/>
      <c r="AZ9" s="62"/>
      <c r="BA9" s="62"/>
      <c r="BB9" s="62"/>
      <c r="BC9" s="62"/>
      <c r="BD9" s="62"/>
      <c r="BE9" s="62"/>
      <c r="BF9" s="62"/>
      <c r="BG9" s="62"/>
      <c r="BH9" s="62"/>
      <c r="BI9" s="62"/>
      <c r="BJ9" s="63"/>
      <c r="BL9" s="62"/>
      <c r="BM9" s="62"/>
      <c r="BN9" s="62"/>
      <c r="BO9" s="62"/>
      <c r="BP9" s="62"/>
      <c r="BQ9" s="62"/>
      <c r="BR9" s="62"/>
      <c r="BS9" s="62"/>
      <c r="BT9" s="62"/>
      <c r="BU9" s="62"/>
      <c r="BV9" s="62"/>
      <c r="BW9" s="62"/>
      <c r="BX9" s="63"/>
      <c r="BZ9" s="62"/>
      <c r="CA9" s="62"/>
      <c r="CB9" s="62"/>
      <c r="CC9" s="62"/>
      <c r="CD9" s="62"/>
      <c r="CE9" s="62"/>
      <c r="CF9" s="62"/>
      <c r="CG9" s="62"/>
      <c r="CH9" s="62"/>
      <c r="CI9" s="62"/>
      <c r="CJ9" s="62"/>
      <c r="CK9" s="62"/>
      <c r="CL9" s="63"/>
      <c r="CN9" s="62"/>
      <c r="CO9" s="62"/>
      <c r="CP9" s="62"/>
      <c r="CQ9" s="62"/>
      <c r="CR9" s="62"/>
      <c r="CS9" s="62"/>
      <c r="CT9" s="62"/>
      <c r="CU9" s="62"/>
      <c r="CV9" s="62"/>
      <c r="CW9" s="62"/>
      <c r="CX9" s="62"/>
      <c r="CY9" s="62"/>
      <c r="CZ9" s="63"/>
      <c r="DB9" s="62"/>
      <c r="DC9" s="62"/>
      <c r="DD9" s="62"/>
      <c r="DE9" s="62"/>
      <c r="DF9" s="62"/>
      <c r="DG9" s="62"/>
      <c r="DH9" s="62"/>
      <c r="DI9" s="62"/>
      <c r="DJ9" s="62"/>
      <c r="DK9" s="62"/>
      <c r="DL9" s="62"/>
      <c r="DM9" s="62"/>
      <c r="DN9" s="63"/>
      <c r="DP9" s="62"/>
      <c r="DQ9" s="62"/>
      <c r="DR9" s="62"/>
      <c r="DS9" s="62"/>
      <c r="DT9" s="62"/>
      <c r="DU9" s="62"/>
      <c r="DV9" s="62"/>
      <c r="DW9" s="62"/>
      <c r="DX9" s="62"/>
      <c r="DY9" s="62"/>
      <c r="DZ9" s="62"/>
      <c r="EA9" s="62"/>
      <c r="EB9" s="63"/>
      <c r="ED9" s="62"/>
      <c r="EE9" s="62"/>
      <c r="EF9" s="62"/>
      <c r="EG9" s="62"/>
      <c r="EH9" s="62"/>
      <c r="EI9" s="62"/>
      <c r="EJ9" s="62"/>
      <c r="EK9" s="62"/>
      <c r="EL9" s="62"/>
      <c r="EM9" s="62"/>
      <c r="EN9" s="62"/>
      <c r="EO9" s="62"/>
      <c r="EP9" s="63"/>
      <c r="ER9" s="62"/>
      <c r="ES9" s="62"/>
      <c r="ET9" s="62"/>
      <c r="EU9" s="62"/>
      <c r="EV9" s="62"/>
      <c r="EW9" s="62"/>
      <c r="EX9" s="62"/>
      <c r="EY9" s="62"/>
      <c r="EZ9" s="62"/>
      <c r="FA9" s="62"/>
      <c r="FB9" s="62"/>
      <c r="FC9" s="62"/>
      <c r="FD9" s="63"/>
      <c r="FF9" s="62"/>
      <c r="FG9" s="62"/>
      <c r="FH9" s="62"/>
      <c r="FI9" s="62"/>
      <c r="FJ9" s="62"/>
      <c r="FK9" s="62"/>
      <c r="FL9" s="62"/>
      <c r="FM9" s="62"/>
      <c r="FN9" s="62"/>
      <c r="FO9" s="62"/>
      <c r="FP9" s="62"/>
      <c r="FQ9" s="62"/>
      <c r="FR9" s="63"/>
    </row>
    <row r="10" spans="2:174" x14ac:dyDescent="0.25">
      <c r="V10"/>
      <c r="W10"/>
      <c r="Z10" s="1"/>
      <c r="AA10" s="1"/>
      <c r="AB10" s="1"/>
      <c r="AC10" s="1"/>
      <c r="AD10" s="1"/>
      <c r="AE10" s="1"/>
      <c r="AF10" s="1"/>
      <c r="AG10" s="1"/>
      <c r="AH10" s="1"/>
      <c r="AI10" s="1"/>
      <c r="AJ10" s="56"/>
      <c r="AM10" s="1"/>
      <c r="AN10" s="1"/>
      <c r="AO10" s="1"/>
      <c r="AP10" s="1"/>
      <c r="AQ10" s="1"/>
      <c r="AR10" s="1"/>
      <c r="AS10" s="1"/>
      <c r="AT10" s="1"/>
      <c r="AU10" s="1"/>
      <c r="AV10" s="1"/>
      <c r="AW10" s="1"/>
      <c r="AX10" s="56"/>
      <c r="AZ10" s="1"/>
      <c r="BA10" s="1"/>
      <c r="BB10" s="1"/>
      <c r="BC10" s="1"/>
      <c r="BD10" s="1"/>
      <c r="BE10" s="1"/>
      <c r="BF10" s="1"/>
      <c r="BG10" s="1"/>
      <c r="BH10" s="1"/>
      <c r="BI10" s="1"/>
      <c r="BJ10" s="1"/>
      <c r="BK10" s="1"/>
      <c r="BL10" s="56"/>
      <c r="BN10" s="1"/>
      <c r="BO10" s="1"/>
      <c r="BP10" s="1"/>
      <c r="BQ10" s="1"/>
      <c r="BR10" s="1"/>
      <c r="BS10" s="1"/>
      <c r="BT10" s="1"/>
      <c r="BU10" s="1"/>
      <c r="BV10" s="1"/>
      <c r="BW10" s="1"/>
      <c r="BX10" s="1"/>
      <c r="BY10" s="1"/>
      <c r="BZ10" s="56"/>
    </row>
    <row r="11" spans="2:174" ht="15.75" x14ac:dyDescent="0.25">
      <c r="C11" s="18" t="s">
        <v>255</v>
      </c>
      <c r="D11" s="18" t="s">
        <v>165</v>
      </c>
      <c r="E11" s="18" t="s">
        <v>164</v>
      </c>
      <c r="F11" s="18" t="s">
        <v>163</v>
      </c>
      <c r="G11" s="18" t="s">
        <v>162</v>
      </c>
      <c r="H11" s="18" t="s">
        <v>19</v>
      </c>
      <c r="I11" s="18" t="s">
        <v>174</v>
      </c>
      <c r="J11" s="18" t="s">
        <v>184</v>
      </c>
      <c r="K11" s="18" t="s">
        <v>161</v>
      </c>
      <c r="L11" s="62" t="s">
        <v>108</v>
      </c>
      <c r="M11" s="62" t="s">
        <v>109</v>
      </c>
      <c r="N11" s="62" t="s">
        <v>110</v>
      </c>
      <c r="O11" s="62" t="s">
        <v>111</v>
      </c>
      <c r="P11" s="62" t="s">
        <v>112</v>
      </c>
      <c r="Q11" s="62" t="s">
        <v>124</v>
      </c>
      <c r="R11" s="62" t="s">
        <v>160</v>
      </c>
      <c r="S11" s="62" t="s">
        <v>159</v>
      </c>
      <c r="T11" s="62" t="s">
        <v>158</v>
      </c>
      <c r="U11" s="62" t="s">
        <v>157</v>
      </c>
      <c r="V11" s="62" t="s">
        <v>156</v>
      </c>
      <c r="W11" s="62" t="s">
        <v>113</v>
      </c>
      <c r="X11" s="62" t="s">
        <v>18</v>
      </c>
      <c r="Y11" s="61"/>
      <c r="Z11" s="61"/>
      <c r="AA11" s="15"/>
      <c r="AB11" s="15"/>
      <c r="AC11" s="15"/>
      <c r="AD11" s="15"/>
      <c r="AE11" s="15"/>
      <c r="AF11" s="15"/>
      <c r="AG11" s="15"/>
      <c r="AH11" s="15"/>
      <c r="AI11" s="15"/>
      <c r="AJ11" s="15"/>
      <c r="AK11" s="15"/>
      <c r="AL11" s="15"/>
      <c r="AM11" s="60"/>
      <c r="AN11" s="56"/>
      <c r="AP11" s="1"/>
      <c r="AQ11" s="1"/>
      <c r="AR11" s="1"/>
      <c r="AS11" s="1"/>
      <c r="AT11" s="1"/>
      <c r="AU11" s="1"/>
      <c r="AV11" s="1"/>
      <c r="AW11" s="1"/>
      <c r="AX11" s="1"/>
      <c r="AY11" s="1"/>
      <c r="AZ11" s="1"/>
      <c r="BA11" s="1"/>
      <c r="BB11" s="56"/>
      <c r="BD11" s="1"/>
      <c r="BE11" s="1"/>
      <c r="BF11" s="1"/>
      <c r="BG11" s="1"/>
      <c r="BH11" s="1"/>
      <c r="BI11" s="1"/>
      <c r="BJ11" s="1"/>
      <c r="BK11" s="1"/>
      <c r="BL11" s="1"/>
      <c r="BM11" s="1"/>
      <c r="BN11" s="1"/>
      <c r="BO11" s="1"/>
      <c r="BP11" s="56"/>
      <c r="BR11" s="1"/>
      <c r="BS11" s="1"/>
      <c r="BT11" s="1"/>
      <c r="BU11" s="1"/>
      <c r="BV11" s="1"/>
      <c r="BW11" s="1"/>
      <c r="BX11" s="1"/>
      <c r="BY11" s="1"/>
      <c r="BZ11" s="1"/>
      <c r="CA11" s="1"/>
      <c r="CB11" s="1"/>
      <c r="CC11" s="1"/>
      <c r="CD11" s="56"/>
    </row>
    <row r="12" spans="2:174" x14ac:dyDescent="0.25">
      <c r="C12" s="55" t="s">
        <v>608</v>
      </c>
      <c r="D12" s="11">
        <v>2026</v>
      </c>
      <c r="E12" s="11">
        <f>_xlfn.XLOOKUP(Exp_Plan[[#This Row],[Item]],item_ref[Item],item_ref[Trans_Type],"missing info",0)</f>
        <v>0</v>
      </c>
      <c r="F12" s="11">
        <f>_xlfn.XLOOKUP(Exp_Plan[[#This Row],[Item]],item_ref[Item],item_ref[Fix/Flex],"missing info",0)</f>
        <v>0</v>
      </c>
      <c r="G12" s="11">
        <f>_xlfn.XLOOKUP(Exp_Plan[[#This Row],[Item]],item_ref[Item],item_ref[PRIO],"missing info",0)</f>
        <v>0</v>
      </c>
      <c r="H12" s="41" t="str">
        <f>_xlfn.XLOOKUP(Exp_Plan[[#This Row],[Item]],item_ref[Item],item_ref[Account],"missing info",0)</f>
        <v>Account Payable - School</v>
      </c>
      <c r="I12" t="s">
        <v>147</v>
      </c>
      <c r="K12">
        <v>0</v>
      </c>
      <c r="L12" s="40">
        <v>0</v>
      </c>
      <c r="M12" s="40">
        <v>0</v>
      </c>
      <c r="N12" s="40">
        <v>0</v>
      </c>
      <c r="O12" s="40">
        <v>0</v>
      </c>
      <c r="P12" s="40">
        <v>0</v>
      </c>
      <c r="Q12" s="40">
        <v>0</v>
      </c>
      <c r="R12" s="40">
        <v>0</v>
      </c>
      <c r="S12" s="40">
        <v>0</v>
      </c>
      <c r="T12" s="40">
        <v>4323.96</v>
      </c>
      <c r="U12" s="40">
        <v>0</v>
      </c>
      <c r="V12" s="40">
        <v>0</v>
      </c>
      <c r="W12" s="40">
        <v>0</v>
      </c>
      <c r="X12" s="40">
        <f>SUM(Exp_Plan[[#This Row],[Jan]:[Dec]])</f>
        <v>4323.96</v>
      </c>
      <c r="Y12" s="54"/>
      <c r="Z12" s="54"/>
      <c r="AA12" s="1"/>
      <c r="AU12" s="1"/>
      <c r="AV12" s="1"/>
      <c r="AW12" s="1"/>
      <c r="AX12" s="1"/>
      <c r="AY12" s="1"/>
      <c r="AZ12" s="1"/>
      <c r="BA12" s="1"/>
      <c r="BB12" s="56"/>
      <c r="BD12" s="1"/>
      <c r="BE12" s="1"/>
      <c r="BF12" s="1"/>
      <c r="BG12" s="1"/>
      <c r="BH12" s="1"/>
      <c r="BI12" s="1"/>
      <c r="BJ12" s="1"/>
      <c r="BK12" s="1"/>
      <c r="BL12" s="1"/>
      <c r="BM12" s="1"/>
      <c r="BN12" s="1"/>
      <c r="BO12" s="1"/>
      <c r="BP12" s="56"/>
      <c r="BR12" s="1"/>
      <c r="BS12" s="1"/>
      <c r="BT12" s="1"/>
      <c r="BU12" s="1"/>
      <c r="BV12" s="1"/>
      <c r="BW12" s="1"/>
      <c r="BX12" s="1"/>
      <c r="BY12" s="1"/>
      <c r="BZ12" s="1"/>
      <c r="CA12" s="1"/>
      <c r="CB12" s="1"/>
      <c r="CC12" s="1"/>
      <c r="CD12" s="56"/>
    </row>
    <row r="13" spans="2:174" x14ac:dyDescent="0.25">
      <c r="C13" s="55" t="s">
        <v>608</v>
      </c>
      <c r="D13" s="11">
        <v>2026</v>
      </c>
      <c r="E13" s="11">
        <f>_xlfn.XLOOKUP(Exp_Plan[[#This Row],[Item]],item_ref[Item],item_ref[Trans_Type],"missing info",0)</f>
        <v>0</v>
      </c>
      <c r="F13" s="11">
        <f>_xlfn.XLOOKUP(Exp_Plan[[#This Row],[Item]],item_ref[Item],item_ref[Fix/Flex],"missing info",0)</f>
        <v>0</v>
      </c>
      <c r="G13" s="11">
        <f>_xlfn.XLOOKUP(Exp_Plan[[#This Row],[Item]],item_ref[Item],item_ref[PRIO],"missing info",0)</f>
        <v>0</v>
      </c>
      <c r="H13" s="41" t="str">
        <f>_xlfn.XLOOKUP(Exp_Plan[[#This Row],[Item]],item_ref[Item],item_ref[Account],"missing info",0)</f>
        <v>Connect Expense</v>
      </c>
      <c r="I13" t="s">
        <v>213</v>
      </c>
      <c r="J13" t="s">
        <v>145</v>
      </c>
      <c r="K13">
        <v>1</v>
      </c>
      <c r="L13" s="40">
        <v>0</v>
      </c>
      <c r="M13" s="40">
        <v>0</v>
      </c>
      <c r="N13" s="40">
        <v>0</v>
      </c>
      <c r="O13" s="40">
        <v>0</v>
      </c>
      <c r="P13" s="40">
        <v>0</v>
      </c>
      <c r="Q13" s="40">
        <v>0</v>
      </c>
      <c r="R13" s="40">
        <v>0</v>
      </c>
      <c r="S13" s="40"/>
      <c r="T13" s="40">
        <v>0</v>
      </c>
      <c r="U13" s="40">
        <v>0</v>
      </c>
      <c r="V13" s="40">
        <v>500</v>
      </c>
      <c r="W13" s="40">
        <v>0</v>
      </c>
      <c r="X13" s="40">
        <f>SUM(Exp_Plan[[#This Row],[Jan]:[Dec]])</f>
        <v>500</v>
      </c>
      <c r="Y13" s="54"/>
      <c r="Z13" s="54"/>
      <c r="AA13" s="1"/>
      <c r="AD13">
        <v>22.5</v>
      </c>
      <c r="AE13">
        <v>15</v>
      </c>
      <c r="AU13" s="1"/>
      <c r="AV13" s="1"/>
      <c r="AW13" s="1"/>
      <c r="AX13" s="1"/>
      <c r="AY13" s="1"/>
      <c r="AZ13" s="1"/>
      <c r="BA13" s="1"/>
      <c r="BB13" s="56"/>
      <c r="BD13" s="1"/>
      <c r="BE13" s="1"/>
      <c r="BF13" s="1"/>
      <c r="BG13" s="1"/>
      <c r="BH13" s="1"/>
      <c r="BI13" s="1"/>
      <c r="BJ13" s="1"/>
      <c r="BK13" s="1"/>
      <c r="BL13" s="1"/>
      <c r="BM13" s="1"/>
      <c r="BN13" s="1"/>
      <c r="BO13" s="1"/>
      <c r="BP13" s="56"/>
      <c r="BR13" s="1"/>
      <c r="BS13" s="1"/>
      <c r="BT13" s="1"/>
      <c r="BU13" s="1"/>
      <c r="BV13" s="1"/>
      <c r="BW13" s="1"/>
      <c r="BX13" s="1"/>
      <c r="BY13" s="1"/>
      <c r="BZ13" s="1"/>
      <c r="CA13" s="1"/>
      <c r="CB13" s="1"/>
      <c r="CC13" s="1"/>
      <c r="CD13" s="56"/>
    </row>
    <row r="14" spans="2:174" x14ac:dyDescent="0.25">
      <c r="C14" s="55" t="s">
        <v>608</v>
      </c>
      <c r="D14" s="75">
        <v>2026</v>
      </c>
      <c r="E14" s="11">
        <f>_xlfn.XLOOKUP(Exp_Plan[[#This Row],[Item]],item_ref[Item],item_ref[Trans_Type],"missing info",0)</f>
        <v>4</v>
      </c>
      <c r="F14" s="11">
        <f>_xlfn.XLOOKUP(Exp_Plan[[#This Row],[Item]],item_ref[Item],item_ref[Fix/Flex],"missing info",0)</f>
        <v>1</v>
      </c>
      <c r="G14" s="11">
        <f>_xlfn.XLOOKUP(Exp_Plan[[#This Row],[Item]],item_ref[Item],item_ref[PRIO],"missing info",0)</f>
        <v>4</v>
      </c>
      <c r="H14" s="41" t="str">
        <f>_xlfn.XLOOKUP(Exp_Plan[[#This Row],[Item]],item_ref[Item],item_ref[Account],"missing info",0)</f>
        <v>Education Expense</v>
      </c>
      <c r="I14" t="s">
        <v>134</v>
      </c>
      <c r="K14">
        <v>0</v>
      </c>
      <c r="L14" s="40">
        <v>0</v>
      </c>
      <c r="M14" s="40">
        <v>0</v>
      </c>
      <c r="N14" s="40">
        <v>0</v>
      </c>
      <c r="O14" s="40">
        <v>0</v>
      </c>
      <c r="P14" s="40">
        <v>0</v>
      </c>
      <c r="Q14" s="40">
        <v>0</v>
      </c>
      <c r="R14" s="40">
        <v>0</v>
      </c>
      <c r="S14" s="40">
        <v>0</v>
      </c>
      <c r="T14" s="40">
        <v>0</v>
      </c>
      <c r="U14" s="40">
        <v>0</v>
      </c>
      <c r="V14" s="40">
        <v>0</v>
      </c>
      <c r="W14" s="40">
        <v>0</v>
      </c>
      <c r="X14" s="40">
        <f>SUM(Exp_Plan[[#This Row],[Jan]:[Dec]])</f>
        <v>0</v>
      </c>
      <c r="Y14" s="54"/>
      <c r="Z14" s="54"/>
      <c r="AA14" s="1"/>
      <c r="AU14" s="1"/>
      <c r="AV14" s="1"/>
      <c r="AW14" s="1"/>
      <c r="AX14" s="1"/>
      <c r="AY14" s="1"/>
      <c r="AZ14" s="1"/>
      <c r="BA14" s="1"/>
      <c r="BB14" s="56"/>
      <c r="BD14" s="1"/>
      <c r="BE14" s="1"/>
      <c r="BF14" s="1"/>
      <c r="BG14" s="1"/>
      <c r="BH14" s="1"/>
      <c r="BI14" s="1"/>
      <c r="BJ14" s="1"/>
      <c r="BK14" s="1"/>
      <c r="BL14" s="1"/>
      <c r="BM14" s="1"/>
      <c r="BN14" s="1"/>
      <c r="BO14" s="1"/>
      <c r="BP14" s="56"/>
      <c r="BR14" s="1"/>
      <c r="BS14" s="1"/>
      <c r="BT14" s="1"/>
      <c r="BU14" s="1"/>
      <c r="BV14" s="1"/>
      <c r="BW14" s="1"/>
      <c r="BX14" s="1"/>
      <c r="BY14" s="1"/>
      <c r="BZ14" s="1"/>
      <c r="CA14" s="1"/>
      <c r="CB14" s="1"/>
      <c r="CC14" s="1"/>
      <c r="CD14" s="56"/>
    </row>
    <row r="15" spans="2:174" x14ac:dyDescent="0.25">
      <c r="C15" s="55" t="s">
        <v>608</v>
      </c>
      <c r="D15" s="75">
        <v>2026</v>
      </c>
      <c r="E15" s="11">
        <f>_xlfn.XLOOKUP(Exp_Plan[[#This Row],[Item]],item_ref[Item],item_ref[Trans_Type],"missing info",0)</f>
        <v>0</v>
      </c>
      <c r="F15" s="11">
        <f>_xlfn.XLOOKUP(Exp_Plan[[#This Row],[Item]],item_ref[Item],item_ref[Fix/Flex],"missing info",0)</f>
        <v>1</v>
      </c>
      <c r="G15" s="11">
        <f>_xlfn.XLOOKUP(Exp_Plan[[#This Row],[Item]],item_ref[Item],item_ref[PRIO],"missing info",0)</f>
        <v>4</v>
      </c>
      <c r="H15" s="41" t="str">
        <f>_xlfn.XLOOKUP(Exp_Plan[[#This Row],[Item]],item_ref[Item],item_ref[Account],"missing info",0)</f>
        <v>Education Expense</v>
      </c>
      <c r="I15" t="s">
        <v>319</v>
      </c>
      <c r="K15">
        <v>1</v>
      </c>
      <c r="L15" s="40">
        <v>3</v>
      </c>
      <c r="M15" s="40">
        <v>3</v>
      </c>
      <c r="N15" s="40">
        <v>3</v>
      </c>
      <c r="O15" s="40">
        <v>3</v>
      </c>
      <c r="P15" s="40">
        <v>3</v>
      </c>
      <c r="Q15" s="40">
        <v>3</v>
      </c>
      <c r="R15" s="40">
        <v>3</v>
      </c>
      <c r="S15" s="40">
        <v>3</v>
      </c>
      <c r="T15" s="40">
        <v>3</v>
      </c>
      <c r="U15" s="40">
        <v>3</v>
      </c>
      <c r="V15" s="40">
        <v>3</v>
      </c>
      <c r="W15" s="40">
        <v>3</v>
      </c>
      <c r="X15" s="40">
        <f>SUM(Exp_Plan[[#This Row],[Jan]:[Dec]])</f>
        <v>36</v>
      </c>
      <c r="Y15" s="54"/>
      <c r="Z15" s="54"/>
      <c r="AA15" s="1"/>
      <c r="AU15" s="1"/>
      <c r="AV15" s="1"/>
      <c r="AW15" s="1"/>
      <c r="AX15" s="1"/>
      <c r="AY15" s="1"/>
      <c r="AZ15" s="1"/>
      <c r="BA15" s="1"/>
      <c r="BB15" s="56"/>
      <c r="BD15" s="1"/>
      <c r="BE15" s="1"/>
      <c r="BF15" s="1"/>
      <c r="BG15" s="1"/>
      <c r="BH15" s="1"/>
      <c r="BI15" s="1"/>
      <c r="BJ15" s="1"/>
      <c r="BK15" s="1"/>
      <c r="BL15" s="1"/>
      <c r="BM15" s="1"/>
      <c r="BN15" s="1"/>
      <c r="BO15" s="1"/>
      <c r="BP15" s="56"/>
      <c r="BR15" s="1"/>
      <c r="BS15" s="1"/>
      <c r="BT15" s="1"/>
      <c r="BU15" s="1"/>
      <c r="BV15" s="1"/>
      <c r="BW15" s="1"/>
      <c r="BX15" s="1"/>
      <c r="BY15" s="1"/>
      <c r="BZ15" s="1"/>
      <c r="CA15" s="1"/>
      <c r="CB15" s="1"/>
      <c r="CC15" s="1"/>
      <c r="CD15" s="56"/>
    </row>
    <row r="16" spans="2:174" x14ac:dyDescent="0.25">
      <c r="C16" s="55" t="s">
        <v>608</v>
      </c>
      <c r="D16" s="75">
        <v>2026</v>
      </c>
      <c r="E16" s="11">
        <f>_xlfn.XLOOKUP(Exp_Plan[[#This Row],[Item]],item_ref[Item],item_ref[Trans_Type],"missing info",0)</f>
        <v>0</v>
      </c>
      <c r="F16" s="11">
        <f>_xlfn.XLOOKUP(Exp_Plan[[#This Row],[Item]],item_ref[Item],item_ref[Fix/Flex],"missing info",0)</f>
        <v>0</v>
      </c>
      <c r="G16" s="11">
        <f>_xlfn.XLOOKUP(Exp_Plan[[#This Row],[Item]],item_ref[Item],item_ref[PRIO],"missing info",0)</f>
        <v>2</v>
      </c>
      <c r="H16" s="41" t="str">
        <f>_xlfn.XLOOKUP(Exp_Plan[[#This Row],[Item]],item_ref[Item],item_ref[Account],"missing info",0)</f>
        <v>Medical Expense</v>
      </c>
      <c r="I16" t="s">
        <v>143</v>
      </c>
      <c r="K16">
        <v>1</v>
      </c>
      <c r="L16" s="40">
        <v>0</v>
      </c>
      <c r="M16" s="40">
        <v>0</v>
      </c>
      <c r="N16" s="40">
        <v>0</v>
      </c>
      <c r="O16" s="40">
        <v>0</v>
      </c>
      <c r="P16" s="40">
        <v>0</v>
      </c>
      <c r="Q16" s="40">
        <v>0</v>
      </c>
      <c r="R16" s="40">
        <v>0</v>
      </c>
      <c r="S16" s="40">
        <v>0</v>
      </c>
      <c r="T16" s="40"/>
      <c r="U16" s="40">
        <v>60</v>
      </c>
      <c r="V16" s="40">
        <v>0</v>
      </c>
      <c r="W16" s="40">
        <v>0</v>
      </c>
      <c r="X16" s="40">
        <f>SUM(Exp_Plan[[#This Row],[Jan]:[Dec]])</f>
        <v>60</v>
      </c>
      <c r="Y16" s="54"/>
      <c r="Z16" s="54"/>
      <c r="AA16" s="1"/>
      <c r="AU16" s="1"/>
      <c r="AV16" s="1"/>
      <c r="AW16" s="1"/>
      <c r="AX16" s="1"/>
      <c r="AY16" s="1"/>
      <c r="AZ16" s="1"/>
      <c r="BA16" s="1"/>
      <c r="BB16" s="56"/>
      <c r="BD16" s="1"/>
      <c r="BE16" s="1"/>
      <c r="BF16" s="1"/>
      <c r="BG16" s="1"/>
      <c r="BH16" s="1"/>
      <c r="BI16" s="1"/>
      <c r="BJ16" s="1"/>
      <c r="BK16" s="1"/>
      <c r="BL16" s="1"/>
      <c r="BM16" s="1"/>
      <c r="BN16" s="1"/>
      <c r="BO16" s="1"/>
      <c r="BP16" s="56"/>
      <c r="BR16" s="1"/>
      <c r="BS16" s="1"/>
      <c r="BT16" s="1"/>
      <c r="BU16" s="1"/>
      <c r="BV16" s="1"/>
      <c r="BW16" s="1"/>
      <c r="BX16" s="1"/>
      <c r="BY16" s="1"/>
      <c r="BZ16" s="1"/>
      <c r="CA16" s="1"/>
      <c r="CB16" s="1"/>
      <c r="CC16" s="1"/>
      <c r="CD16" s="56"/>
    </row>
    <row r="17" spans="3:82" x14ac:dyDescent="0.25">
      <c r="C17" s="55" t="s">
        <v>608</v>
      </c>
      <c r="D17" s="11">
        <v>2026</v>
      </c>
      <c r="E17" s="11">
        <f>_xlfn.XLOOKUP(Exp_Plan[[#This Row],[Item]],item_ref[Item],item_ref[Trans_Type],"missing info",0)</f>
        <v>0</v>
      </c>
      <c r="F17" s="11">
        <f>_xlfn.XLOOKUP(Exp_Plan[[#This Row],[Item]],item_ref[Item],item_ref[Fix/Flex],"missing info",0)</f>
        <v>0</v>
      </c>
      <c r="G17" s="11">
        <f>_xlfn.XLOOKUP(Exp_Plan[[#This Row],[Item]],item_ref[Item],item_ref[PRIO],"missing info",0)</f>
        <v>0</v>
      </c>
      <c r="H17" s="41" t="str">
        <f>_xlfn.XLOOKUP(Exp_Plan[[#This Row],[Item]],item_ref[Item],item_ref[Account],"missing info",0)</f>
        <v>Nutrition Expense</v>
      </c>
      <c r="I17" t="s">
        <v>185</v>
      </c>
      <c r="K17">
        <v>1</v>
      </c>
      <c r="L17" s="40">
        <v>500</v>
      </c>
      <c r="M17" s="40">
        <v>500</v>
      </c>
      <c r="N17" s="40">
        <v>500</v>
      </c>
      <c r="O17" s="40">
        <v>500</v>
      </c>
      <c r="P17" s="40">
        <v>500</v>
      </c>
      <c r="Q17" s="40">
        <v>500</v>
      </c>
      <c r="R17" s="40">
        <v>500</v>
      </c>
      <c r="S17" s="40">
        <v>500</v>
      </c>
      <c r="T17" s="40">
        <v>500</v>
      </c>
      <c r="U17" s="40">
        <v>500</v>
      </c>
      <c r="V17" s="40">
        <v>500</v>
      </c>
      <c r="W17" s="40">
        <v>500</v>
      </c>
      <c r="X17" s="40">
        <f>SUM(Exp_Plan[[#This Row],[Jan]:[Dec]])</f>
        <v>6000</v>
      </c>
      <c r="Y17" s="54"/>
      <c r="Z17" s="54"/>
      <c r="AA17" s="1"/>
      <c r="AU17" s="1"/>
      <c r="AV17" s="1"/>
      <c r="AW17" s="1"/>
      <c r="AX17" s="1"/>
      <c r="AY17" s="1"/>
      <c r="AZ17" s="1"/>
      <c r="BA17" s="1"/>
      <c r="BB17" s="56"/>
      <c r="BD17" s="1"/>
      <c r="BE17" s="1"/>
      <c r="BF17" s="1"/>
      <c r="BG17" s="1"/>
      <c r="BH17" s="1"/>
      <c r="BI17" s="1"/>
      <c r="BJ17" s="1"/>
      <c r="BK17" s="1"/>
      <c r="BL17" s="1"/>
      <c r="BM17" s="1"/>
      <c r="BN17" s="1"/>
      <c r="BO17" s="1"/>
      <c r="BP17" s="56"/>
      <c r="BR17" s="1"/>
      <c r="BS17" s="1"/>
      <c r="BT17" s="1"/>
      <c r="BU17" s="1"/>
      <c r="BV17" s="1"/>
      <c r="BW17" s="1"/>
      <c r="BX17" s="1"/>
      <c r="BY17" s="1"/>
      <c r="BZ17" s="1"/>
      <c r="CA17" s="1"/>
      <c r="CB17" s="1"/>
      <c r="CC17" s="1"/>
      <c r="CD17" s="56"/>
    </row>
    <row r="18" spans="3:82" x14ac:dyDescent="0.25">
      <c r="C18" s="55" t="s">
        <v>608</v>
      </c>
      <c r="D18" s="75">
        <v>2026</v>
      </c>
      <c r="E18" s="11">
        <f>_xlfn.XLOOKUP(Exp_Plan[[#This Row],[Item]],item_ref[Item],item_ref[Trans_Type],"missing info",0)</f>
        <v>0</v>
      </c>
      <c r="F18" s="11">
        <f>_xlfn.XLOOKUP(Exp_Plan[[#This Row],[Item]],item_ref[Item],item_ref[Fix/Flex],"missing info",0)</f>
        <v>0</v>
      </c>
      <c r="G18" s="11">
        <f>_xlfn.XLOOKUP(Exp_Plan[[#This Row],[Item]],item_ref[Item],item_ref[PRIO],"missing info",0)</f>
        <v>0</v>
      </c>
      <c r="H18" s="41" t="str">
        <f>_xlfn.XLOOKUP(Exp_Plan[[#This Row],[Item]],item_ref[Item],item_ref[Account],"missing info",0)</f>
        <v>Nutrition Expense</v>
      </c>
      <c r="I18" t="s">
        <v>235</v>
      </c>
      <c r="K18">
        <v>1</v>
      </c>
      <c r="L18" s="40">
        <v>100</v>
      </c>
      <c r="M18" s="40">
        <v>100</v>
      </c>
      <c r="N18" s="40">
        <v>100</v>
      </c>
      <c r="O18" s="40">
        <v>100</v>
      </c>
      <c r="P18" s="40">
        <v>100</v>
      </c>
      <c r="Q18" s="40">
        <v>100</v>
      </c>
      <c r="R18" s="40">
        <v>100</v>
      </c>
      <c r="S18" s="40">
        <v>100</v>
      </c>
      <c r="T18" s="40">
        <v>100</v>
      </c>
      <c r="U18" s="40">
        <v>100</v>
      </c>
      <c r="V18" s="40">
        <v>100</v>
      </c>
      <c r="W18" s="40">
        <v>100</v>
      </c>
      <c r="X18" s="40">
        <f>SUM(Exp_Plan[[#This Row],[Jan]:[Dec]])</f>
        <v>1200</v>
      </c>
      <c r="Y18" s="54"/>
      <c r="Z18" s="54"/>
      <c r="AA18" s="1"/>
      <c r="AC18">
        <v>22</v>
      </c>
      <c r="AU18" s="1"/>
      <c r="AV18" s="1"/>
      <c r="AW18" s="1"/>
      <c r="AX18" s="1"/>
      <c r="AY18" s="1"/>
      <c r="AZ18" s="1"/>
      <c r="BA18" s="1"/>
      <c r="BB18" s="56"/>
      <c r="BD18" s="1"/>
      <c r="BE18" s="1"/>
      <c r="BF18" s="1"/>
      <c r="BG18" s="1"/>
      <c r="BH18" s="1"/>
      <c r="BI18" s="1"/>
      <c r="BJ18" s="1"/>
      <c r="BK18" s="1"/>
      <c r="BL18" s="1"/>
      <c r="BM18" s="1"/>
      <c r="BN18" s="1"/>
      <c r="BO18" s="1"/>
      <c r="BP18" s="56"/>
      <c r="BR18" s="1"/>
      <c r="BS18" s="1"/>
      <c r="BT18" s="1"/>
      <c r="BU18" s="1"/>
      <c r="BV18" s="1"/>
      <c r="BW18" s="1"/>
      <c r="BX18" s="1"/>
      <c r="BY18" s="1"/>
      <c r="BZ18" s="1"/>
      <c r="CA18" s="1"/>
      <c r="CB18" s="1"/>
      <c r="CC18" s="1"/>
      <c r="CD18" s="56"/>
    </row>
    <row r="19" spans="3:82" x14ac:dyDescent="0.25">
      <c r="C19" s="55" t="s">
        <v>608</v>
      </c>
      <c r="D19" s="75">
        <v>2026</v>
      </c>
      <c r="E19" s="11">
        <f>_xlfn.XLOOKUP(Exp_Plan[[#This Row],[Item]],item_ref[Item],item_ref[Trans_Type],"missing info",0)</f>
        <v>4</v>
      </c>
      <c r="F19" s="11">
        <f>_xlfn.XLOOKUP(Exp_Plan[[#This Row],[Item]],item_ref[Item],item_ref[Fix/Flex],"missing info",0)</f>
        <v>1</v>
      </c>
      <c r="G19" s="11">
        <f>_xlfn.XLOOKUP(Exp_Plan[[#This Row],[Item]],item_ref[Item],item_ref[PRIO],"missing info",0)</f>
        <v>2</v>
      </c>
      <c r="H19" s="41" t="str">
        <f>_xlfn.XLOOKUP(Exp_Plan[[#This Row],[Item]],item_ref[Item],item_ref[Account],"missing info",0)</f>
        <v>Office &amp; Computer Expense</v>
      </c>
      <c r="I19" t="s">
        <v>144</v>
      </c>
      <c r="K19">
        <v>1</v>
      </c>
      <c r="L19" s="40">
        <v>0</v>
      </c>
      <c r="M19" s="40">
        <v>0</v>
      </c>
      <c r="N19" s="40">
        <v>0</v>
      </c>
      <c r="O19" s="40">
        <v>0</v>
      </c>
      <c r="P19" s="40">
        <v>0</v>
      </c>
      <c r="Q19" s="40">
        <v>0</v>
      </c>
      <c r="R19" s="40">
        <v>0</v>
      </c>
      <c r="S19" s="40">
        <v>0</v>
      </c>
      <c r="T19" s="40">
        <v>123.17</v>
      </c>
      <c r="U19" s="40">
        <v>0</v>
      </c>
      <c r="V19" s="40">
        <v>0</v>
      </c>
      <c r="W19" s="40">
        <v>0</v>
      </c>
      <c r="X19" s="40">
        <f>SUM(Exp_Plan[[#This Row],[Jan]:[Dec]])</f>
        <v>123.17</v>
      </c>
      <c r="Y19" s="54"/>
      <c r="Z19" s="54"/>
      <c r="AA19" s="1"/>
      <c r="AB19">
        <v>37.5</v>
      </c>
      <c r="AC19">
        <f>AB19*$AC$18</f>
        <v>825</v>
      </c>
      <c r="AU19" s="1"/>
      <c r="AV19" s="1"/>
      <c r="AW19" s="1"/>
      <c r="AX19" s="1"/>
      <c r="AY19" s="1"/>
      <c r="AZ19" s="1"/>
      <c r="BA19" s="1"/>
      <c r="BB19" s="56"/>
      <c r="BD19" s="1"/>
      <c r="BE19" s="1"/>
      <c r="BF19" s="1"/>
      <c r="BG19" s="1"/>
      <c r="BH19" s="1"/>
      <c r="BI19" s="1"/>
      <c r="BJ19" s="1"/>
      <c r="BK19" s="1"/>
      <c r="BL19" s="1"/>
      <c r="BM19" s="1"/>
      <c r="BN19" s="1"/>
      <c r="BO19" s="1"/>
      <c r="BP19" s="56"/>
      <c r="BR19" s="1"/>
      <c r="BS19" s="1"/>
      <c r="BT19" s="1"/>
      <c r="BU19" s="1"/>
      <c r="BV19" s="1"/>
      <c r="BW19" s="1"/>
      <c r="BX19" s="1"/>
      <c r="BY19" s="1"/>
      <c r="BZ19" s="1"/>
      <c r="CA19" s="1"/>
      <c r="CB19" s="1"/>
      <c r="CC19" s="1"/>
      <c r="CD19" s="56"/>
    </row>
    <row r="20" spans="3:82" x14ac:dyDescent="0.25">
      <c r="C20" s="55" t="s">
        <v>608</v>
      </c>
      <c r="D20" s="75">
        <v>2026</v>
      </c>
      <c r="E20" s="11">
        <f>_xlfn.XLOOKUP(Exp_Plan[[#This Row],[Item]],item_ref[Item],item_ref[Trans_Type],"missing info",0)</f>
        <v>4</v>
      </c>
      <c r="F20" s="11">
        <f>_xlfn.XLOOKUP(Exp_Plan[[#This Row],[Item]],item_ref[Item],item_ref[Fix/Flex],"missing info",0)</f>
        <v>1</v>
      </c>
      <c r="G20" s="11">
        <f>_xlfn.XLOOKUP(Exp_Plan[[#This Row],[Item]],item_ref[Item],item_ref[PRIO],"missing info",0)</f>
        <v>2</v>
      </c>
      <c r="H20" s="41" t="str">
        <f>_xlfn.XLOOKUP(Exp_Plan[[#This Row],[Item]],item_ref[Item],item_ref[Account],"missing info",0)</f>
        <v>Office &amp; Computer Expense</v>
      </c>
      <c r="I20" t="s">
        <v>141</v>
      </c>
      <c r="K20">
        <v>1</v>
      </c>
      <c r="L20" s="40">
        <v>0</v>
      </c>
      <c r="M20" s="40">
        <v>0</v>
      </c>
      <c r="N20" s="40">
        <v>0</v>
      </c>
      <c r="O20" s="40">
        <v>0</v>
      </c>
      <c r="P20" s="40">
        <v>0</v>
      </c>
      <c r="Q20" s="40"/>
      <c r="R20" s="40">
        <v>0</v>
      </c>
      <c r="S20" s="40">
        <v>0</v>
      </c>
      <c r="T20" s="40">
        <v>142.99</v>
      </c>
      <c r="U20" s="40">
        <v>0</v>
      </c>
      <c r="V20" s="40">
        <v>0</v>
      </c>
      <c r="W20" s="40">
        <v>0</v>
      </c>
      <c r="X20" s="40">
        <f>SUM(Exp_Plan[[#This Row],[Jan]:[Dec]])</f>
        <v>142.99</v>
      </c>
      <c r="Y20" s="54"/>
      <c r="Z20" s="54"/>
      <c r="AA20" s="1"/>
      <c r="AU20" s="1"/>
      <c r="AV20" s="1"/>
      <c r="AW20" s="1"/>
      <c r="AX20" s="1"/>
      <c r="AY20" s="1"/>
      <c r="AZ20" s="1"/>
      <c r="BA20" s="1"/>
      <c r="BB20" s="56"/>
      <c r="BD20" s="1"/>
      <c r="BE20" s="1"/>
      <c r="BF20" s="1"/>
      <c r="BG20" s="1"/>
      <c r="BH20" s="1"/>
      <c r="BI20" s="1"/>
      <c r="BJ20" s="1"/>
      <c r="BK20" s="1"/>
      <c r="BL20" s="1"/>
      <c r="BM20" s="1"/>
      <c r="BN20" s="1"/>
      <c r="BO20" s="1"/>
      <c r="BP20" s="56"/>
      <c r="BR20" s="1"/>
      <c r="BS20" s="1"/>
      <c r="BT20" s="1"/>
      <c r="BU20" s="1"/>
      <c r="BV20" s="1"/>
      <c r="BW20" s="1"/>
      <c r="BX20" s="1"/>
      <c r="BY20" s="1"/>
      <c r="BZ20" s="1"/>
      <c r="CA20" s="1"/>
      <c r="CB20" s="1"/>
      <c r="CC20" s="1"/>
      <c r="CD20" s="56"/>
    </row>
    <row r="21" spans="3:82" x14ac:dyDescent="0.25">
      <c r="C21" s="55" t="s">
        <v>608</v>
      </c>
      <c r="D21" s="75">
        <v>2026</v>
      </c>
      <c r="E21" s="11">
        <f>_xlfn.XLOOKUP(Exp_Plan[[#This Row],[Item]],item_ref[Item],item_ref[Trans_Type],"missing info",0)</f>
        <v>4</v>
      </c>
      <c r="F21" s="11">
        <f>_xlfn.XLOOKUP(Exp_Plan[[#This Row],[Item]],item_ref[Item],item_ref[Fix/Flex],"missing info",0)</f>
        <v>1</v>
      </c>
      <c r="G21" s="11">
        <f>_xlfn.XLOOKUP(Exp_Plan[[#This Row],[Item]],item_ref[Item],item_ref[PRIO],"missing info",0)</f>
        <v>2</v>
      </c>
      <c r="H21" s="41" t="str">
        <f>_xlfn.XLOOKUP(Exp_Plan[[#This Row],[Item]],item_ref[Item],item_ref[Account],"missing info",0)</f>
        <v>Office &amp; Computer Expense</v>
      </c>
      <c r="I21" t="s">
        <v>137</v>
      </c>
      <c r="K21">
        <v>1</v>
      </c>
      <c r="L21" s="40">
        <v>0</v>
      </c>
      <c r="M21" s="40">
        <v>0</v>
      </c>
      <c r="N21" s="40">
        <v>0</v>
      </c>
      <c r="O21" s="40">
        <v>0</v>
      </c>
      <c r="P21" s="40">
        <v>0</v>
      </c>
      <c r="Q21" s="40">
        <v>0</v>
      </c>
      <c r="R21" s="40">
        <v>0</v>
      </c>
      <c r="S21" s="40">
        <v>0</v>
      </c>
      <c r="T21" s="40">
        <v>0</v>
      </c>
      <c r="U21" s="40">
        <v>27.59</v>
      </c>
      <c r="V21" s="40">
        <v>0</v>
      </c>
      <c r="W21" s="40">
        <v>0</v>
      </c>
      <c r="X21" s="40">
        <f>SUM(Exp_Plan[[#This Row],[Jan]:[Dec]])</f>
        <v>27.59</v>
      </c>
      <c r="Y21" s="54"/>
      <c r="Z21" s="54"/>
      <c r="AA21" s="1"/>
      <c r="AU21" s="1"/>
      <c r="AV21" s="1"/>
      <c r="AW21" s="1"/>
      <c r="AX21" s="1"/>
      <c r="AY21" s="1"/>
      <c r="AZ21" s="1"/>
      <c r="BA21" s="1"/>
      <c r="BB21" s="56"/>
      <c r="BD21" s="1"/>
      <c r="BE21" s="1"/>
      <c r="BF21" s="1"/>
      <c r="BG21" s="1"/>
      <c r="BH21" s="1"/>
      <c r="BI21" s="1"/>
      <c r="BJ21" s="1"/>
      <c r="BK21" s="1"/>
      <c r="BL21" s="1"/>
      <c r="BM21" s="1"/>
      <c r="BN21" s="1"/>
      <c r="BO21" s="1"/>
      <c r="BP21" s="56"/>
      <c r="BR21" s="1"/>
      <c r="BS21" s="1"/>
      <c r="BT21" s="1"/>
      <c r="BU21" s="1"/>
      <c r="BV21" s="1"/>
      <c r="BW21" s="1"/>
      <c r="BX21" s="1"/>
      <c r="BY21" s="1"/>
      <c r="BZ21" s="1"/>
      <c r="CA21" s="1"/>
      <c r="CB21" s="1"/>
      <c r="CC21" s="1"/>
      <c r="CD21" s="56"/>
    </row>
    <row r="22" spans="3:82" x14ac:dyDescent="0.25">
      <c r="C22" s="55" t="s">
        <v>608</v>
      </c>
      <c r="D22" s="75">
        <v>2026</v>
      </c>
      <c r="E22" s="11">
        <f>_xlfn.XLOOKUP(Exp_Plan[[#This Row],[Item]],item_ref[Item],item_ref[Trans_Type],"missing info",0)</f>
        <v>4</v>
      </c>
      <c r="F22" s="11">
        <f>_xlfn.XLOOKUP(Exp_Plan[[#This Row],[Item]],item_ref[Item],item_ref[Fix/Flex],"missing info",0)</f>
        <v>1</v>
      </c>
      <c r="G22" s="11">
        <f>_xlfn.XLOOKUP(Exp_Plan[[#This Row],[Item]],item_ref[Item],item_ref[PRIO],"missing info",0)</f>
        <v>3</v>
      </c>
      <c r="H22" s="41" t="str">
        <f>_xlfn.XLOOKUP(Exp_Plan[[#This Row],[Item]],item_ref[Item],item_ref[Account],"missing info",0)</f>
        <v>Office &amp; Computer Expense</v>
      </c>
      <c r="I22" t="s">
        <v>152</v>
      </c>
      <c r="K22">
        <v>1</v>
      </c>
      <c r="L22" s="40">
        <v>0</v>
      </c>
      <c r="M22" s="40">
        <v>0</v>
      </c>
      <c r="N22" s="40">
        <v>0</v>
      </c>
      <c r="O22" s="40">
        <v>0</v>
      </c>
      <c r="P22" s="40">
        <v>14.31</v>
      </c>
      <c r="Q22" s="40">
        <v>14.31</v>
      </c>
      <c r="R22" s="40">
        <v>14.31</v>
      </c>
      <c r="S22" s="40">
        <v>14.31</v>
      </c>
      <c r="T22" s="40">
        <v>14.31</v>
      </c>
      <c r="U22" s="40">
        <v>14.31</v>
      </c>
      <c r="V22" s="40">
        <v>14.31</v>
      </c>
      <c r="W22" s="40">
        <v>14.31</v>
      </c>
      <c r="X22" s="40">
        <f>SUM(Exp_Plan[[#This Row],[Jan]:[Dec]])</f>
        <v>114.48</v>
      </c>
      <c r="Y22" s="54"/>
      <c r="Z22" s="54"/>
      <c r="AA22" s="1"/>
      <c r="AU22" s="1"/>
      <c r="AV22" s="1"/>
      <c r="AW22" s="1"/>
      <c r="AX22" s="1"/>
      <c r="AY22" s="1"/>
      <c r="AZ22" s="1"/>
      <c r="BA22" s="1"/>
      <c r="BB22" s="56"/>
      <c r="BD22" s="1"/>
      <c r="BE22" s="1"/>
      <c r="BF22" s="1"/>
      <c r="BG22" s="1"/>
      <c r="BH22" s="1"/>
      <c r="BI22" s="1"/>
      <c r="BJ22" s="1"/>
      <c r="BK22" s="1"/>
      <c r="BL22" s="1"/>
      <c r="BM22" s="1"/>
      <c r="BN22" s="1"/>
      <c r="BO22" s="1"/>
      <c r="BP22" s="56"/>
      <c r="BR22" s="1"/>
      <c r="BS22" s="1"/>
      <c r="BT22" s="1"/>
      <c r="BU22" s="1"/>
      <c r="BV22" s="1"/>
      <c r="BW22" s="1"/>
      <c r="BX22" s="1"/>
      <c r="BY22" s="1"/>
      <c r="BZ22" s="1"/>
      <c r="CA22" s="1"/>
      <c r="CB22" s="1"/>
      <c r="CC22" s="1"/>
      <c r="CD22" s="56"/>
    </row>
    <row r="23" spans="3:82" x14ac:dyDescent="0.25">
      <c r="C23" s="55" t="s">
        <v>608</v>
      </c>
      <c r="D23" s="75">
        <v>2026</v>
      </c>
      <c r="E23" s="11">
        <f>_xlfn.XLOOKUP(Exp_Plan[[#This Row],[Item]],item_ref[Item],item_ref[Trans_Type],"missing info",0)</f>
        <v>4</v>
      </c>
      <c r="F23" s="11">
        <f>_xlfn.XLOOKUP(Exp_Plan[[#This Row],[Item]],item_ref[Item],item_ref[Fix/Flex],"missing info",0)</f>
        <v>1</v>
      </c>
      <c r="G23" s="11">
        <f>_xlfn.XLOOKUP(Exp_Plan[[#This Row],[Item]],item_ref[Item],item_ref[PRIO],"missing info",0)</f>
        <v>3</v>
      </c>
      <c r="H23" s="41" t="str">
        <f>_xlfn.XLOOKUP(Exp_Plan[[#This Row],[Item]],item_ref[Item],item_ref[Account],"missing info",0)</f>
        <v>Office &amp; Computer Expense</v>
      </c>
      <c r="I23" t="s">
        <v>151</v>
      </c>
      <c r="K23">
        <v>1</v>
      </c>
      <c r="L23" s="40">
        <v>0</v>
      </c>
      <c r="M23" s="40">
        <v>0</v>
      </c>
      <c r="N23" s="40">
        <v>0</v>
      </c>
      <c r="O23" s="40">
        <v>31.92</v>
      </c>
      <c r="P23" s="40">
        <v>31.92</v>
      </c>
      <c r="Q23" s="40">
        <v>31.92</v>
      </c>
      <c r="R23" s="40">
        <v>31.92</v>
      </c>
      <c r="S23" s="40">
        <v>31.92</v>
      </c>
      <c r="T23" s="40">
        <v>31.92</v>
      </c>
      <c r="U23" s="40">
        <v>31.92</v>
      </c>
      <c r="V23" s="40">
        <v>31.92</v>
      </c>
      <c r="W23" s="40">
        <v>31.92</v>
      </c>
      <c r="X23" s="40">
        <f>SUM(Exp_Plan[[#This Row],[Jan]:[Dec]])</f>
        <v>287.28000000000009</v>
      </c>
      <c r="Y23" s="54"/>
      <c r="Z23" s="54"/>
      <c r="AA23" s="1"/>
      <c r="AU23" s="1"/>
      <c r="AV23" s="1"/>
      <c r="AW23" s="1"/>
      <c r="AX23" s="1"/>
      <c r="AY23" s="1"/>
      <c r="AZ23" s="1"/>
      <c r="BA23" s="1"/>
      <c r="BB23" s="56"/>
      <c r="BD23" s="1"/>
      <c r="BE23" s="1"/>
      <c r="BF23" s="1"/>
      <c r="BG23" s="1"/>
      <c r="BH23" s="1"/>
      <c r="BI23" s="1"/>
      <c r="BJ23" s="1"/>
      <c r="BK23" s="1"/>
      <c r="BL23" s="1"/>
      <c r="BM23" s="1"/>
      <c r="BN23" s="1"/>
      <c r="BO23" s="1"/>
      <c r="BP23" s="56"/>
      <c r="BR23" s="1"/>
      <c r="BS23" s="1"/>
      <c r="BT23" s="1"/>
      <c r="BU23" s="1"/>
      <c r="BV23" s="1"/>
      <c r="BW23" s="1"/>
      <c r="BX23" s="1"/>
      <c r="BY23" s="1"/>
      <c r="BZ23" s="1"/>
      <c r="CA23" s="1"/>
      <c r="CB23" s="1"/>
      <c r="CC23" s="1"/>
      <c r="CD23" s="56"/>
    </row>
    <row r="24" spans="3:82" x14ac:dyDescent="0.25">
      <c r="C24" s="55" t="s">
        <v>608</v>
      </c>
      <c r="D24" s="75">
        <v>2026</v>
      </c>
      <c r="E24" s="11">
        <f>_xlfn.XLOOKUP(Exp_Plan[[#This Row],[Item]],item_ref[Item],item_ref[Trans_Type],"missing info",0)</f>
        <v>4</v>
      </c>
      <c r="F24" s="11">
        <f>_xlfn.XLOOKUP(Exp_Plan[[#This Row],[Item]],item_ref[Item],item_ref[Fix/Flex],"missing info",0)</f>
        <v>1</v>
      </c>
      <c r="G24" s="11">
        <f>_xlfn.XLOOKUP(Exp_Plan[[#This Row],[Item]],item_ref[Item],item_ref[PRIO],"missing info",0)</f>
        <v>3</v>
      </c>
      <c r="H24" s="41" t="str">
        <f>_xlfn.XLOOKUP(Exp_Plan[[#This Row],[Item]],item_ref[Item],item_ref[Account],"missing info",0)</f>
        <v>Office &amp; Computer Expense</v>
      </c>
      <c r="I24" t="s">
        <v>139</v>
      </c>
      <c r="K24">
        <v>1</v>
      </c>
      <c r="L24" s="40">
        <v>0</v>
      </c>
      <c r="M24" s="40">
        <v>0</v>
      </c>
      <c r="N24" s="40">
        <v>0</v>
      </c>
      <c r="O24" s="40">
        <v>0</v>
      </c>
      <c r="P24" s="40">
        <v>0</v>
      </c>
      <c r="Q24" s="40">
        <v>0</v>
      </c>
      <c r="R24" s="40">
        <v>0</v>
      </c>
      <c r="S24" s="40">
        <v>0</v>
      </c>
      <c r="T24" s="40">
        <v>0</v>
      </c>
      <c r="U24" s="40">
        <v>41.4</v>
      </c>
      <c r="V24" s="40">
        <v>0</v>
      </c>
      <c r="W24" s="40">
        <v>0</v>
      </c>
      <c r="X24" s="40">
        <f>SUM(Exp_Plan[[#This Row],[Jan]:[Dec]])</f>
        <v>41.4</v>
      </c>
      <c r="Y24" s="54"/>
      <c r="Z24" s="54"/>
      <c r="AA24" s="1"/>
      <c r="AC24" s="1"/>
      <c r="AU24" s="1"/>
      <c r="AV24" s="1"/>
      <c r="AW24" s="1"/>
      <c r="AX24" s="1"/>
      <c r="AY24" s="1"/>
      <c r="AZ24" s="1"/>
      <c r="BA24" s="1"/>
      <c r="BB24" s="56"/>
      <c r="BD24" s="1"/>
      <c r="BE24" s="1"/>
      <c r="BF24" s="1"/>
      <c r="BG24" s="1"/>
      <c r="BH24" s="1"/>
      <c r="BI24" s="1"/>
      <c r="BJ24" s="1"/>
      <c r="BK24" s="1"/>
      <c r="BL24" s="1"/>
      <c r="BM24" s="1"/>
      <c r="BN24" s="1"/>
      <c r="BO24" s="1"/>
      <c r="BP24" s="56"/>
      <c r="BR24" s="1"/>
      <c r="BS24" s="1"/>
      <c r="BT24" s="1"/>
      <c r="BU24" s="1"/>
      <c r="BV24" s="1"/>
      <c r="BW24" s="1"/>
      <c r="BX24" s="1"/>
      <c r="BY24" s="1"/>
      <c r="BZ24" s="1"/>
      <c r="CA24" s="1"/>
      <c r="CB24" s="1"/>
      <c r="CC24" s="1"/>
      <c r="CD24" s="56"/>
    </row>
    <row r="25" spans="3:82" x14ac:dyDescent="0.25">
      <c r="C25" s="55" t="s">
        <v>608</v>
      </c>
      <c r="D25" s="75">
        <v>2026</v>
      </c>
      <c r="E25" s="11">
        <f>_xlfn.XLOOKUP(Exp_Plan[[#This Row],[Item]],item_ref[Item],item_ref[Trans_Type],"missing info",0)</f>
        <v>4</v>
      </c>
      <c r="F25" s="11">
        <f>_xlfn.XLOOKUP(Exp_Plan[[#This Row],[Item]],item_ref[Item],item_ref[Fix/Flex],"missing info",0)</f>
        <v>1</v>
      </c>
      <c r="G25" s="11">
        <f>_xlfn.XLOOKUP(Exp_Plan[[#This Row],[Item]],item_ref[Item],item_ref[PRIO],"missing info",0)</f>
        <v>3</v>
      </c>
      <c r="H25" s="41" t="str">
        <f>_xlfn.XLOOKUP(Exp_Plan[[#This Row],[Item]],item_ref[Item],item_ref[Account],"missing info",0)</f>
        <v>Office &amp; Computer Expense</v>
      </c>
      <c r="I25" t="s">
        <v>138</v>
      </c>
      <c r="K25">
        <v>1</v>
      </c>
      <c r="L25" s="40">
        <v>0</v>
      </c>
      <c r="M25" s="40">
        <v>0</v>
      </c>
      <c r="N25" s="40">
        <v>0</v>
      </c>
      <c r="O25" s="40">
        <v>0</v>
      </c>
      <c r="P25" s="40">
        <v>0</v>
      </c>
      <c r="Q25" s="40">
        <v>0</v>
      </c>
      <c r="R25" s="40">
        <v>0</v>
      </c>
      <c r="S25" s="40">
        <v>0</v>
      </c>
      <c r="T25" s="40">
        <v>0</v>
      </c>
      <c r="U25" s="40">
        <v>31.68</v>
      </c>
      <c r="V25" s="40">
        <v>0</v>
      </c>
      <c r="W25" s="40">
        <v>0</v>
      </c>
      <c r="X25" s="40">
        <f>SUM(Exp_Plan[[#This Row],[Jan]:[Dec]])</f>
        <v>31.68</v>
      </c>
      <c r="Y25" s="54"/>
      <c r="Z25" s="54"/>
      <c r="AA25" s="1"/>
      <c r="AC25" s="1"/>
      <c r="AU25" s="1"/>
      <c r="AV25" s="1"/>
      <c r="AW25" s="1"/>
      <c r="AX25" s="1"/>
      <c r="AY25" s="1"/>
      <c r="AZ25" s="1"/>
      <c r="BA25" s="1"/>
      <c r="BB25" s="56"/>
      <c r="BD25" s="1"/>
      <c r="BE25" s="1"/>
      <c r="BF25" s="1"/>
      <c r="BG25" s="1"/>
      <c r="BH25" s="1"/>
      <c r="BI25" s="1"/>
      <c r="BJ25" s="1"/>
      <c r="BK25" s="1"/>
      <c r="BL25" s="1"/>
      <c r="BM25" s="1"/>
      <c r="BN25" s="1"/>
      <c r="BO25" s="1"/>
      <c r="BP25" s="56"/>
      <c r="BR25" s="1"/>
      <c r="BS25" s="1"/>
      <c r="BT25" s="1"/>
      <c r="BU25" s="1"/>
      <c r="BV25" s="1"/>
      <c r="BW25" s="1"/>
      <c r="BX25" s="1"/>
      <c r="BY25" s="1"/>
      <c r="BZ25" s="1"/>
      <c r="CA25" s="1"/>
      <c r="CB25" s="1"/>
      <c r="CC25" s="1"/>
      <c r="CD25" s="56"/>
    </row>
    <row r="26" spans="3:82" x14ac:dyDescent="0.25">
      <c r="C26" s="55" t="s">
        <v>608</v>
      </c>
      <c r="D26" s="75">
        <v>2026</v>
      </c>
      <c r="E26" s="11">
        <f>_xlfn.XLOOKUP(Exp_Plan[[#This Row],[Item]],item_ref[Item],item_ref[Trans_Type],"missing info",0)</f>
        <v>0</v>
      </c>
      <c r="F26" s="11">
        <f>_xlfn.XLOOKUP(Exp_Plan[[#This Row],[Item]],item_ref[Item],item_ref[Fix/Flex],"missing info",0)</f>
        <v>0</v>
      </c>
      <c r="G26" s="11">
        <f>_xlfn.XLOOKUP(Exp_Plan[[#This Row],[Item]],item_ref[Item],item_ref[PRIO],"missing info",0)</f>
        <v>0</v>
      </c>
      <c r="H26" s="41" t="str">
        <f>_xlfn.XLOOKUP(Exp_Plan[[#This Row],[Item]],item_ref[Item],item_ref[Account],"missing info",0)</f>
        <v>Office &amp; Computer Expense</v>
      </c>
      <c r="I26" t="s">
        <v>498</v>
      </c>
      <c r="K26">
        <v>1</v>
      </c>
      <c r="L26" s="40"/>
      <c r="M26" s="40"/>
      <c r="N26" s="40"/>
      <c r="O26" s="40"/>
      <c r="P26" s="40"/>
      <c r="Q26" s="40"/>
      <c r="R26" s="40"/>
      <c r="S26" s="40"/>
      <c r="T26" s="40"/>
      <c r="U26" s="40"/>
      <c r="V26" s="40"/>
      <c r="W26" s="40"/>
      <c r="X26" s="54">
        <f>SUM(Exp_Plan[[#This Row],[Jan]:[Dec]])</f>
        <v>0</v>
      </c>
      <c r="Y26" s="54"/>
      <c r="Z26" s="54"/>
      <c r="AA26" s="1"/>
      <c r="AC26" s="1"/>
      <c r="AU26" s="1"/>
      <c r="AV26" s="1"/>
      <c r="AW26" s="1"/>
      <c r="AX26" s="1"/>
      <c r="AY26" s="1"/>
      <c r="AZ26" s="1"/>
      <c r="BA26" s="1"/>
      <c r="BB26" s="56"/>
      <c r="BD26" s="1"/>
      <c r="BE26" s="1"/>
      <c r="BF26" s="1"/>
      <c r="BG26" s="1"/>
      <c r="BH26" s="1"/>
      <c r="BI26" s="1"/>
      <c r="BJ26" s="1"/>
      <c r="BK26" s="1"/>
      <c r="BL26" s="1"/>
      <c r="BM26" s="1"/>
      <c r="BN26" s="1"/>
      <c r="BO26" s="1"/>
      <c r="BP26" s="56"/>
      <c r="BR26" s="1"/>
      <c r="BS26" s="1"/>
      <c r="BT26" s="1"/>
      <c r="BU26" s="1"/>
      <c r="BV26" s="1"/>
      <c r="BW26" s="1"/>
      <c r="BX26" s="1"/>
      <c r="BY26" s="1"/>
      <c r="BZ26" s="1"/>
      <c r="CA26" s="1"/>
      <c r="CB26" s="1"/>
      <c r="CC26" s="1"/>
      <c r="CD26" s="56"/>
    </row>
    <row r="27" spans="3:82" x14ac:dyDescent="0.25">
      <c r="C27" s="55" t="s">
        <v>608</v>
      </c>
      <c r="D27" s="11">
        <v>2026</v>
      </c>
      <c r="E27" s="11">
        <f>_xlfn.XLOOKUP(Exp_Plan[[#This Row],[Item]],item_ref[Item],item_ref[Trans_Type],"missing info",0)</f>
        <v>5</v>
      </c>
      <c r="F27" s="11">
        <f>_xlfn.XLOOKUP(Exp_Plan[[#This Row],[Item]],item_ref[Item],item_ref[Fix/Flex],"missing info",0)</f>
        <v>0</v>
      </c>
      <c r="G27" s="11">
        <f>_xlfn.XLOOKUP(Exp_Plan[[#This Row],[Item]],item_ref[Item],item_ref[PRIO],"missing info",0)</f>
        <v>1</v>
      </c>
      <c r="H27" s="41" t="str">
        <f>_xlfn.XLOOKUP(Exp_Plan[[#This Row],[Item]],item_ref[Item],item_ref[Account],"missing info",0)</f>
        <v>Phone Expense</v>
      </c>
      <c r="I27" t="s">
        <v>131</v>
      </c>
      <c r="K27">
        <v>1</v>
      </c>
      <c r="L27" s="40">
        <v>0</v>
      </c>
      <c r="M27" s="40">
        <v>55</v>
      </c>
      <c r="N27" s="40">
        <v>55</v>
      </c>
      <c r="O27" s="40">
        <v>55</v>
      </c>
      <c r="P27" s="40">
        <v>55</v>
      </c>
      <c r="Q27" s="40">
        <v>55</v>
      </c>
      <c r="R27" s="40">
        <v>55</v>
      </c>
      <c r="S27" s="40">
        <v>55</v>
      </c>
      <c r="T27" s="40">
        <v>55</v>
      </c>
      <c r="U27" s="40">
        <v>55</v>
      </c>
      <c r="V27" s="40">
        <v>80</v>
      </c>
      <c r="W27" s="40">
        <v>80</v>
      </c>
      <c r="X27" s="40">
        <f>SUM(Exp_Plan[[#This Row],[Jan]:[Dec]])</f>
        <v>655</v>
      </c>
      <c r="Y27" s="54"/>
      <c r="Z27" s="54"/>
      <c r="AA27" s="1"/>
      <c r="AC27" s="1"/>
      <c r="AU27" s="1"/>
      <c r="AV27" s="1"/>
      <c r="AW27" s="1"/>
      <c r="AX27" s="1"/>
      <c r="AY27" s="1"/>
      <c r="AZ27" s="1"/>
      <c r="BA27" s="1"/>
      <c r="BB27" s="56"/>
      <c r="BD27" s="1"/>
      <c r="BE27" s="1"/>
      <c r="BF27" s="1"/>
      <c r="BG27" s="1"/>
      <c r="BH27" s="1"/>
      <c r="BI27" s="1"/>
      <c r="BJ27" s="1"/>
      <c r="BK27" s="1"/>
      <c r="BL27" s="1"/>
      <c r="BM27" s="1"/>
      <c r="BN27" s="1"/>
      <c r="BO27" s="1"/>
      <c r="BP27" s="56"/>
      <c r="BR27" s="1"/>
      <c r="BS27" s="1"/>
      <c r="BT27" s="1"/>
      <c r="BU27" s="1"/>
      <c r="BV27" s="1"/>
      <c r="BW27" s="1"/>
      <c r="BX27" s="1"/>
      <c r="BY27" s="1"/>
      <c r="BZ27" s="1"/>
      <c r="CA27" s="1"/>
      <c r="CB27" s="1"/>
      <c r="CC27" s="1"/>
      <c r="CD27" s="56"/>
    </row>
    <row r="28" spans="3:82" x14ac:dyDescent="0.25">
      <c r="C28" s="55" t="s">
        <v>608</v>
      </c>
      <c r="D28" s="11">
        <v>2026</v>
      </c>
      <c r="E28" s="11">
        <f>_xlfn.XLOOKUP(Exp_Plan[[#This Row],[Item]],item_ref[Item],item_ref[Trans_Type],"missing info",0)</f>
        <v>4</v>
      </c>
      <c r="F28" s="11">
        <f>_xlfn.XLOOKUP(Exp_Plan[[#This Row],[Item]],item_ref[Item],item_ref[Fix/Flex],"missing info",0)</f>
        <v>1</v>
      </c>
      <c r="G28" s="11">
        <f>_xlfn.XLOOKUP(Exp_Plan[[#This Row],[Item]],item_ref[Item],item_ref[PRIO],"missing info",0)</f>
        <v>1</v>
      </c>
      <c r="H28" s="41" t="str">
        <f>_xlfn.XLOOKUP(Exp_Plan[[#This Row],[Item]],item_ref[Item],item_ref[Account],"missing info",0)</f>
        <v>Rent Expense</v>
      </c>
      <c r="I28" t="s">
        <v>132</v>
      </c>
      <c r="K28">
        <v>1</v>
      </c>
      <c r="L28" s="40">
        <v>500</v>
      </c>
      <c r="M28" s="40">
        <v>500</v>
      </c>
      <c r="N28" s="40">
        <v>500</v>
      </c>
      <c r="O28" s="40">
        <v>500</v>
      </c>
      <c r="P28" s="40">
        <v>500</v>
      </c>
      <c r="Q28" s="40">
        <v>500</v>
      </c>
      <c r="R28" s="40">
        <v>500</v>
      </c>
      <c r="S28" s="40">
        <v>500</v>
      </c>
      <c r="T28" s="40">
        <v>500</v>
      </c>
      <c r="U28" s="40">
        <v>500</v>
      </c>
      <c r="V28" s="40">
        <v>500</v>
      </c>
      <c r="W28" s="40">
        <v>500</v>
      </c>
      <c r="X28" s="40">
        <f>SUM(Exp_Plan[[#This Row],[Jan]:[Dec]])</f>
        <v>6000</v>
      </c>
      <c r="Y28" s="54"/>
      <c r="Z28" s="54"/>
      <c r="AA28" s="1"/>
      <c r="AC28" s="1"/>
      <c r="AU28" s="1"/>
      <c r="AV28" s="1"/>
      <c r="AW28" s="1"/>
      <c r="AX28" s="1"/>
      <c r="AY28" s="1"/>
      <c r="AZ28" s="1"/>
      <c r="BA28" s="1"/>
      <c r="BB28" s="56"/>
      <c r="BD28" s="1"/>
      <c r="BE28" s="1"/>
      <c r="BF28" s="1"/>
      <c r="BG28" s="1"/>
      <c r="BH28" s="1"/>
      <c r="BI28" s="1"/>
      <c r="BJ28" s="1"/>
      <c r="BK28" s="1"/>
      <c r="BL28" s="1"/>
      <c r="BM28" s="1"/>
      <c r="BN28" s="1"/>
      <c r="BO28" s="1"/>
      <c r="BP28" s="56"/>
      <c r="BR28" s="1"/>
      <c r="BS28" s="1"/>
      <c r="BT28" s="1"/>
      <c r="BU28" s="1"/>
      <c r="BV28" s="1"/>
      <c r="BW28" s="1"/>
      <c r="BX28" s="1"/>
      <c r="BY28" s="1"/>
      <c r="BZ28" s="1"/>
      <c r="CA28" s="1"/>
      <c r="CB28" s="1"/>
      <c r="CC28" s="1"/>
      <c r="CD28" s="56"/>
    </row>
    <row r="29" spans="3:82" x14ac:dyDescent="0.25">
      <c r="C29" s="55" t="s">
        <v>608</v>
      </c>
      <c r="D29" s="11">
        <v>2026</v>
      </c>
      <c r="E29" s="11">
        <f>_xlfn.XLOOKUP(Exp_Plan[[#This Row],[Item]],item_ref[Item],item_ref[Trans_Type],"missing info",0)</f>
        <v>4</v>
      </c>
      <c r="F29" s="11">
        <f>_xlfn.XLOOKUP(Exp_Plan[[#This Row],[Item]],item_ref[Item],item_ref[Fix/Flex],"missing info",0)</f>
        <v>1</v>
      </c>
      <c r="G29" s="11">
        <f>_xlfn.XLOOKUP(Exp_Plan[[#This Row],[Item]],item_ref[Item],item_ref[PRIO],"missing info",0)</f>
        <v>3</v>
      </c>
      <c r="H29" s="41" t="str">
        <f>_xlfn.XLOOKUP(Exp_Plan[[#This Row],[Item]],item_ref[Item],item_ref[Account],"missing info",0)</f>
        <v>Self-Care Expense</v>
      </c>
      <c r="I29" t="s">
        <v>153</v>
      </c>
      <c r="K29">
        <v>1</v>
      </c>
      <c r="L29" s="40">
        <v>0</v>
      </c>
      <c r="M29" s="40">
        <v>0</v>
      </c>
      <c r="N29" s="40">
        <v>0</v>
      </c>
      <c r="O29" s="40">
        <v>0</v>
      </c>
      <c r="P29" s="40">
        <v>0</v>
      </c>
      <c r="Q29" s="40">
        <v>0</v>
      </c>
      <c r="R29" s="40">
        <v>0</v>
      </c>
      <c r="S29" s="40">
        <v>0</v>
      </c>
      <c r="T29" s="40">
        <v>0</v>
      </c>
      <c r="U29" s="40">
        <v>0</v>
      </c>
      <c r="V29" s="40">
        <v>0</v>
      </c>
      <c r="W29" s="40">
        <v>0</v>
      </c>
      <c r="X29" s="40">
        <f>SUM(Exp_Plan[[#This Row],[Jan]:[Dec]])</f>
        <v>0</v>
      </c>
      <c r="Y29" s="54"/>
      <c r="Z29" s="54"/>
      <c r="AA29" s="1"/>
      <c r="AC29" s="1"/>
      <c r="AG29" s="1"/>
      <c r="AH29" s="1"/>
      <c r="AI29" s="1"/>
      <c r="AJ29" s="1"/>
      <c r="AK29" s="1"/>
      <c r="AL29" s="1"/>
      <c r="AM29" s="1"/>
      <c r="AN29" s="56"/>
      <c r="AP29" s="1"/>
      <c r="AQ29" s="1"/>
      <c r="AR29" s="1"/>
      <c r="AS29" s="1"/>
      <c r="AT29" s="1"/>
      <c r="AU29" s="1"/>
      <c r="AV29" s="1"/>
      <c r="AW29" s="1"/>
      <c r="AX29" s="1"/>
      <c r="AY29" s="1"/>
      <c r="AZ29" s="1"/>
      <c r="BA29" s="1"/>
      <c r="BB29" s="56"/>
      <c r="BD29" s="1"/>
      <c r="BE29" s="1"/>
      <c r="BF29" s="1"/>
      <c r="BG29" s="1"/>
      <c r="BH29" s="1"/>
      <c r="BI29" s="1"/>
      <c r="BJ29" s="1"/>
      <c r="BK29" s="1"/>
      <c r="BL29" s="1"/>
      <c r="BM29" s="1"/>
      <c r="BN29" s="1"/>
      <c r="BO29" s="1"/>
      <c r="BP29" s="56"/>
      <c r="BR29" s="1"/>
      <c r="BS29" s="1"/>
      <c r="BT29" s="1"/>
      <c r="BU29" s="1"/>
      <c r="BV29" s="1"/>
      <c r="BW29" s="1"/>
      <c r="BX29" s="1"/>
      <c r="BY29" s="1"/>
      <c r="BZ29" s="1"/>
      <c r="CA29" s="1"/>
      <c r="CB29" s="1"/>
      <c r="CC29" s="1"/>
      <c r="CD29" s="56"/>
    </row>
    <row r="30" spans="3:82" x14ac:dyDescent="0.25">
      <c r="C30" s="55" t="s">
        <v>608</v>
      </c>
      <c r="D30" s="75">
        <v>2026</v>
      </c>
      <c r="E30" s="11">
        <f>_xlfn.XLOOKUP(Exp_Plan[[#This Row],[Item]],item_ref[Item],item_ref[Trans_Type],"missing info",0)</f>
        <v>4</v>
      </c>
      <c r="F30" s="11">
        <f>_xlfn.XLOOKUP(Exp_Plan[[#This Row],[Item]],item_ref[Item],item_ref[Fix/Flex],"missing info",0)</f>
        <v>1</v>
      </c>
      <c r="G30" s="11">
        <f>_xlfn.XLOOKUP(Exp_Plan[[#This Row],[Item]],item_ref[Item],item_ref[PRIO],"missing info",0)</f>
        <v>3</v>
      </c>
      <c r="H30" s="41" t="str">
        <f>_xlfn.XLOOKUP(Exp_Plan[[#This Row],[Item]],item_ref[Item],item_ref[Account],"missing info",0)</f>
        <v>Self-Care Expense</v>
      </c>
      <c r="I30" t="s">
        <v>142</v>
      </c>
      <c r="K30">
        <v>1</v>
      </c>
      <c r="L30" s="40">
        <v>11.29</v>
      </c>
      <c r="M30" s="40">
        <v>11.29</v>
      </c>
      <c r="N30" s="40">
        <v>11.29</v>
      </c>
      <c r="O30" s="40">
        <v>11.29</v>
      </c>
      <c r="P30" s="40">
        <v>11.29</v>
      </c>
      <c r="Q30" s="40">
        <v>11.29</v>
      </c>
      <c r="R30" s="40">
        <v>11.29</v>
      </c>
      <c r="S30" s="40">
        <v>11.29</v>
      </c>
      <c r="T30" s="40">
        <v>11.29</v>
      </c>
      <c r="U30" s="40">
        <v>11.29</v>
      </c>
      <c r="V30" s="40">
        <v>11.29</v>
      </c>
      <c r="W30" s="40">
        <v>11.29</v>
      </c>
      <c r="X30" s="40">
        <f>SUM(Exp_Plan[[#This Row],[Jan]:[Dec]])</f>
        <v>135.47999999999996</v>
      </c>
      <c r="Y30" s="54"/>
      <c r="Z30" s="54"/>
      <c r="AA30" s="1"/>
      <c r="AC30" s="1"/>
      <c r="AG30" s="1"/>
      <c r="AH30" s="1"/>
      <c r="AI30" s="1"/>
      <c r="AJ30" s="1"/>
      <c r="AK30" s="1"/>
      <c r="AL30" s="1"/>
      <c r="AM30" s="1"/>
      <c r="AN30" s="56"/>
      <c r="AP30" s="1"/>
      <c r="AQ30" s="1"/>
      <c r="AR30" s="1"/>
      <c r="AS30" s="1"/>
      <c r="AT30" s="1"/>
      <c r="AU30" s="1"/>
      <c r="AV30" s="1"/>
      <c r="AW30" s="1"/>
      <c r="AX30" s="1"/>
      <c r="AY30" s="1"/>
      <c r="AZ30" s="1"/>
      <c r="BA30" s="1"/>
      <c r="BB30" s="56"/>
      <c r="BD30" s="1"/>
      <c r="BE30" s="1"/>
      <c r="BF30" s="1"/>
      <c r="BG30" s="1"/>
      <c r="BH30" s="1"/>
      <c r="BI30" s="1"/>
      <c r="BJ30" s="1"/>
      <c r="BK30" s="1"/>
      <c r="BL30" s="1"/>
      <c r="BM30" s="1"/>
      <c r="BN30" s="1"/>
      <c r="BO30" s="1"/>
      <c r="BP30" s="56"/>
      <c r="BR30" s="1"/>
      <c r="BS30" s="1"/>
      <c r="BT30" s="1"/>
      <c r="BU30" s="1"/>
      <c r="BV30" s="1"/>
      <c r="BW30" s="1"/>
      <c r="BX30" s="1"/>
      <c r="BY30" s="1"/>
      <c r="BZ30" s="1"/>
      <c r="CA30" s="1"/>
      <c r="CB30" s="1"/>
      <c r="CC30" s="1"/>
      <c r="CD30" s="56"/>
    </row>
    <row r="31" spans="3:82" x14ac:dyDescent="0.25">
      <c r="C31" s="55" t="s">
        <v>608</v>
      </c>
      <c r="D31" s="75">
        <v>2026</v>
      </c>
      <c r="E31" s="11">
        <f>_xlfn.XLOOKUP(Exp_Plan[[#This Row],[Item]],item_ref[Item],item_ref[Trans_Type],"missing info",0)</f>
        <v>4</v>
      </c>
      <c r="F31" s="11">
        <f>_xlfn.XLOOKUP(Exp_Plan[[#This Row],[Item]],item_ref[Item],item_ref[Fix/Flex],"missing info",0)</f>
        <v>1</v>
      </c>
      <c r="G31" s="11">
        <f>_xlfn.XLOOKUP(Exp_Plan[[#This Row],[Item]],item_ref[Item],item_ref[PRIO],"missing info",0)</f>
        <v>3</v>
      </c>
      <c r="H31" s="41" t="str">
        <f>_xlfn.XLOOKUP(Exp_Plan[[#This Row],[Item]],item_ref[Item],item_ref[Account],"missing info",0)</f>
        <v>Self-Care Expense</v>
      </c>
      <c r="I31" t="s">
        <v>140</v>
      </c>
      <c r="K31">
        <v>1</v>
      </c>
      <c r="L31" s="40">
        <v>0</v>
      </c>
      <c r="M31" s="40">
        <v>0</v>
      </c>
      <c r="N31" s="40">
        <v>0</v>
      </c>
      <c r="O31" s="40">
        <v>0</v>
      </c>
      <c r="P31" s="40">
        <v>0</v>
      </c>
      <c r="Q31" s="40">
        <v>0</v>
      </c>
      <c r="R31" s="40">
        <v>0</v>
      </c>
      <c r="S31" s="40">
        <v>0</v>
      </c>
      <c r="T31" s="40">
        <v>111.87</v>
      </c>
      <c r="U31" s="40">
        <v>0</v>
      </c>
      <c r="V31" s="40">
        <v>0</v>
      </c>
      <c r="W31" s="40">
        <v>0</v>
      </c>
      <c r="X31" s="40">
        <f>SUM(Exp_Plan[[#This Row],[Jan]:[Dec]])</f>
        <v>111.87</v>
      </c>
      <c r="Y31" s="54"/>
      <c r="Z31" s="54"/>
      <c r="AA31" s="1"/>
      <c r="AC31" s="1"/>
      <c r="AG31" s="1"/>
      <c r="AH31" s="1"/>
      <c r="AI31" s="1"/>
      <c r="AJ31" s="1"/>
      <c r="AK31" s="1"/>
      <c r="AL31" s="1"/>
      <c r="AM31" s="1"/>
      <c r="AN31" s="56"/>
      <c r="AP31" s="1"/>
      <c r="AQ31" s="1"/>
      <c r="AR31" s="1"/>
      <c r="AS31" s="1"/>
      <c r="AT31" s="1"/>
      <c r="AU31" s="1"/>
      <c r="AV31" s="1"/>
      <c r="AW31" s="1"/>
      <c r="AX31" s="1"/>
      <c r="AY31" s="1"/>
      <c r="AZ31" s="1"/>
      <c r="BA31" s="1"/>
      <c r="BB31" s="56"/>
      <c r="BD31" s="1"/>
      <c r="BE31" s="1"/>
      <c r="BF31" s="1"/>
      <c r="BG31" s="1"/>
      <c r="BH31" s="1"/>
      <c r="BI31" s="1"/>
      <c r="BJ31" s="1"/>
      <c r="BK31" s="1"/>
      <c r="BL31" s="1"/>
      <c r="BM31" s="1"/>
      <c r="BN31" s="1"/>
      <c r="BO31" s="1"/>
      <c r="BP31" s="56"/>
      <c r="BR31" s="1"/>
      <c r="BS31" s="1"/>
      <c r="BT31" s="1"/>
      <c r="BU31" s="1"/>
      <c r="BV31" s="1"/>
      <c r="BW31" s="1"/>
      <c r="BX31" s="1"/>
      <c r="BY31" s="1"/>
      <c r="BZ31" s="1"/>
      <c r="CA31" s="1"/>
      <c r="CB31" s="1"/>
      <c r="CC31" s="1"/>
      <c r="CD31" s="56"/>
    </row>
    <row r="32" spans="3:82" x14ac:dyDescent="0.25">
      <c r="C32" s="55" t="s">
        <v>608</v>
      </c>
      <c r="D32" s="75">
        <v>2026</v>
      </c>
      <c r="E32" s="11">
        <f>_xlfn.XLOOKUP(Exp_Plan[[#This Row],[Item]],item_ref[Item],item_ref[Trans_Type],"missing info",0)</f>
        <v>4</v>
      </c>
      <c r="F32" s="11">
        <f>_xlfn.XLOOKUP(Exp_Plan[[#This Row],[Item]],item_ref[Item],item_ref[Fix/Flex],"missing info",0)</f>
        <v>1</v>
      </c>
      <c r="G32" s="11">
        <f>_xlfn.XLOOKUP(Exp_Plan[[#This Row],[Item]],item_ref[Item],item_ref[PRIO],"missing info",0)</f>
        <v>4</v>
      </c>
      <c r="H32" s="41" t="str">
        <f>_xlfn.XLOOKUP(Exp_Plan[[#This Row],[Item]],item_ref[Item],item_ref[Account],"missing info",0)</f>
        <v>Self-Care Expense</v>
      </c>
      <c r="I32" t="s">
        <v>150</v>
      </c>
      <c r="K32">
        <v>0</v>
      </c>
      <c r="L32" s="40">
        <v>0</v>
      </c>
      <c r="M32" s="40">
        <v>0</v>
      </c>
      <c r="N32" s="40">
        <v>0</v>
      </c>
      <c r="O32" s="40">
        <v>0</v>
      </c>
      <c r="P32" s="40">
        <v>18.63</v>
      </c>
      <c r="Q32" s="40">
        <v>18.63</v>
      </c>
      <c r="R32" s="40">
        <v>0</v>
      </c>
      <c r="S32" s="40">
        <v>0</v>
      </c>
      <c r="T32" s="40">
        <v>0</v>
      </c>
      <c r="U32" s="40">
        <v>0</v>
      </c>
      <c r="V32" s="40">
        <v>0</v>
      </c>
      <c r="W32" s="40">
        <v>0</v>
      </c>
      <c r="X32" s="40">
        <f>SUM(Exp_Plan[[#This Row],[Jan]:[Dec]])</f>
        <v>37.26</v>
      </c>
      <c r="Y32" s="54"/>
      <c r="Z32" s="54"/>
      <c r="AA32" s="1"/>
      <c r="AC32" s="1"/>
      <c r="AG32" s="1"/>
      <c r="AH32" s="1"/>
      <c r="AI32" s="1"/>
      <c r="AJ32" s="1"/>
      <c r="AK32" s="1"/>
      <c r="AL32" s="1"/>
      <c r="AM32" s="1"/>
      <c r="AN32" s="56"/>
      <c r="AP32" s="1"/>
      <c r="AQ32" s="1"/>
      <c r="AR32" s="1"/>
      <c r="AS32" s="1"/>
      <c r="AT32" s="1"/>
      <c r="AU32" s="1"/>
      <c r="AV32" s="1"/>
      <c r="AW32" s="1"/>
      <c r="AX32" s="1"/>
      <c r="AY32" s="1"/>
      <c r="AZ32" s="1"/>
      <c r="BA32" s="1"/>
      <c r="BB32" s="56"/>
      <c r="BD32" s="1"/>
      <c r="BE32" s="1"/>
      <c r="BF32" s="1"/>
      <c r="BG32" s="1"/>
      <c r="BH32" s="1"/>
      <c r="BI32" s="1"/>
      <c r="BJ32" s="1"/>
      <c r="BK32" s="1"/>
      <c r="BL32" s="1"/>
      <c r="BM32" s="1"/>
      <c r="BN32" s="1"/>
      <c r="BO32" s="1"/>
      <c r="BP32" s="56"/>
      <c r="BR32" s="1"/>
      <c r="BS32" s="1"/>
      <c r="BT32" s="1"/>
      <c r="BU32" s="1"/>
      <c r="BV32" s="1"/>
      <c r="BW32" s="1"/>
      <c r="BX32" s="1"/>
      <c r="BY32" s="1"/>
      <c r="BZ32" s="1"/>
      <c r="CA32" s="1"/>
      <c r="CB32" s="1"/>
      <c r="CC32" s="1"/>
      <c r="CD32" s="56"/>
    </row>
    <row r="33" spans="3:82" x14ac:dyDescent="0.25">
      <c r="C33" s="55" t="s">
        <v>608</v>
      </c>
      <c r="D33" s="75">
        <v>2026</v>
      </c>
      <c r="E33" s="11">
        <f>_xlfn.XLOOKUP(Exp_Plan[[#This Row],[Item]],item_ref[Item],item_ref[Trans_Type],"missing info",0)</f>
        <v>0</v>
      </c>
      <c r="F33" s="11">
        <f>_xlfn.XLOOKUP(Exp_Plan[[#This Row],[Item]],item_ref[Item],item_ref[Fix/Flex],"missing info",0)</f>
        <v>0</v>
      </c>
      <c r="G33" s="11">
        <f>_xlfn.XLOOKUP(Exp_Plan[[#This Row],[Item]],item_ref[Item],item_ref[PRIO],"missing info",0)</f>
        <v>0</v>
      </c>
      <c r="H33" s="41" t="str">
        <f>_xlfn.XLOOKUP(Exp_Plan[[#This Row],[Item]],item_ref[Item],item_ref[Account],"missing info",0)</f>
        <v>Self-Care Expense</v>
      </c>
      <c r="I33" t="s">
        <v>347</v>
      </c>
      <c r="K33">
        <v>1</v>
      </c>
      <c r="L33" s="40"/>
      <c r="M33" s="40"/>
      <c r="N33" s="40"/>
      <c r="O33" s="40"/>
      <c r="P33" s="40"/>
      <c r="Q33" s="40"/>
      <c r="R33" s="40"/>
      <c r="S33" s="40"/>
      <c r="T33" s="40"/>
      <c r="U33" s="40"/>
      <c r="V33" s="40"/>
      <c r="W33" s="40"/>
      <c r="X33" s="54">
        <f>SUM(Exp_Plan[[#This Row],[Jan]:[Dec]])</f>
        <v>0</v>
      </c>
      <c r="Y33" s="54"/>
      <c r="Z33" s="54"/>
      <c r="AA33" s="1"/>
      <c r="AC33" s="1"/>
      <c r="AG33" s="1"/>
      <c r="AH33" s="1"/>
      <c r="AI33" s="1"/>
      <c r="AJ33" s="1"/>
      <c r="AK33" s="1"/>
      <c r="AL33" s="1"/>
      <c r="AM33" s="1"/>
      <c r="AN33" s="56"/>
      <c r="AP33" s="1"/>
      <c r="AQ33" s="1"/>
      <c r="AR33" s="1"/>
      <c r="AS33" s="1"/>
      <c r="AT33" s="1"/>
      <c r="AU33" s="1"/>
      <c r="AV33" s="1"/>
      <c r="AW33" s="1"/>
      <c r="AX33" s="1"/>
      <c r="AY33" s="1"/>
      <c r="AZ33" s="1"/>
      <c r="BA33" s="1"/>
      <c r="BB33" s="56"/>
      <c r="BD33" s="1"/>
      <c r="BE33" s="1"/>
      <c r="BF33" s="1"/>
      <c r="BG33" s="1"/>
      <c r="BH33" s="1"/>
      <c r="BI33" s="1"/>
      <c r="BJ33" s="1"/>
      <c r="BK33" s="1"/>
      <c r="BL33" s="1"/>
      <c r="BM33" s="1"/>
      <c r="BN33" s="1"/>
      <c r="BO33" s="1"/>
      <c r="BP33" s="56"/>
      <c r="BR33" s="1"/>
      <c r="BS33" s="1"/>
      <c r="BT33" s="1"/>
      <c r="BU33" s="1"/>
      <c r="BV33" s="1"/>
      <c r="BW33" s="1"/>
      <c r="BX33" s="1"/>
      <c r="BY33" s="1"/>
      <c r="BZ33" s="1"/>
      <c r="CA33" s="1"/>
      <c r="CB33" s="1"/>
      <c r="CC33" s="1"/>
      <c r="CD33" s="56"/>
    </row>
    <row r="34" spans="3:82" x14ac:dyDescent="0.25">
      <c r="C34" s="55" t="s">
        <v>608</v>
      </c>
      <c r="D34" s="75">
        <v>2026</v>
      </c>
      <c r="E34" s="11">
        <f>_xlfn.XLOOKUP(Exp_Plan[[#This Row],[Item]],item_ref[Item],item_ref[Trans_Type],"missing info",0)</f>
        <v>4</v>
      </c>
      <c r="F34" s="11">
        <f>_xlfn.XLOOKUP(Exp_Plan[[#This Row],[Item]],item_ref[Item],item_ref[Fix/Flex],"missing info",0)</f>
        <v>1</v>
      </c>
      <c r="G34" s="11">
        <f>_xlfn.XLOOKUP(Exp_Plan[[#This Row],[Item]],item_ref[Item],item_ref[PRIO],"missing info",0)</f>
        <v>4</v>
      </c>
      <c r="H34" s="41" t="str">
        <f>_xlfn.XLOOKUP(Exp_Plan[[#This Row],[Item]],item_ref[Item],item_ref[Account],"missing info",0)</f>
        <v>Self-Care Expense</v>
      </c>
      <c r="I34" t="s">
        <v>136</v>
      </c>
      <c r="K34">
        <v>1</v>
      </c>
      <c r="L34" s="40">
        <v>0</v>
      </c>
      <c r="M34" s="40">
        <v>13.55</v>
      </c>
      <c r="N34" s="40">
        <v>13.55</v>
      </c>
      <c r="O34" s="40">
        <v>13.55</v>
      </c>
      <c r="P34" s="40">
        <v>13.55</v>
      </c>
      <c r="Q34" s="40">
        <v>13.55</v>
      </c>
      <c r="R34" s="40">
        <v>13.55</v>
      </c>
      <c r="S34" s="40">
        <v>13.55</v>
      </c>
      <c r="T34" s="40">
        <v>13.55</v>
      </c>
      <c r="U34" s="40">
        <v>13.55</v>
      </c>
      <c r="V34" s="40">
        <v>13.55</v>
      </c>
      <c r="W34" s="40">
        <v>13.55</v>
      </c>
      <c r="X34" s="40">
        <f>SUM(Exp_Plan[[#This Row],[Jan]:[Dec]])</f>
        <v>149.05000000000001</v>
      </c>
      <c r="Y34" s="54"/>
      <c r="Z34" s="54"/>
      <c r="AA34" s="1"/>
      <c r="AC34" s="1"/>
      <c r="AG34" s="1"/>
      <c r="AH34" s="1"/>
      <c r="AI34" s="1"/>
      <c r="AJ34" s="1"/>
      <c r="AK34" s="1"/>
      <c r="AL34" s="1"/>
      <c r="AM34" s="1"/>
      <c r="AN34" s="56"/>
      <c r="AP34" s="1"/>
      <c r="AQ34" s="1"/>
      <c r="AR34" s="1"/>
      <c r="AS34" s="1"/>
      <c r="AT34" s="1"/>
      <c r="AU34" s="1"/>
      <c r="AV34" s="1"/>
      <c r="AW34" s="1"/>
      <c r="AX34" s="1"/>
      <c r="AY34" s="1"/>
      <c r="AZ34" s="1"/>
      <c r="BA34" s="1"/>
      <c r="BB34" s="56"/>
      <c r="BD34" s="1"/>
      <c r="BE34" s="1"/>
      <c r="BF34" s="1"/>
      <c r="BG34" s="1"/>
      <c r="BH34" s="1"/>
      <c r="BI34" s="1"/>
      <c r="BJ34" s="1"/>
      <c r="BK34" s="1"/>
      <c r="BL34" s="1"/>
      <c r="BM34" s="1"/>
      <c r="BN34" s="1"/>
      <c r="BO34" s="1"/>
      <c r="BP34" s="56"/>
      <c r="BR34" s="1"/>
      <c r="BS34" s="1"/>
      <c r="BT34" s="1"/>
      <c r="BU34" s="1"/>
      <c r="BV34" s="1"/>
      <c r="BW34" s="1"/>
      <c r="BX34" s="1"/>
      <c r="BY34" s="1"/>
      <c r="BZ34" s="1"/>
      <c r="CA34" s="1"/>
      <c r="CB34" s="1"/>
      <c r="CC34" s="1"/>
      <c r="CD34" s="56"/>
    </row>
    <row r="35" spans="3:82" x14ac:dyDescent="0.25">
      <c r="C35" s="55" t="s">
        <v>608</v>
      </c>
      <c r="D35" s="75">
        <v>2026</v>
      </c>
      <c r="E35" s="11">
        <f>_xlfn.XLOOKUP(Exp_Plan[[#This Row],[Item]],item_ref[Item],item_ref[Trans_Type],"missing info",0)</f>
        <v>4</v>
      </c>
      <c r="F35" s="11">
        <f>_xlfn.XLOOKUP(Exp_Plan[[#This Row],[Item]],item_ref[Item],item_ref[Fix/Flex],"missing info",0)</f>
        <v>1</v>
      </c>
      <c r="G35" s="11">
        <f>_xlfn.XLOOKUP(Exp_Plan[[#This Row],[Item]],item_ref[Item],item_ref[PRIO],"missing info",0)</f>
        <v>4</v>
      </c>
      <c r="H35" s="41" t="str">
        <f>_xlfn.XLOOKUP(Exp_Plan[[#This Row],[Item]],item_ref[Item],item_ref[Account],"missing info",0)</f>
        <v>Self-Care Expense</v>
      </c>
      <c r="I35" t="s">
        <v>133</v>
      </c>
      <c r="K35">
        <v>0</v>
      </c>
      <c r="L35" s="40">
        <v>0</v>
      </c>
      <c r="M35" s="40">
        <v>0</v>
      </c>
      <c r="N35" s="40">
        <v>0</v>
      </c>
      <c r="O35" s="40">
        <v>0</v>
      </c>
      <c r="P35" s="40">
        <v>0</v>
      </c>
      <c r="Q35" s="40">
        <v>0</v>
      </c>
      <c r="R35" s="40">
        <v>0</v>
      </c>
      <c r="S35" s="40">
        <v>0</v>
      </c>
      <c r="T35" s="40">
        <v>0</v>
      </c>
      <c r="U35" s="40">
        <v>0</v>
      </c>
      <c r="V35" s="40">
        <v>0</v>
      </c>
      <c r="W35" s="40">
        <v>0</v>
      </c>
      <c r="X35" s="40">
        <f>SUM(Exp_Plan[[#This Row],[Jan]:[Dec]])</f>
        <v>0</v>
      </c>
      <c r="Y35" s="54"/>
      <c r="Z35" s="54"/>
      <c r="AA35" s="1"/>
      <c r="AC35" s="1"/>
      <c r="AG35" s="1"/>
      <c r="AH35" s="1"/>
      <c r="AI35" s="1"/>
      <c r="AJ35" s="1"/>
      <c r="AK35" s="1"/>
      <c r="AL35" s="1"/>
      <c r="AM35" s="1"/>
      <c r="AN35" s="56"/>
      <c r="AP35" s="1"/>
      <c r="AQ35" s="1"/>
      <c r="AR35" s="1"/>
      <c r="AS35" s="1"/>
      <c r="AT35" s="1"/>
      <c r="AU35" s="1"/>
      <c r="AV35" s="1"/>
      <c r="AW35" s="1"/>
      <c r="AX35" s="1"/>
      <c r="AY35" s="1"/>
      <c r="AZ35" s="1"/>
      <c r="BA35" s="1"/>
      <c r="BB35" s="56"/>
      <c r="BD35" s="1"/>
      <c r="BE35" s="1"/>
      <c r="BF35" s="1"/>
      <c r="BG35" s="1"/>
      <c r="BH35" s="1"/>
      <c r="BI35" s="1"/>
      <c r="BJ35" s="1"/>
      <c r="BK35" s="1"/>
      <c r="BL35" s="1"/>
      <c r="BM35" s="1"/>
      <c r="BN35" s="1"/>
      <c r="BO35" s="1"/>
      <c r="BP35" s="56"/>
      <c r="BR35" s="1"/>
      <c r="BS35" s="1"/>
      <c r="BT35" s="1"/>
      <c r="BU35" s="1"/>
      <c r="BV35" s="1"/>
      <c r="BW35" s="1"/>
      <c r="BX35" s="1"/>
      <c r="BY35" s="1"/>
      <c r="BZ35" s="1"/>
      <c r="CA35" s="1"/>
      <c r="CB35" s="1"/>
      <c r="CC35" s="1"/>
      <c r="CD35" s="56"/>
    </row>
    <row r="36" spans="3:82" x14ac:dyDescent="0.25">
      <c r="C36" s="55" t="s">
        <v>608</v>
      </c>
      <c r="D36" s="75">
        <v>2026</v>
      </c>
      <c r="E36" s="11">
        <f>_xlfn.XLOOKUP(Exp_Plan[[#This Row],[Item]],item_ref[Item],item_ref[Trans_Type],"missing info",0)</f>
        <v>4</v>
      </c>
      <c r="F36" s="11">
        <f>_xlfn.XLOOKUP(Exp_Plan[[#This Row],[Item]],item_ref[Item],item_ref[Fix/Flex],"missing info",0)</f>
        <v>1</v>
      </c>
      <c r="G36" s="11">
        <f>_xlfn.XLOOKUP(Exp_Plan[[#This Row],[Item]],item_ref[Item],item_ref[PRIO],"missing info",0)</f>
        <v>4</v>
      </c>
      <c r="H36" s="41" t="str">
        <f>_xlfn.XLOOKUP(Exp_Plan[[#This Row],[Item]],item_ref[Item],item_ref[Account],"missing info",0)</f>
        <v>Self-Care Expense</v>
      </c>
      <c r="I36" t="s">
        <v>149</v>
      </c>
      <c r="K36">
        <v>1</v>
      </c>
      <c r="L36" s="40">
        <v>0</v>
      </c>
      <c r="M36" s="40">
        <v>0</v>
      </c>
      <c r="N36" s="40">
        <v>0</v>
      </c>
      <c r="O36" s="40">
        <v>0</v>
      </c>
      <c r="P36" s="40">
        <v>0</v>
      </c>
      <c r="Q36" s="40">
        <v>7.65</v>
      </c>
      <c r="R36" s="40">
        <v>7.65</v>
      </c>
      <c r="S36" s="40">
        <v>7.65</v>
      </c>
      <c r="T36" s="40">
        <v>7.65</v>
      </c>
      <c r="U36" s="40">
        <v>7.65</v>
      </c>
      <c r="V36" s="40">
        <v>7.65</v>
      </c>
      <c r="W36" s="40">
        <v>7.65</v>
      </c>
      <c r="X36" s="40">
        <f>SUM(Exp_Plan[[#This Row],[Jan]:[Dec]])</f>
        <v>53.55</v>
      </c>
      <c r="Y36" s="54"/>
      <c r="Z36" s="54"/>
      <c r="AA36" s="1"/>
      <c r="AC36" s="1"/>
      <c r="AG36" s="1"/>
      <c r="AH36" s="1"/>
      <c r="AI36" s="1"/>
      <c r="AJ36" s="1"/>
      <c r="AK36" s="1"/>
      <c r="AL36" s="1"/>
      <c r="AM36" s="1"/>
      <c r="AN36" s="56"/>
      <c r="AP36" s="1"/>
      <c r="AQ36" s="1"/>
      <c r="AR36" s="1"/>
      <c r="AS36" s="1"/>
      <c r="AT36" s="1"/>
      <c r="AU36" s="1"/>
      <c r="AV36" s="1"/>
      <c r="AW36" s="1"/>
      <c r="AX36" s="1"/>
      <c r="AY36" s="1"/>
      <c r="AZ36" s="1"/>
      <c r="BA36" s="1"/>
      <c r="BB36" s="56"/>
      <c r="BD36" s="1"/>
      <c r="BE36" s="1"/>
      <c r="BF36" s="1"/>
      <c r="BG36" s="1"/>
      <c r="BH36" s="1"/>
      <c r="BI36" s="1"/>
      <c r="BJ36" s="1"/>
      <c r="BK36" s="1"/>
      <c r="BL36" s="1"/>
      <c r="BM36" s="1"/>
      <c r="BN36" s="1"/>
      <c r="BO36" s="1"/>
      <c r="BP36" s="56"/>
      <c r="BR36" s="1"/>
      <c r="BS36" s="1"/>
      <c r="BT36" s="1"/>
      <c r="BU36" s="1"/>
      <c r="BV36" s="1"/>
      <c r="BW36" s="1"/>
      <c r="BX36" s="1"/>
      <c r="BY36" s="1"/>
      <c r="BZ36" s="1"/>
      <c r="CA36" s="1"/>
      <c r="CB36" s="1"/>
      <c r="CC36" s="1"/>
      <c r="CD36" s="56"/>
    </row>
    <row r="37" spans="3:82" x14ac:dyDescent="0.25">
      <c r="C37" s="55" t="s">
        <v>608</v>
      </c>
      <c r="D37" s="75">
        <v>2026</v>
      </c>
      <c r="E37" s="11">
        <f>_xlfn.XLOOKUP(Exp_Plan[[#This Row],[Item]],item_ref[Item],item_ref[Trans_Type],"missing info",0)</f>
        <v>4</v>
      </c>
      <c r="F37" s="11">
        <f>_xlfn.XLOOKUP(Exp_Plan[[#This Row],[Item]],item_ref[Item],item_ref[Fix/Flex],"missing info",0)</f>
        <v>1</v>
      </c>
      <c r="G37" s="11">
        <f>_xlfn.XLOOKUP(Exp_Plan[[#This Row],[Item]],item_ref[Item],item_ref[PRIO],"missing info",0)</f>
        <v>4</v>
      </c>
      <c r="H37" s="41" t="str">
        <f>_xlfn.XLOOKUP(Exp_Plan[[#This Row],[Item]],item_ref[Item],item_ref[Account],"missing info",0)</f>
        <v>Self-Care Expense</v>
      </c>
      <c r="I37" t="s">
        <v>246</v>
      </c>
      <c r="K37">
        <v>1</v>
      </c>
      <c r="L37" s="40">
        <v>0</v>
      </c>
      <c r="M37" s="40">
        <v>0</v>
      </c>
      <c r="N37" s="40">
        <v>0</v>
      </c>
      <c r="O37" s="40">
        <v>0</v>
      </c>
      <c r="P37" s="40">
        <v>0</v>
      </c>
      <c r="Q37" s="40">
        <v>3.38</v>
      </c>
      <c r="R37" s="40">
        <v>3.38</v>
      </c>
      <c r="S37" s="40">
        <v>3.38</v>
      </c>
      <c r="T37" s="40">
        <v>3.38</v>
      </c>
      <c r="U37" s="40">
        <v>3.38</v>
      </c>
      <c r="V37" s="40">
        <v>3.38</v>
      </c>
      <c r="W37" s="40">
        <v>3.38</v>
      </c>
      <c r="X37" s="40">
        <f>SUM(Exp_Plan[[#This Row],[Jan]:[Dec]])</f>
        <v>23.659999999999997</v>
      </c>
      <c r="Y37" s="54"/>
      <c r="Z37" s="54"/>
      <c r="AA37" s="1"/>
      <c r="AC37" s="1"/>
      <c r="AG37" s="1"/>
      <c r="AH37" s="1"/>
      <c r="AI37" s="1"/>
      <c r="AJ37" s="1"/>
      <c r="AK37" s="1"/>
      <c r="AL37" s="1"/>
      <c r="AM37" s="1"/>
      <c r="AN37" s="56"/>
      <c r="AP37" s="1"/>
      <c r="AQ37" s="1"/>
      <c r="AR37" s="1"/>
      <c r="AS37" s="1"/>
      <c r="AT37" s="1"/>
      <c r="AU37" s="1"/>
      <c r="AV37" s="1"/>
      <c r="AW37" s="1"/>
      <c r="AX37" s="1"/>
      <c r="AY37" s="1"/>
      <c r="AZ37" s="1"/>
      <c r="BA37" s="1"/>
      <c r="BB37" s="56"/>
      <c r="BD37" s="1"/>
      <c r="BE37" s="1"/>
      <c r="BF37" s="1"/>
      <c r="BG37" s="1"/>
      <c r="BH37" s="1"/>
      <c r="BI37" s="1"/>
      <c r="BJ37" s="1"/>
      <c r="BK37" s="1"/>
      <c r="BL37" s="1"/>
      <c r="BM37" s="1"/>
      <c r="BN37" s="1"/>
      <c r="BO37" s="1"/>
      <c r="BP37" s="56"/>
      <c r="BR37" s="1"/>
      <c r="BS37" s="1"/>
      <c r="BT37" s="1"/>
      <c r="BU37" s="1"/>
      <c r="BV37" s="1"/>
      <c r="BW37" s="1"/>
      <c r="BX37" s="1"/>
      <c r="BY37" s="1"/>
      <c r="BZ37" s="1"/>
      <c r="CA37" s="1"/>
      <c r="CB37" s="1"/>
      <c r="CC37" s="1"/>
      <c r="CD37" s="56"/>
    </row>
    <row r="38" spans="3:82" x14ac:dyDescent="0.25">
      <c r="C38" s="55" t="s">
        <v>608</v>
      </c>
      <c r="D38" s="11">
        <v>2026</v>
      </c>
      <c r="E38" s="11">
        <f>_xlfn.XLOOKUP(Exp_Plan[[#This Row],[Item]],item_ref[Item],item_ref[Trans_Type],"missing info",0)</f>
        <v>4</v>
      </c>
      <c r="F38" s="11">
        <f>_xlfn.XLOOKUP(Exp_Plan[[#This Row],[Item]],item_ref[Item],item_ref[Fix/Flex],"missing info",0)</f>
        <v>1</v>
      </c>
      <c r="G38" s="11">
        <f>_xlfn.XLOOKUP(Exp_Plan[[#This Row],[Item]],item_ref[Item],item_ref[PRIO],"missing info",0)</f>
        <v>4</v>
      </c>
      <c r="H38" s="41" t="str">
        <f>_xlfn.XLOOKUP(Exp_Plan[[#This Row],[Item]],item_ref[Item],item_ref[Account],"missing info",0)</f>
        <v>Self-Care Expense</v>
      </c>
      <c r="I38" t="s">
        <v>148</v>
      </c>
      <c r="K38">
        <v>0</v>
      </c>
      <c r="L38" s="40">
        <v>0</v>
      </c>
      <c r="M38" s="40">
        <v>0</v>
      </c>
      <c r="N38" s="40">
        <v>0</v>
      </c>
      <c r="O38" s="40">
        <v>0</v>
      </c>
      <c r="P38" s="40">
        <v>0</v>
      </c>
      <c r="Q38" s="40">
        <v>0</v>
      </c>
      <c r="R38" s="40">
        <v>0</v>
      </c>
      <c r="S38" s="40">
        <v>0</v>
      </c>
      <c r="T38" s="40">
        <v>0</v>
      </c>
      <c r="U38" s="40">
        <v>0</v>
      </c>
      <c r="V38" s="40">
        <v>0</v>
      </c>
      <c r="W38" s="40">
        <v>0</v>
      </c>
      <c r="X38" s="40">
        <f>SUM(Exp_Plan[[#This Row],[Jan]:[Dec]])</f>
        <v>0</v>
      </c>
      <c r="Y38" s="54"/>
      <c r="Z38" s="54"/>
      <c r="AA38" s="1"/>
      <c r="AC38" s="1"/>
      <c r="AG38" s="1"/>
      <c r="AH38" s="1"/>
      <c r="AI38" s="1"/>
      <c r="AJ38" s="1"/>
      <c r="AK38" s="1"/>
      <c r="AL38" s="1"/>
      <c r="AM38" s="1"/>
      <c r="AN38" s="56"/>
      <c r="AP38" s="1"/>
      <c r="AQ38" s="1"/>
      <c r="AR38" s="1"/>
      <c r="AS38" s="1"/>
      <c r="AT38" s="1"/>
      <c r="AU38" s="1"/>
      <c r="AV38" s="1"/>
      <c r="AW38" s="1"/>
      <c r="AX38" s="1"/>
      <c r="AY38" s="1"/>
      <c r="AZ38" s="1"/>
      <c r="BA38" s="1"/>
      <c r="BB38" s="56"/>
      <c r="BD38" s="1"/>
      <c r="BE38" s="1"/>
      <c r="BF38" s="1"/>
      <c r="BG38" s="1"/>
      <c r="BH38" s="1"/>
      <c r="BI38" s="1"/>
      <c r="BJ38" s="1"/>
      <c r="BK38" s="1"/>
      <c r="BL38" s="1"/>
      <c r="BM38" s="1"/>
      <c r="BN38" s="1"/>
      <c r="BO38" s="1"/>
      <c r="BP38" s="56"/>
      <c r="BR38" s="1"/>
      <c r="BS38" s="1"/>
      <c r="BT38" s="1"/>
      <c r="BU38" s="1"/>
      <c r="BV38" s="1"/>
      <c r="BW38" s="1"/>
      <c r="BX38" s="1"/>
      <c r="BY38" s="1"/>
      <c r="BZ38" s="1"/>
      <c r="CA38" s="1"/>
      <c r="CB38" s="1"/>
      <c r="CC38" s="1"/>
      <c r="CD38" s="56"/>
    </row>
    <row r="39" spans="3:82" x14ac:dyDescent="0.25">
      <c r="C39" s="55" t="s">
        <v>608</v>
      </c>
      <c r="D39" s="11">
        <v>2025</v>
      </c>
      <c r="E39" s="11">
        <f>_xlfn.XLOOKUP(Exp_Plan[[#This Row],[Item]],item_ref[Item],item_ref[Trans_Type],"missing info",0)</f>
        <v>4</v>
      </c>
      <c r="F39" s="11">
        <f>_xlfn.XLOOKUP(Exp_Plan[[#This Row],[Item]],item_ref[Item],item_ref[Fix/Flex],"missing info",0)</f>
        <v>1</v>
      </c>
      <c r="G39" s="11">
        <f>_xlfn.XLOOKUP(Exp_Plan[[#This Row],[Item]],item_ref[Item],item_ref[PRIO],"missing info",0)</f>
        <v>4</v>
      </c>
      <c r="H39" s="41" t="str">
        <f>_xlfn.XLOOKUP(Exp_Plan[[#This Row],[Item]],item_ref[Item],item_ref[Account],"missing info",0)</f>
        <v>Self-Care Expense</v>
      </c>
      <c r="I39" t="s">
        <v>155</v>
      </c>
      <c r="K39">
        <v>1</v>
      </c>
      <c r="L39" s="40"/>
      <c r="M39" s="40"/>
      <c r="N39" s="40"/>
      <c r="O39" s="40"/>
      <c r="P39" s="40">
        <v>6.77</v>
      </c>
      <c r="Q39" s="40">
        <v>6.77</v>
      </c>
      <c r="R39" s="40">
        <v>6.77</v>
      </c>
      <c r="S39" s="40">
        <v>6.77</v>
      </c>
      <c r="T39" s="40">
        <v>6.77</v>
      </c>
      <c r="U39" s="40">
        <v>6.77</v>
      </c>
      <c r="V39" s="40">
        <v>6.77</v>
      </c>
      <c r="W39" s="40">
        <v>6.77</v>
      </c>
      <c r="X39" s="54">
        <f>SUM(Exp_Plan[[#This Row],[Jan]:[Dec]])</f>
        <v>54.159999999999982</v>
      </c>
      <c r="Y39" s="54"/>
      <c r="Z39" s="54"/>
      <c r="AA39" s="1"/>
      <c r="AC39" s="1"/>
      <c r="AG39" s="1"/>
      <c r="AH39" s="1"/>
      <c r="AI39" s="1"/>
      <c r="AJ39" s="1"/>
      <c r="AK39" s="1"/>
      <c r="AL39" s="1"/>
      <c r="AM39" s="1"/>
      <c r="AN39" s="56"/>
      <c r="AP39" s="1"/>
      <c r="AQ39" s="1"/>
      <c r="AR39" s="1"/>
      <c r="AS39" s="1"/>
      <c r="AT39" s="1"/>
      <c r="AU39" s="1"/>
      <c r="AV39" s="1"/>
      <c r="AW39" s="1"/>
      <c r="AX39" s="1"/>
      <c r="AY39" s="1"/>
      <c r="AZ39" s="1"/>
      <c r="BA39" s="1"/>
      <c r="BB39" s="56"/>
      <c r="BD39" s="1"/>
      <c r="BE39" s="1"/>
      <c r="BF39" s="1"/>
      <c r="BG39" s="1"/>
      <c r="BH39" s="1"/>
      <c r="BI39" s="1"/>
      <c r="BJ39" s="1"/>
      <c r="BK39" s="1"/>
      <c r="BL39" s="1"/>
      <c r="BM39" s="1"/>
      <c r="BN39" s="1"/>
      <c r="BO39" s="1"/>
      <c r="BP39" s="56"/>
      <c r="BR39" s="1"/>
      <c r="BS39" s="1"/>
      <c r="BT39" s="1"/>
      <c r="BU39" s="1"/>
      <c r="BV39" s="1"/>
      <c r="BW39" s="1"/>
      <c r="BX39" s="1"/>
      <c r="BY39" s="1"/>
      <c r="BZ39" s="1"/>
      <c r="CA39" s="1"/>
      <c r="CB39" s="1"/>
      <c r="CC39" s="1"/>
      <c r="CD39" s="56"/>
    </row>
    <row r="40" spans="3:82" x14ac:dyDescent="0.25">
      <c r="C40" s="55" t="s">
        <v>608</v>
      </c>
      <c r="D40" s="11">
        <v>2025</v>
      </c>
      <c r="E40" s="11">
        <f>_xlfn.XLOOKUP(Exp_Plan[[#This Row],[Item]],item_ref[Item],item_ref[Trans_Type],"missing info",0)</f>
        <v>0</v>
      </c>
      <c r="F40" s="11">
        <f>_xlfn.XLOOKUP(Exp_Plan[[#This Row],[Item]],item_ref[Item],item_ref[Fix/Flex],"missing info",0)</f>
        <v>0</v>
      </c>
      <c r="G40" s="11">
        <f>_xlfn.XLOOKUP(Exp_Plan[[#This Row],[Item]],item_ref[Item],item_ref[PRIO],"missing info",0)</f>
        <v>0</v>
      </c>
      <c r="H40" s="41" t="str">
        <f>_xlfn.XLOOKUP(Exp_Plan[[#This Row],[Item]],item_ref[Item],item_ref[Account],"missing info",0)</f>
        <v>Self-Care Expense</v>
      </c>
      <c r="I40" t="s">
        <v>232</v>
      </c>
      <c r="K40">
        <v>1</v>
      </c>
      <c r="L40" s="40"/>
      <c r="M40" s="40"/>
      <c r="N40" s="40"/>
      <c r="O40" s="40">
        <v>100</v>
      </c>
      <c r="P40" s="40"/>
      <c r="Q40" s="40"/>
      <c r="R40" s="40"/>
      <c r="S40" s="40">
        <v>30</v>
      </c>
      <c r="T40" s="40"/>
      <c r="U40" s="40"/>
      <c r="V40" s="40"/>
      <c r="W40" s="40"/>
      <c r="X40" s="54">
        <f>SUM(Exp_Plan[[#This Row],[Jan]:[Dec]])</f>
        <v>130</v>
      </c>
      <c r="Y40" s="54"/>
      <c r="Z40" s="54"/>
      <c r="AA40" s="1"/>
      <c r="AC40" s="1"/>
      <c r="AG40" s="1"/>
      <c r="AH40" s="1"/>
      <c r="AI40" s="1"/>
      <c r="AJ40" s="1"/>
      <c r="AK40" s="1"/>
      <c r="AL40" s="1"/>
      <c r="AM40" s="1"/>
      <c r="AN40" s="56"/>
      <c r="AP40" s="1"/>
      <c r="AQ40" s="1"/>
      <c r="AR40" s="1"/>
      <c r="AS40" s="1"/>
      <c r="AT40" s="1"/>
      <c r="AU40" s="1"/>
      <c r="AV40" s="1"/>
      <c r="AW40" s="1"/>
      <c r="AX40" s="1"/>
      <c r="AY40" s="1"/>
      <c r="AZ40" s="1"/>
      <c r="BA40" s="1"/>
      <c r="BB40" s="56"/>
      <c r="BD40" s="1"/>
      <c r="BE40" s="1"/>
      <c r="BF40" s="1"/>
      <c r="BG40" s="1"/>
      <c r="BH40" s="1"/>
      <c r="BI40" s="1"/>
      <c r="BJ40" s="1"/>
      <c r="BK40" s="1"/>
      <c r="BL40" s="1"/>
      <c r="BM40" s="1"/>
      <c r="BN40" s="1"/>
      <c r="BO40" s="1"/>
      <c r="BP40" s="56"/>
      <c r="BR40" s="1"/>
      <c r="BS40" s="1"/>
      <c r="BT40" s="1"/>
      <c r="BU40" s="1"/>
      <c r="BV40" s="1"/>
      <c r="BW40" s="1"/>
      <c r="BX40" s="1"/>
      <c r="BY40" s="1"/>
      <c r="BZ40" s="1"/>
      <c r="CA40" s="1"/>
      <c r="CB40" s="1"/>
      <c r="CC40" s="1"/>
      <c r="CD40" s="56"/>
    </row>
    <row r="41" spans="3:82" x14ac:dyDescent="0.25">
      <c r="C41" s="55" t="s">
        <v>608</v>
      </c>
      <c r="D41" s="75">
        <v>2025</v>
      </c>
      <c r="E41" s="11">
        <f>_xlfn.XLOOKUP(Exp_Plan[[#This Row],[Item]],item_ref[Item],item_ref[Trans_Type],"missing info",0)</f>
        <v>0</v>
      </c>
      <c r="F41" s="11">
        <f>_xlfn.XLOOKUP(Exp_Plan[[#This Row],[Item]],item_ref[Item],item_ref[Fix/Flex],"missing info",0)</f>
        <v>1</v>
      </c>
      <c r="G41" s="11">
        <f>_xlfn.XLOOKUP(Exp_Plan[[#This Row],[Item]],item_ref[Item],item_ref[PRIO],"missing info",0)</f>
        <v>2</v>
      </c>
      <c r="H41" s="41" t="str">
        <f>_xlfn.XLOOKUP(Exp_Plan[[#This Row],[Item]],item_ref[Item],item_ref[Account],"missing info",0)</f>
        <v>Self-Care Expense</v>
      </c>
      <c r="I41" t="s">
        <v>320</v>
      </c>
      <c r="K41">
        <v>1</v>
      </c>
      <c r="L41" s="40">
        <v>0</v>
      </c>
      <c r="M41" s="40">
        <v>8.39</v>
      </c>
      <c r="N41" s="40">
        <v>8.39</v>
      </c>
      <c r="O41" s="40">
        <v>8.39</v>
      </c>
      <c r="P41" s="40">
        <v>8.39</v>
      </c>
      <c r="Q41" s="40">
        <v>8.39</v>
      </c>
      <c r="R41" s="40">
        <v>8.39</v>
      </c>
      <c r="S41" s="40">
        <v>8.39</v>
      </c>
      <c r="T41" s="40">
        <v>8.39</v>
      </c>
      <c r="U41" s="40">
        <v>8.39</v>
      </c>
      <c r="V41" s="40">
        <v>8.39</v>
      </c>
      <c r="W41" s="40">
        <v>8.39</v>
      </c>
      <c r="X41" s="40">
        <f>SUM(Exp_Plan[[#This Row],[Jan]:[Dec]])</f>
        <v>92.29</v>
      </c>
      <c r="Y41" s="54"/>
      <c r="Z41" s="54"/>
      <c r="AA41" s="1"/>
      <c r="AC41" s="1"/>
      <c r="AG41" s="1"/>
      <c r="AH41" s="1"/>
      <c r="AI41" s="1"/>
      <c r="AJ41" s="1"/>
      <c r="AK41" s="1"/>
      <c r="AL41" s="1"/>
      <c r="AM41" s="1"/>
      <c r="AN41" s="56"/>
      <c r="AP41" s="1"/>
      <c r="AQ41" s="1"/>
      <c r="AR41" s="1"/>
      <c r="AS41" s="1"/>
      <c r="AT41" s="1"/>
      <c r="AU41" s="1"/>
      <c r="AV41" s="1"/>
      <c r="AW41" s="1"/>
      <c r="AX41" s="1"/>
      <c r="AY41" s="1"/>
      <c r="AZ41" s="1"/>
      <c r="BA41" s="1"/>
      <c r="BB41" s="56"/>
      <c r="BD41" s="1"/>
      <c r="BE41" s="1"/>
      <c r="BF41" s="1"/>
      <c r="BG41" s="1"/>
      <c r="BH41" s="1"/>
      <c r="BI41" s="1"/>
      <c r="BJ41" s="1"/>
      <c r="BK41" s="1"/>
      <c r="BL41" s="1"/>
      <c r="BM41" s="1"/>
      <c r="BN41" s="1"/>
      <c r="BO41" s="1"/>
      <c r="BP41" s="56"/>
      <c r="BR41" s="1"/>
      <c r="BS41" s="1"/>
      <c r="BT41" s="1"/>
      <c r="BU41" s="1"/>
      <c r="BV41" s="1"/>
      <c r="BW41" s="1"/>
      <c r="BX41" s="1"/>
      <c r="BY41" s="1"/>
      <c r="BZ41" s="1"/>
      <c r="CA41" s="1"/>
      <c r="CB41" s="1"/>
      <c r="CC41" s="1"/>
      <c r="CD41" s="56"/>
    </row>
    <row r="42" spans="3:82" x14ac:dyDescent="0.25">
      <c r="C42" s="55" t="s">
        <v>608</v>
      </c>
      <c r="D42" s="75">
        <v>2025</v>
      </c>
      <c r="E42" s="11">
        <f>_xlfn.XLOOKUP(Exp_Plan[[#This Row],[Item]],item_ref[Item],item_ref[Trans_Type],"missing info",0)</f>
        <v>0</v>
      </c>
      <c r="F42" s="11">
        <f>_xlfn.XLOOKUP(Exp_Plan[[#This Row],[Item]],item_ref[Item],item_ref[Fix/Flex],"missing info",0)</f>
        <v>0</v>
      </c>
      <c r="G42" s="11">
        <f>_xlfn.XLOOKUP(Exp_Plan[[#This Row],[Item]],item_ref[Item],item_ref[PRIO],"missing info",0)</f>
        <v>0</v>
      </c>
      <c r="H42" s="41" t="str">
        <f>_xlfn.XLOOKUP(Exp_Plan[[#This Row],[Item]],item_ref[Item],item_ref[Account],"missing info",0)</f>
        <v>Self-Care Expense</v>
      </c>
      <c r="I42" t="s">
        <v>135</v>
      </c>
      <c r="K42">
        <v>0</v>
      </c>
      <c r="L42" s="40">
        <v>0</v>
      </c>
      <c r="M42" s="40">
        <v>0</v>
      </c>
      <c r="N42" s="40">
        <v>0</v>
      </c>
      <c r="O42" s="40">
        <v>0</v>
      </c>
      <c r="P42" s="40">
        <v>0</v>
      </c>
      <c r="Q42" s="40">
        <v>0</v>
      </c>
      <c r="R42" s="40">
        <v>0</v>
      </c>
      <c r="S42" s="40">
        <v>0</v>
      </c>
      <c r="T42" s="40">
        <v>0</v>
      </c>
      <c r="U42" s="40">
        <v>0</v>
      </c>
      <c r="V42" s="40">
        <v>0</v>
      </c>
      <c r="W42" s="40">
        <v>0</v>
      </c>
      <c r="X42" s="40">
        <f>SUM(Exp_Plan[[#This Row],[Jan]:[Dec]])</f>
        <v>0</v>
      </c>
      <c r="Z42" s="1"/>
      <c r="AA42" s="1"/>
      <c r="AB42" s="1"/>
    </row>
    <row r="43" spans="3:82" x14ac:dyDescent="0.25">
      <c r="C43" s="55" t="s">
        <v>608</v>
      </c>
      <c r="D43" s="75">
        <v>2025</v>
      </c>
      <c r="E43" s="11">
        <f>_xlfn.XLOOKUP(Exp_Plan[[#This Row],[Item]],item_ref[Item],item_ref[Trans_Type],"missing info",0)</f>
        <v>0</v>
      </c>
      <c r="F43" s="11">
        <f>_xlfn.XLOOKUP(Exp_Plan[[#This Row],[Item]],item_ref[Item],item_ref[Fix/Flex],"missing info",0)</f>
        <v>0</v>
      </c>
      <c r="G43" s="11">
        <f>_xlfn.XLOOKUP(Exp_Plan[[#This Row],[Item]],item_ref[Item],item_ref[PRIO],"missing info",0)</f>
        <v>0</v>
      </c>
      <c r="H43" s="41" t="str">
        <f>_xlfn.XLOOKUP(Exp_Plan[[#This Row],[Item]],item_ref[Item],item_ref[Account],"missing info",0)</f>
        <v>Self-Care Expense</v>
      </c>
      <c r="I43" t="s">
        <v>497</v>
      </c>
      <c r="K43">
        <v>0</v>
      </c>
      <c r="L43" s="40"/>
      <c r="M43" s="40"/>
      <c r="N43" s="40"/>
      <c r="O43" s="40"/>
      <c r="P43" s="40"/>
      <c r="Q43" s="40"/>
      <c r="R43" s="40"/>
      <c r="S43" s="40"/>
      <c r="T43" s="40"/>
      <c r="U43" s="40"/>
      <c r="V43" s="40"/>
      <c r="W43" s="40"/>
      <c r="X43" s="54">
        <f>SUM(Exp_Plan[[#This Row],[Jan]:[Dec]])</f>
        <v>0</v>
      </c>
      <c r="Z43" s="1"/>
      <c r="AA43" s="1"/>
      <c r="AB43" s="1"/>
    </row>
    <row r="44" spans="3:82" x14ac:dyDescent="0.25">
      <c r="C44" s="55" t="s">
        <v>608</v>
      </c>
      <c r="D44" s="11">
        <v>2025</v>
      </c>
      <c r="E44" s="11">
        <f>_xlfn.XLOOKUP(Exp_Plan[[#This Row],[Item]],item_ref[Item],item_ref[Trans_Type],"missing info",0)</f>
        <v>0</v>
      </c>
      <c r="F44" s="11">
        <f>_xlfn.XLOOKUP(Exp_Plan[[#This Row],[Item]],item_ref[Item],item_ref[Fix/Flex],"missing info",0)</f>
        <v>1</v>
      </c>
      <c r="G44" s="11">
        <f>_xlfn.XLOOKUP(Exp_Plan[[#This Row],[Item]],item_ref[Item],item_ref[PRIO],"missing info",0)</f>
        <v>1</v>
      </c>
      <c r="H44" s="41" t="str">
        <f>_xlfn.XLOOKUP(Exp_Plan[[#This Row],[Item]],item_ref[Item],item_ref[Account],"missing info",0)</f>
        <v>Transportation Expense</v>
      </c>
      <c r="I44" t="s">
        <v>180</v>
      </c>
      <c r="K44">
        <v>1</v>
      </c>
      <c r="L44" s="40">
        <v>65</v>
      </c>
      <c r="M44" s="40">
        <v>65</v>
      </c>
      <c r="N44" s="40">
        <v>65</v>
      </c>
      <c r="O44" s="40">
        <v>65</v>
      </c>
      <c r="P44" s="40">
        <v>65</v>
      </c>
      <c r="Q44" s="40">
        <v>65</v>
      </c>
      <c r="R44" s="40">
        <v>65</v>
      </c>
      <c r="S44" s="40">
        <v>65</v>
      </c>
      <c r="T44" s="40">
        <v>65</v>
      </c>
      <c r="U44" s="40">
        <v>65</v>
      </c>
      <c r="V44" s="40">
        <v>65</v>
      </c>
      <c r="W44" s="40">
        <v>65</v>
      </c>
      <c r="X44" s="40">
        <f>SUM(Exp_Plan[[#This Row],[Jan]:[Dec]])</f>
        <v>780</v>
      </c>
      <c r="Z44" s="1"/>
      <c r="AA44" s="1"/>
      <c r="AB44" s="1"/>
    </row>
    <row r="45" spans="3:82" x14ac:dyDescent="0.25">
      <c r="C45" s="55" t="s">
        <v>608</v>
      </c>
      <c r="D45" s="11">
        <v>2025</v>
      </c>
      <c r="E45" s="11">
        <f>_xlfn.XLOOKUP(Exp_Plan[[#This Row],[Item]],item_ref[Item],item_ref[Trans_Type],"missing info",0)</f>
        <v>0</v>
      </c>
      <c r="F45" s="11">
        <f>_xlfn.XLOOKUP(Exp_Plan[[#This Row],[Item]],item_ref[Item],item_ref[Fix/Flex],"missing info",0)</f>
        <v>0</v>
      </c>
      <c r="G45" s="11">
        <f>_xlfn.XLOOKUP(Exp_Plan[[#This Row],[Item]],item_ref[Item],item_ref[PRIO],"missing info",0)</f>
        <v>0</v>
      </c>
      <c r="H45" s="41" t="str">
        <f>_xlfn.XLOOKUP(Exp_Plan[[#This Row],[Item]],item_ref[Item],item_ref[Account],"missing info",0)</f>
        <v>Transportation Expense</v>
      </c>
      <c r="I45" t="s">
        <v>119</v>
      </c>
      <c r="K45">
        <v>1</v>
      </c>
      <c r="L45" s="40"/>
      <c r="M45" s="40"/>
      <c r="N45" s="40"/>
      <c r="O45" s="40"/>
      <c r="P45" s="40"/>
      <c r="Q45" s="40">
        <v>100</v>
      </c>
      <c r="R45" s="40"/>
      <c r="S45" s="40"/>
      <c r="T45" s="40"/>
      <c r="U45" s="40"/>
      <c r="V45" s="40"/>
      <c r="W45" s="40"/>
      <c r="X45" s="54">
        <f>SUM(Exp_Plan[[#This Row],[Jan]:[Dec]])</f>
        <v>100</v>
      </c>
      <c r="Z45" s="1"/>
      <c r="AA45" s="1"/>
      <c r="AB45" s="1"/>
    </row>
    <row r="46" spans="3:82" x14ac:dyDescent="0.25">
      <c r="C46" s="55" t="s">
        <v>608</v>
      </c>
      <c r="D46" s="75">
        <v>2025</v>
      </c>
      <c r="E46" s="11">
        <f>_xlfn.XLOOKUP(Exp_Plan[[#This Row],[Item]],item_ref[Item],item_ref[Trans_Type],"missing info",0)</f>
        <v>4</v>
      </c>
      <c r="F46" s="11">
        <f>_xlfn.XLOOKUP(Exp_Plan[[#This Row],[Item]],item_ref[Item],item_ref[Fix/Flex],"missing info",0)</f>
        <v>0</v>
      </c>
      <c r="G46" s="11">
        <f>_xlfn.XLOOKUP(Exp_Plan[[#This Row],[Item]],item_ref[Item],item_ref[PRIO],"missing info",0)</f>
        <v>2</v>
      </c>
      <c r="H46" s="41" t="str">
        <f>_xlfn.XLOOKUP(Exp_Plan[[#This Row],[Item]],item_ref[Item],item_ref[Account],"missing info",0)</f>
        <v>Transportation Expense</v>
      </c>
      <c r="I46" t="s">
        <v>115</v>
      </c>
      <c r="K46">
        <v>1</v>
      </c>
      <c r="L46" s="40">
        <v>0</v>
      </c>
      <c r="M46" s="40">
        <v>0</v>
      </c>
      <c r="N46" s="40">
        <v>0</v>
      </c>
      <c r="O46" s="40">
        <v>0</v>
      </c>
      <c r="P46" s="40">
        <v>0</v>
      </c>
      <c r="Q46" s="40">
        <v>0</v>
      </c>
      <c r="R46" s="40">
        <v>0</v>
      </c>
      <c r="S46" s="40">
        <v>0</v>
      </c>
      <c r="T46" s="40">
        <v>0</v>
      </c>
      <c r="U46" s="40">
        <v>0</v>
      </c>
      <c r="V46" s="40">
        <v>0</v>
      </c>
      <c r="W46" s="40">
        <v>0</v>
      </c>
      <c r="X46" s="40">
        <f>SUM(Exp_Plan[[#This Row],[Jan]:[Dec]])</f>
        <v>0</v>
      </c>
      <c r="Z46" s="1"/>
      <c r="AA46" s="1"/>
      <c r="AB46" s="1"/>
    </row>
    <row r="47" spans="3:82" x14ac:dyDescent="0.25">
      <c r="C47" s="55" t="s">
        <v>608</v>
      </c>
      <c r="D47" s="11">
        <v>2025</v>
      </c>
      <c r="E47" s="11">
        <f>_xlfn.XLOOKUP(Exp_Plan[[#This Row],[Item]],item_ref[Item],item_ref[Trans_Type],"missing info",0)</f>
        <v>5</v>
      </c>
      <c r="F47" s="11">
        <f>_xlfn.XLOOKUP(Exp_Plan[[#This Row],[Item]],item_ref[Item],item_ref[Fix/Flex],"missing info",0)</f>
        <v>1</v>
      </c>
      <c r="G47" s="11">
        <f>_xlfn.XLOOKUP(Exp_Plan[[#This Row],[Item]],item_ref[Item],item_ref[PRIO],"missing info",0)</f>
        <v>1</v>
      </c>
      <c r="H47" s="41" t="str">
        <f>_xlfn.XLOOKUP(Exp_Plan[[#This Row],[Item]],item_ref[Item],item_ref[Account],"missing info",0)</f>
        <v>TV/Internet Expense</v>
      </c>
      <c r="I47" t="s">
        <v>146</v>
      </c>
      <c r="K47">
        <v>1</v>
      </c>
      <c r="L47" s="40">
        <v>0</v>
      </c>
      <c r="M47" s="40">
        <v>0</v>
      </c>
      <c r="N47" s="40">
        <v>0</v>
      </c>
      <c r="O47" s="40">
        <v>0</v>
      </c>
      <c r="P47" s="40">
        <v>250</v>
      </c>
      <c r="Q47" s="40">
        <v>250</v>
      </c>
      <c r="R47" s="40">
        <v>250</v>
      </c>
      <c r="S47" s="40">
        <v>250</v>
      </c>
      <c r="T47" s="40">
        <v>250</v>
      </c>
      <c r="U47" s="40"/>
      <c r="V47" s="40"/>
      <c r="W47" s="40"/>
      <c r="X47" s="40">
        <f>SUM(Exp_Plan[[#This Row],[Jan]:[Dec]])</f>
        <v>1250</v>
      </c>
      <c r="Z47" s="1"/>
      <c r="AA47" s="1"/>
      <c r="AB47" s="1"/>
    </row>
    <row r="48" spans="3:82" x14ac:dyDescent="0.25">
      <c r="M48" s="1" t="s">
        <v>130</v>
      </c>
      <c r="Z48" s="1"/>
      <c r="AA48" s="1"/>
      <c r="AB48" s="1"/>
    </row>
    <row r="51" spans="7:25" x14ac:dyDescent="0.25">
      <c r="R51"/>
    </row>
    <row r="53" spans="7:25" x14ac:dyDescent="0.25">
      <c r="N53"/>
      <c r="O53" s="43"/>
      <c r="P53"/>
      <c r="Q53"/>
      <c r="R53"/>
      <c r="S53"/>
      <c r="T53"/>
      <c r="W53"/>
    </row>
    <row r="54" spans="7:25" x14ac:dyDescent="0.25">
      <c r="N54"/>
      <c r="O54" s="43"/>
      <c r="P54"/>
      <c r="Q54"/>
      <c r="R54"/>
      <c r="S54"/>
      <c r="T54"/>
      <c r="V54"/>
      <c r="W54"/>
      <c r="Y54"/>
    </row>
    <row r="55" spans="7:25" x14ac:dyDescent="0.25">
      <c r="H55" s="11"/>
      <c r="I55" s="11"/>
      <c r="N55"/>
      <c r="O55" s="43"/>
      <c r="P55"/>
      <c r="Q55"/>
      <c r="R55"/>
      <c r="S55"/>
      <c r="T55"/>
      <c r="V55"/>
      <c r="W55"/>
      <c r="Y55"/>
    </row>
    <row r="56" spans="7:25" x14ac:dyDescent="0.25">
      <c r="H56" s="11"/>
      <c r="I56" s="11"/>
      <c r="N56"/>
      <c r="O56" s="43"/>
      <c r="P56"/>
      <c r="Q56"/>
      <c r="R56"/>
      <c r="S56"/>
      <c r="T56"/>
      <c r="V56"/>
      <c r="W56"/>
      <c r="Y56"/>
    </row>
    <row r="57" spans="7:25" x14ac:dyDescent="0.25">
      <c r="H57" s="11"/>
      <c r="I57" s="11"/>
      <c r="N57"/>
      <c r="O57" s="43"/>
      <c r="P57"/>
      <c r="Q57"/>
      <c r="R57"/>
      <c r="S57"/>
      <c r="T57"/>
      <c r="V57"/>
      <c r="Y57"/>
    </row>
    <row r="58" spans="7:25" x14ac:dyDescent="0.25">
      <c r="I58" s="266"/>
      <c r="N58"/>
      <c r="O58" s="43"/>
      <c r="P58"/>
      <c r="Q58"/>
      <c r="R58"/>
      <c r="S58"/>
      <c r="T58"/>
      <c r="V58"/>
    </row>
    <row r="59" spans="7:25" x14ac:dyDescent="0.25">
      <c r="I59" s="266"/>
      <c r="N59"/>
      <c r="O59" s="43"/>
      <c r="P59"/>
      <c r="Q59"/>
      <c r="R59"/>
      <c r="S59"/>
      <c r="T59"/>
      <c r="V59"/>
    </row>
    <row r="60" spans="7:25" x14ac:dyDescent="0.25">
      <c r="I60" s="266"/>
      <c r="N60"/>
      <c r="O60" s="43"/>
      <c r="P60"/>
      <c r="Q60"/>
      <c r="R60"/>
      <c r="S60"/>
      <c r="T60"/>
      <c r="V60"/>
      <c r="X60"/>
    </row>
    <row r="61" spans="7:25" x14ac:dyDescent="0.25">
      <c r="I61" s="266"/>
      <c r="N61"/>
      <c r="O61" s="43"/>
      <c r="P61"/>
      <c r="Q61"/>
      <c r="R61"/>
      <c r="S61"/>
      <c r="T61"/>
      <c r="V61"/>
      <c r="X61"/>
    </row>
    <row r="62" spans="7:25" x14ac:dyDescent="0.25">
      <c r="G62" s="53"/>
      <c r="I62" s="266"/>
      <c r="N62"/>
      <c r="O62" s="43"/>
      <c r="P62"/>
      <c r="Q62"/>
      <c r="R62"/>
      <c r="S62"/>
      <c r="T62"/>
      <c r="V62"/>
      <c r="X62"/>
    </row>
    <row r="63" spans="7:25" x14ac:dyDescent="0.25">
      <c r="G63" s="53"/>
      <c r="I63" s="266"/>
      <c r="N63"/>
      <c r="O63" s="43"/>
      <c r="P63"/>
      <c r="Q63"/>
      <c r="R63"/>
      <c r="S63"/>
      <c r="T63"/>
      <c r="V63"/>
      <c r="X63"/>
    </row>
    <row r="64" spans="7:25" x14ac:dyDescent="0.25">
      <c r="G64" s="53"/>
      <c r="I64" s="266"/>
      <c r="N64"/>
      <c r="O64" s="43"/>
      <c r="P64"/>
      <c r="Q64"/>
      <c r="R64"/>
      <c r="S64"/>
      <c r="T64"/>
      <c r="V64"/>
    </row>
    <row r="65" spans="7:25" x14ac:dyDescent="0.25">
      <c r="G65" s="53"/>
      <c r="I65" s="266"/>
      <c r="N65"/>
      <c r="O65" s="43"/>
      <c r="P65"/>
      <c r="Q65"/>
      <c r="R65"/>
      <c r="S65"/>
      <c r="T65"/>
      <c r="V65"/>
    </row>
    <row r="66" spans="7:25" x14ac:dyDescent="0.25">
      <c r="G66" s="53"/>
      <c r="I66" s="266"/>
      <c r="N66"/>
      <c r="O66" s="43"/>
      <c r="P66"/>
      <c r="Q66"/>
      <c r="R66"/>
      <c r="S66"/>
      <c r="T66"/>
      <c r="V66"/>
    </row>
    <row r="67" spans="7:25" x14ac:dyDescent="0.25">
      <c r="G67" s="53"/>
      <c r="I67" s="266"/>
      <c r="N67"/>
      <c r="O67" s="43"/>
      <c r="P67"/>
      <c r="Q67"/>
      <c r="R67"/>
      <c r="S67"/>
      <c r="T67"/>
      <c r="V67"/>
    </row>
    <row r="68" spans="7:25" x14ac:dyDescent="0.25">
      <c r="G68" s="53"/>
      <c r="I68" s="266"/>
      <c r="N68"/>
      <c r="O68" s="43"/>
      <c r="P68"/>
      <c r="Q68"/>
      <c r="R68"/>
      <c r="S68"/>
      <c r="T68"/>
      <c r="V68" s="53"/>
      <c r="Y68"/>
    </row>
    <row r="69" spans="7:25" x14ac:dyDescent="0.25">
      <c r="G69" s="53"/>
      <c r="I69" s="266"/>
      <c r="N69"/>
      <c r="O69" s="43"/>
      <c r="P69"/>
      <c r="Q69"/>
      <c r="R69"/>
      <c r="S69"/>
      <c r="T69"/>
      <c r="V69" s="53"/>
      <c r="Y69"/>
    </row>
    <row r="70" spans="7:25" x14ac:dyDescent="0.25">
      <c r="G70" s="53"/>
      <c r="I70" s="266"/>
      <c r="N70"/>
      <c r="O70" s="43"/>
      <c r="P70"/>
      <c r="Q70"/>
      <c r="R70"/>
      <c r="S70"/>
      <c r="T70"/>
      <c r="V70" s="53"/>
      <c r="Y70"/>
    </row>
    <row r="71" spans="7:25" x14ac:dyDescent="0.25">
      <c r="G71" s="53"/>
      <c r="I71" s="266"/>
      <c r="N71"/>
      <c r="O71" s="43"/>
      <c r="P71"/>
      <c r="Q71"/>
      <c r="R71"/>
      <c r="S71"/>
      <c r="T71"/>
      <c r="V71" s="53"/>
      <c r="Y71"/>
    </row>
    <row r="72" spans="7:25" x14ac:dyDescent="0.25">
      <c r="G72" s="53"/>
      <c r="I72" s="266"/>
      <c r="N72"/>
      <c r="O72" s="43"/>
      <c r="P72"/>
      <c r="Q72"/>
      <c r="R72"/>
      <c r="S72"/>
      <c r="T72"/>
      <c r="V72" s="53"/>
      <c r="Y72"/>
    </row>
    <row r="73" spans="7:25" x14ac:dyDescent="0.25">
      <c r="G73" s="53"/>
      <c r="I73" s="266"/>
      <c r="N73"/>
      <c r="O73" s="43"/>
      <c r="P73"/>
      <c r="Q73"/>
      <c r="R73"/>
      <c r="S73"/>
      <c r="T73"/>
      <c r="V73" s="53"/>
      <c r="Y73"/>
    </row>
    <row r="74" spans="7:25" x14ac:dyDescent="0.25">
      <c r="G74" s="53"/>
      <c r="I74" s="266"/>
      <c r="N74"/>
      <c r="O74" s="43"/>
      <c r="P74"/>
      <c r="Q74"/>
      <c r="R74"/>
      <c r="S74"/>
      <c r="T74"/>
      <c r="V74" s="53"/>
      <c r="Y74"/>
    </row>
    <row r="75" spans="7:25" x14ac:dyDescent="0.25">
      <c r="G75" s="53"/>
      <c r="I75" s="266"/>
      <c r="N75"/>
      <c r="O75" s="43"/>
      <c r="P75"/>
      <c r="Q75"/>
      <c r="R75"/>
      <c r="S75"/>
      <c r="T75"/>
      <c r="V75" s="53"/>
      <c r="Y75"/>
    </row>
    <row r="76" spans="7:25" x14ac:dyDescent="0.25">
      <c r="G76" s="53"/>
      <c r="I76" s="266"/>
      <c r="N76"/>
      <c r="O76" s="43"/>
      <c r="P76"/>
      <c r="Q76"/>
      <c r="R76"/>
      <c r="S76"/>
      <c r="T76"/>
      <c r="V76" s="53"/>
      <c r="Y76"/>
    </row>
    <row r="77" spans="7:25" x14ac:dyDescent="0.25">
      <c r="G77" s="53"/>
      <c r="I77" s="266"/>
      <c r="N77"/>
      <c r="O77" s="43"/>
      <c r="P77"/>
      <c r="Q77"/>
      <c r="R77"/>
      <c r="S77"/>
      <c r="T77"/>
      <c r="V77" s="53"/>
      <c r="Y77"/>
    </row>
    <row r="78" spans="7:25" x14ac:dyDescent="0.25">
      <c r="G78" s="53"/>
      <c r="I78" s="266"/>
      <c r="N78"/>
      <c r="O78" s="43"/>
      <c r="P78"/>
      <c r="Q78"/>
      <c r="R78"/>
      <c r="S78"/>
      <c r="T78"/>
      <c r="V78" s="53"/>
      <c r="X78"/>
      <c r="Y78"/>
    </row>
    <row r="79" spans="7:25" x14ac:dyDescent="0.25">
      <c r="G79" s="53"/>
      <c r="I79" s="266"/>
      <c r="N79"/>
      <c r="O79" s="43"/>
      <c r="P79"/>
      <c r="Q79"/>
      <c r="R79"/>
      <c r="S79"/>
      <c r="T79"/>
      <c r="V79" s="53"/>
      <c r="Y79"/>
    </row>
    <row r="80" spans="7:25" x14ac:dyDescent="0.25">
      <c r="G80" s="53"/>
      <c r="I80" s="266"/>
      <c r="N80"/>
      <c r="O80" s="43"/>
      <c r="P80"/>
      <c r="Q80"/>
      <c r="R80"/>
      <c r="S80"/>
      <c r="T80"/>
      <c r="V80" s="53"/>
      <c r="Y80"/>
    </row>
    <row r="81" spans="7:25" x14ac:dyDescent="0.25">
      <c r="G81" s="53"/>
      <c r="I81" s="43"/>
      <c r="N81"/>
      <c r="O81" s="43"/>
      <c r="P81"/>
      <c r="Q81"/>
      <c r="R81"/>
      <c r="S81"/>
      <c r="T81"/>
      <c r="V81" s="53"/>
      <c r="X81"/>
      <c r="Y81"/>
    </row>
    <row r="82" spans="7:25" x14ac:dyDescent="0.25">
      <c r="G82" s="53"/>
      <c r="I82" s="43"/>
      <c r="N82"/>
      <c r="O82" s="43"/>
      <c r="P82"/>
      <c r="Q82"/>
      <c r="R82"/>
      <c r="S82"/>
      <c r="T82"/>
      <c r="V82" s="53"/>
      <c r="Y82"/>
    </row>
    <row r="83" spans="7:25" x14ac:dyDescent="0.25">
      <c r="G83" s="53"/>
      <c r="I83" s="43"/>
      <c r="N83"/>
      <c r="O83" s="43"/>
      <c r="P83"/>
      <c r="Q83"/>
      <c r="R83"/>
      <c r="S83"/>
      <c r="T83"/>
      <c r="V83" s="53"/>
      <c r="Y83"/>
    </row>
    <row r="84" spans="7:25" x14ac:dyDescent="0.25">
      <c r="G84" s="53"/>
      <c r="I84" s="43"/>
      <c r="N84"/>
      <c r="O84" s="43"/>
      <c r="P84"/>
      <c r="Q84"/>
      <c r="R84"/>
      <c r="S84"/>
      <c r="T84"/>
      <c r="V84" s="53"/>
      <c r="Y84"/>
    </row>
    <row r="85" spans="7:25" x14ac:dyDescent="0.25">
      <c r="G85" s="53"/>
      <c r="I85" s="43"/>
      <c r="N85"/>
      <c r="O85" s="43"/>
      <c r="P85"/>
      <c r="Q85"/>
      <c r="R85"/>
      <c r="S85"/>
      <c r="T85"/>
      <c r="V85" s="53"/>
      <c r="Y85"/>
    </row>
    <row r="86" spans="7:25" x14ac:dyDescent="0.25">
      <c r="G86" s="53"/>
      <c r="I86" s="43"/>
      <c r="N86"/>
      <c r="O86" s="43"/>
      <c r="P86"/>
      <c r="Q86"/>
      <c r="R86"/>
      <c r="S86"/>
      <c r="T86"/>
      <c r="V86" s="53"/>
      <c r="Y86"/>
    </row>
    <row r="87" spans="7:25" x14ac:dyDescent="0.25">
      <c r="G87" s="53"/>
      <c r="I87" s="43"/>
      <c r="N87"/>
      <c r="O87" s="43"/>
      <c r="P87"/>
      <c r="Q87"/>
      <c r="R87"/>
      <c r="S87"/>
      <c r="T87"/>
      <c r="V87" s="53"/>
      <c r="Y87"/>
    </row>
    <row r="88" spans="7:25" x14ac:dyDescent="0.25">
      <c r="G88" s="53"/>
      <c r="I88" s="43"/>
      <c r="N88"/>
      <c r="O88" s="43"/>
      <c r="P88"/>
      <c r="Q88"/>
      <c r="R88"/>
      <c r="S88"/>
      <c r="T88"/>
      <c r="V88" s="53"/>
      <c r="Y88"/>
    </row>
    <row r="89" spans="7:25" x14ac:dyDescent="0.25">
      <c r="G89" s="53"/>
      <c r="I89" s="43"/>
      <c r="N89"/>
      <c r="O89" s="43"/>
      <c r="P89"/>
      <c r="Q89"/>
      <c r="R89"/>
      <c r="S89"/>
      <c r="T89"/>
      <c r="V89" s="53"/>
      <c r="Y89"/>
    </row>
    <row r="90" spans="7:25" x14ac:dyDescent="0.25">
      <c r="G90" s="53"/>
      <c r="I90" s="43"/>
      <c r="N90"/>
      <c r="O90" s="43"/>
      <c r="P90"/>
      <c r="Q90"/>
      <c r="R90"/>
      <c r="S90"/>
      <c r="T90"/>
      <c r="V90" s="53"/>
      <c r="Y90"/>
    </row>
    <row r="91" spans="7:25" x14ac:dyDescent="0.25">
      <c r="G91" s="53"/>
      <c r="I91" s="43"/>
      <c r="N91"/>
      <c r="O91" s="43"/>
      <c r="P91"/>
      <c r="Q91"/>
      <c r="R91"/>
      <c r="S91"/>
      <c r="T91"/>
      <c r="V91" s="53"/>
      <c r="Y91"/>
    </row>
    <row r="92" spans="7:25" x14ac:dyDescent="0.25">
      <c r="G92" s="53"/>
      <c r="I92" s="43"/>
      <c r="N92"/>
      <c r="O92" s="43"/>
      <c r="P92"/>
      <c r="Q92"/>
      <c r="R92"/>
      <c r="S92"/>
      <c r="T92"/>
      <c r="V92" s="53"/>
      <c r="Y92"/>
    </row>
    <row r="93" spans="7:25" x14ac:dyDescent="0.25">
      <c r="G93" s="53"/>
      <c r="I93" s="43"/>
      <c r="N93"/>
      <c r="O93" s="43"/>
      <c r="P93"/>
      <c r="Q93"/>
      <c r="R93"/>
      <c r="S93"/>
      <c r="T93"/>
      <c r="V93" s="53"/>
      <c r="X93"/>
      <c r="Y93"/>
    </row>
    <row r="94" spans="7:25" x14ac:dyDescent="0.25">
      <c r="G94" s="53"/>
      <c r="I94" s="43"/>
      <c r="N94"/>
      <c r="O94" s="43"/>
      <c r="P94"/>
      <c r="Q94"/>
      <c r="R94"/>
      <c r="S94"/>
      <c r="T94"/>
      <c r="V94" s="53"/>
      <c r="Y94"/>
    </row>
    <row r="95" spans="7:25" x14ac:dyDescent="0.25">
      <c r="G95" s="53"/>
      <c r="I95" s="43"/>
      <c r="N95"/>
      <c r="O95" s="43"/>
      <c r="P95"/>
      <c r="Q95"/>
      <c r="R95"/>
      <c r="S95"/>
      <c r="T95"/>
      <c r="V95" s="53"/>
      <c r="Y95"/>
    </row>
    <row r="96" spans="7:25" x14ac:dyDescent="0.25">
      <c r="G96" s="53"/>
      <c r="I96" s="43"/>
      <c r="N96"/>
      <c r="O96" s="43"/>
      <c r="P96"/>
      <c r="Q96"/>
      <c r="R96"/>
      <c r="S96"/>
      <c r="T96"/>
      <c r="V96" s="53"/>
      <c r="Y96"/>
    </row>
    <row r="97" spans="7:25" x14ac:dyDescent="0.25">
      <c r="G97" s="53"/>
      <c r="I97" s="43"/>
      <c r="N97"/>
      <c r="O97" s="43"/>
      <c r="P97"/>
      <c r="Q97"/>
      <c r="R97"/>
      <c r="S97"/>
      <c r="T97"/>
      <c r="V97" s="53"/>
      <c r="Y97"/>
    </row>
    <row r="98" spans="7:25" x14ac:dyDescent="0.25">
      <c r="I98" s="43"/>
      <c r="N98"/>
      <c r="O98" s="43"/>
      <c r="P98"/>
      <c r="Q98"/>
      <c r="R98"/>
      <c r="S98"/>
      <c r="T98"/>
      <c r="V98" s="53"/>
      <c r="Y98"/>
    </row>
    <row r="99" spans="7:25" x14ac:dyDescent="0.25">
      <c r="I99" s="43"/>
      <c r="N99"/>
      <c r="O99" s="43"/>
      <c r="P99"/>
      <c r="Q99"/>
      <c r="R99"/>
      <c r="S99"/>
      <c r="T99"/>
      <c r="V99" s="53"/>
      <c r="Y99"/>
    </row>
    <row r="100" spans="7:25" x14ac:dyDescent="0.25">
      <c r="I100" s="43"/>
      <c r="N100"/>
      <c r="O100" s="43"/>
      <c r="P100"/>
      <c r="Q100"/>
      <c r="R100"/>
      <c r="S100"/>
      <c r="T100"/>
      <c r="V100" s="53"/>
      <c r="Y100"/>
    </row>
    <row r="101" spans="7:25" x14ac:dyDescent="0.25">
      <c r="I101" s="43"/>
      <c r="N101"/>
      <c r="O101" s="43"/>
      <c r="P101"/>
      <c r="Q101"/>
      <c r="R101"/>
      <c r="S101"/>
      <c r="T101"/>
      <c r="V101" s="53"/>
      <c r="Y101"/>
    </row>
    <row r="102" spans="7:25" x14ac:dyDescent="0.25">
      <c r="I102" s="43"/>
      <c r="N102"/>
      <c r="O102" s="43"/>
      <c r="P102"/>
      <c r="Q102"/>
      <c r="R102"/>
      <c r="S102"/>
      <c r="T102"/>
      <c r="V102" s="53"/>
      <c r="Y102"/>
    </row>
    <row r="103" spans="7:25" x14ac:dyDescent="0.25">
      <c r="I103" s="43"/>
      <c r="N103"/>
      <c r="O103" s="43"/>
      <c r="P103"/>
      <c r="Q103"/>
      <c r="R103"/>
      <c r="S103"/>
      <c r="T103"/>
      <c r="V103" s="53"/>
      <c r="Y103"/>
    </row>
    <row r="104" spans="7:25" x14ac:dyDescent="0.25">
      <c r="I104" s="43"/>
      <c r="N104"/>
      <c r="O104" s="43"/>
      <c r="P104"/>
      <c r="Q104"/>
      <c r="R104"/>
      <c r="S104"/>
      <c r="T104"/>
      <c r="Y104"/>
    </row>
    <row r="105" spans="7:25" x14ac:dyDescent="0.25">
      <c r="I105" s="43"/>
      <c r="N105"/>
      <c r="O105" s="43"/>
      <c r="P105"/>
      <c r="Q105"/>
      <c r="R105"/>
      <c r="S105"/>
      <c r="T105"/>
    </row>
    <row r="106" spans="7:25" x14ac:dyDescent="0.25">
      <c r="I106" s="43"/>
      <c r="N106"/>
      <c r="O106" s="43"/>
      <c r="P106"/>
      <c r="Q106"/>
      <c r="R106"/>
      <c r="S106"/>
      <c r="T106"/>
    </row>
    <row r="107" spans="7:25" x14ac:dyDescent="0.25">
      <c r="I107" s="43"/>
      <c r="N107"/>
      <c r="O107" s="43"/>
      <c r="P107"/>
      <c r="Q107"/>
      <c r="R107"/>
      <c r="S107"/>
      <c r="T107"/>
    </row>
    <row r="108" spans="7:25" x14ac:dyDescent="0.25">
      <c r="I108" s="43"/>
      <c r="N108"/>
      <c r="O108" s="43"/>
      <c r="P108"/>
      <c r="Q108"/>
      <c r="R108"/>
      <c r="S108"/>
      <c r="T108"/>
    </row>
    <row r="109" spans="7:25" x14ac:dyDescent="0.25">
      <c r="I109" s="43"/>
      <c r="N109"/>
      <c r="O109" s="43"/>
      <c r="P109"/>
      <c r="Q109"/>
      <c r="R109"/>
      <c r="S109"/>
      <c r="T109"/>
    </row>
    <row r="110" spans="7:25" x14ac:dyDescent="0.25">
      <c r="I110" s="43"/>
      <c r="N110"/>
      <c r="O110" s="43"/>
      <c r="P110"/>
      <c r="Q110"/>
      <c r="R110"/>
      <c r="S110"/>
      <c r="T110"/>
    </row>
    <row r="111" spans="7:25" x14ac:dyDescent="0.25">
      <c r="I111" s="43"/>
      <c r="N111"/>
      <c r="O111" s="43"/>
      <c r="P111"/>
      <c r="Q111"/>
      <c r="R111"/>
      <c r="S111"/>
      <c r="T111"/>
    </row>
    <row r="112" spans="7:25" x14ac:dyDescent="0.25">
      <c r="I112" s="43"/>
      <c r="N112"/>
      <c r="O112" s="43"/>
      <c r="P112"/>
      <c r="Q112"/>
      <c r="R112"/>
      <c r="S112"/>
      <c r="T112"/>
    </row>
    <row r="113" spans="9:20" x14ac:dyDescent="0.25">
      <c r="I113" s="43"/>
      <c r="N113"/>
      <c r="O113" s="43"/>
      <c r="P113"/>
      <c r="Q113"/>
      <c r="R113"/>
      <c r="S113"/>
      <c r="T113"/>
    </row>
    <row r="114" spans="9:20" x14ac:dyDescent="0.25">
      <c r="I114" s="43"/>
      <c r="N114"/>
      <c r="O114" s="43"/>
      <c r="P114"/>
      <c r="Q114"/>
      <c r="R114"/>
      <c r="S114"/>
      <c r="T114"/>
    </row>
    <row r="115" spans="9:20" x14ac:dyDescent="0.25">
      <c r="I115" s="43"/>
      <c r="N115"/>
      <c r="O115" s="43"/>
      <c r="P115"/>
      <c r="Q115"/>
      <c r="R115"/>
      <c r="S115"/>
      <c r="T115"/>
    </row>
    <row r="116" spans="9:20" x14ac:dyDescent="0.25">
      <c r="I116" s="43"/>
      <c r="N116"/>
      <c r="O116" s="43"/>
      <c r="P116"/>
      <c r="Q116"/>
      <c r="R116"/>
      <c r="S116"/>
      <c r="T116"/>
    </row>
    <row r="117" spans="9:20" x14ac:dyDescent="0.25">
      <c r="I117" s="43"/>
      <c r="N117"/>
      <c r="O117" s="43"/>
      <c r="P117"/>
      <c r="Q117"/>
      <c r="R117"/>
      <c r="S117"/>
      <c r="T117"/>
    </row>
    <row r="118" spans="9:20" x14ac:dyDescent="0.25">
      <c r="I118" s="43"/>
      <c r="N118"/>
      <c r="O118" s="43"/>
      <c r="P118"/>
      <c r="Q118"/>
      <c r="R118"/>
      <c r="S118"/>
      <c r="T118"/>
    </row>
    <row r="119" spans="9:20" x14ac:dyDescent="0.25">
      <c r="I119" s="43"/>
      <c r="N119"/>
      <c r="O119" s="43"/>
      <c r="P119"/>
      <c r="Q119"/>
      <c r="R119"/>
      <c r="S119"/>
      <c r="T119"/>
    </row>
    <row r="120" spans="9:20" x14ac:dyDescent="0.25">
      <c r="I120" s="43"/>
      <c r="N120"/>
      <c r="O120" s="43"/>
      <c r="P120"/>
      <c r="Q120"/>
      <c r="R120"/>
      <c r="S120"/>
      <c r="T120"/>
    </row>
    <row r="121" spans="9:20" x14ac:dyDescent="0.25">
      <c r="I121" s="43"/>
      <c r="N121"/>
      <c r="O121" s="43"/>
      <c r="P121"/>
      <c r="Q121"/>
      <c r="R121"/>
      <c r="S121"/>
      <c r="T121"/>
    </row>
    <row r="122" spans="9:20" x14ac:dyDescent="0.25">
      <c r="I122" s="43"/>
      <c r="N122"/>
      <c r="O122" s="43"/>
      <c r="P122"/>
      <c r="Q122"/>
      <c r="R122"/>
      <c r="S122"/>
      <c r="T122"/>
    </row>
    <row r="123" spans="9:20" x14ac:dyDescent="0.25">
      <c r="I123" s="43"/>
      <c r="N123"/>
      <c r="O123" s="43"/>
      <c r="P123"/>
      <c r="Q123"/>
      <c r="R123"/>
      <c r="S123"/>
      <c r="T123"/>
    </row>
    <row r="124" spans="9:20" x14ac:dyDescent="0.25">
      <c r="I124" s="43"/>
      <c r="N124"/>
      <c r="O124" s="43"/>
      <c r="P124"/>
      <c r="Q124"/>
      <c r="R124"/>
      <c r="S124"/>
      <c r="T124"/>
    </row>
    <row r="125" spans="9:20" x14ac:dyDescent="0.25">
      <c r="I125" s="43"/>
      <c r="N125"/>
      <c r="O125" s="43"/>
      <c r="P125"/>
      <c r="Q125"/>
      <c r="R125"/>
      <c r="S125"/>
      <c r="T125"/>
    </row>
    <row r="126" spans="9:20" x14ac:dyDescent="0.25">
      <c r="I126" s="43"/>
      <c r="N126"/>
      <c r="O126" s="43"/>
      <c r="P126"/>
      <c r="Q126"/>
      <c r="R126"/>
      <c r="S126"/>
      <c r="T126"/>
    </row>
    <row r="127" spans="9:20" x14ac:dyDescent="0.25">
      <c r="I127" s="43"/>
      <c r="N127"/>
      <c r="O127" s="43"/>
      <c r="P127"/>
      <c r="Q127"/>
      <c r="R127"/>
      <c r="S127"/>
      <c r="T127"/>
    </row>
    <row r="128" spans="9:20" x14ac:dyDescent="0.25">
      <c r="I128" s="43"/>
      <c r="N128"/>
      <c r="O128" s="43"/>
      <c r="P128"/>
      <c r="Q128"/>
      <c r="R128"/>
      <c r="S128"/>
      <c r="T128"/>
    </row>
    <row r="129" spans="9:20" x14ac:dyDescent="0.25">
      <c r="I129" s="43"/>
      <c r="N129"/>
      <c r="O129" s="43"/>
      <c r="P129"/>
      <c r="Q129"/>
      <c r="R129"/>
      <c r="S129"/>
      <c r="T129"/>
    </row>
    <row r="130" spans="9:20" x14ac:dyDescent="0.25">
      <c r="I130" s="43"/>
      <c r="N130"/>
      <c r="O130" s="43"/>
      <c r="P130"/>
      <c r="Q130"/>
      <c r="R130"/>
      <c r="S130"/>
      <c r="T130"/>
    </row>
    <row r="131" spans="9:20" x14ac:dyDescent="0.25">
      <c r="I131" s="43"/>
      <c r="N131"/>
      <c r="O131" s="43"/>
      <c r="P131"/>
      <c r="Q131"/>
      <c r="R131"/>
      <c r="S131"/>
      <c r="T131"/>
    </row>
    <row r="132" spans="9:20" x14ac:dyDescent="0.25">
      <c r="I132" s="43"/>
      <c r="N132"/>
      <c r="O132" s="43"/>
      <c r="P132"/>
      <c r="Q132"/>
      <c r="R132"/>
      <c r="S132"/>
      <c r="T132"/>
    </row>
    <row r="133" spans="9:20" x14ac:dyDescent="0.25">
      <c r="I133" s="43"/>
      <c r="N133"/>
      <c r="O133" s="43"/>
      <c r="P133"/>
      <c r="Q133"/>
      <c r="R133"/>
      <c r="S133"/>
      <c r="T133"/>
    </row>
    <row r="134" spans="9:20" x14ac:dyDescent="0.25">
      <c r="I134" s="43"/>
      <c r="N134"/>
      <c r="O134" s="43"/>
      <c r="P134"/>
      <c r="Q134"/>
      <c r="R134"/>
      <c r="S134"/>
      <c r="T134"/>
    </row>
    <row r="135" spans="9:20" x14ac:dyDescent="0.25">
      <c r="I135" s="43"/>
      <c r="N135"/>
      <c r="O135" s="43"/>
      <c r="P135"/>
      <c r="Q135"/>
      <c r="R135"/>
      <c r="S135"/>
      <c r="T135"/>
    </row>
    <row r="136" spans="9:20" x14ac:dyDescent="0.25">
      <c r="I136" s="43"/>
      <c r="N136"/>
      <c r="O136" s="43"/>
      <c r="P136"/>
      <c r="Q136"/>
      <c r="R136"/>
      <c r="S136"/>
      <c r="T136"/>
    </row>
    <row r="137" spans="9:20" x14ac:dyDescent="0.25">
      <c r="I137" s="43"/>
      <c r="N137"/>
      <c r="O137" s="43"/>
      <c r="P137"/>
      <c r="Q137"/>
      <c r="R137"/>
      <c r="S137"/>
      <c r="T137"/>
    </row>
    <row r="138" spans="9:20" x14ac:dyDescent="0.25">
      <c r="I138" s="43"/>
      <c r="N138"/>
      <c r="O138" s="43"/>
      <c r="P138"/>
      <c r="Q138"/>
      <c r="R138"/>
      <c r="S138"/>
      <c r="T138"/>
    </row>
    <row r="139" spans="9:20" x14ac:dyDescent="0.25">
      <c r="I139" s="43"/>
      <c r="N139"/>
      <c r="O139" s="43"/>
      <c r="P139"/>
      <c r="Q139"/>
      <c r="R139"/>
      <c r="S139"/>
      <c r="T139"/>
    </row>
    <row r="140" spans="9:20" x14ac:dyDescent="0.25">
      <c r="I140" s="43"/>
      <c r="N140"/>
      <c r="O140" s="43"/>
      <c r="P140"/>
      <c r="Q140"/>
      <c r="R140"/>
      <c r="S140"/>
      <c r="T140"/>
    </row>
    <row r="141" spans="9:20" x14ac:dyDescent="0.25">
      <c r="I141" s="43"/>
      <c r="N141"/>
      <c r="O141" s="43"/>
      <c r="P141"/>
      <c r="Q141"/>
      <c r="R141"/>
      <c r="S141"/>
      <c r="T141"/>
    </row>
    <row r="142" spans="9:20" x14ac:dyDescent="0.25">
      <c r="I142" s="43"/>
      <c r="N142"/>
      <c r="O142" s="43"/>
      <c r="P142"/>
      <c r="Q142"/>
      <c r="R142"/>
      <c r="S142"/>
      <c r="T142"/>
    </row>
    <row r="143" spans="9:20" x14ac:dyDescent="0.25">
      <c r="I143" s="43"/>
      <c r="N143"/>
      <c r="O143" s="43"/>
      <c r="P143"/>
      <c r="Q143"/>
      <c r="R143"/>
      <c r="S143"/>
      <c r="T143"/>
    </row>
    <row r="144" spans="9:20" x14ac:dyDescent="0.25">
      <c r="I144" s="43"/>
      <c r="N144"/>
      <c r="O144" s="43"/>
      <c r="P144"/>
      <c r="Q144"/>
      <c r="R144"/>
      <c r="S144"/>
      <c r="T144"/>
    </row>
    <row r="145" spans="9:20" x14ac:dyDescent="0.25">
      <c r="I145" s="43"/>
      <c r="N145"/>
      <c r="O145" s="43"/>
      <c r="P145"/>
      <c r="Q145"/>
      <c r="R145"/>
      <c r="S145"/>
      <c r="T145"/>
    </row>
    <row r="146" spans="9:20" x14ac:dyDescent="0.25">
      <c r="I146" s="43"/>
      <c r="N146"/>
      <c r="O146" s="43"/>
      <c r="P146"/>
      <c r="Q146"/>
      <c r="R146"/>
      <c r="S146"/>
      <c r="T146"/>
    </row>
    <row r="147" spans="9:20" x14ac:dyDescent="0.25">
      <c r="I147" s="43"/>
      <c r="N147"/>
      <c r="O147" s="43"/>
      <c r="P147"/>
      <c r="Q147"/>
      <c r="R147"/>
      <c r="S147"/>
      <c r="T147"/>
    </row>
    <row r="148" spans="9:20" x14ac:dyDescent="0.25">
      <c r="I148" s="43"/>
      <c r="N148"/>
      <c r="O148" s="43"/>
      <c r="P148"/>
      <c r="Q148"/>
      <c r="R148"/>
      <c r="S148"/>
      <c r="T148"/>
    </row>
    <row r="149" spans="9:20" x14ac:dyDescent="0.25">
      <c r="I149" s="43"/>
      <c r="N149"/>
      <c r="O149" s="43"/>
      <c r="P149"/>
      <c r="Q149"/>
      <c r="R149"/>
      <c r="S149"/>
      <c r="T149"/>
    </row>
    <row r="150" spans="9:20" x14ac:dyDescent="0.25">
      <c r="I150" s="43"/>
      <c r="N150"/>
      <c r="O150" s="43"/>
      <c r="P150"/>
      <c r="Q150"/>
      <c r="R150"/>
      <c r="S150"/>
      <c r="T150"/>
    </row>
    <row r="151" spans="9:20" x14ac:dyDescent="0.25">
      <c r="I151" s="43"/>
      <c r="N151"/>
      <c r="O151" s="43"/>
      <c r="P151"/>
      <c r="Q151"/>
      <c r="R151"/>
      <c r="S151"/>
      <c r="T151"/>
    </row>
    <row r="152" spans="9:20" x14ac:dyDescent="0.25">
      <c r="I152" s="43"/>
      <c r="N152"/>
      <c r="O152" s="43"/>
      <c r="P152"/>
      <c r="Q152"/>
      <c r="R152"/>
      <c r="S152"/>
      <c r="T152"/>
    </row>
    <row r="153" spans="9:20" x14ac:dyDescent="0.25">
      <c r="I153" s="43"/>
      <c r="N153"/>
      <c r="O153" s="43"/>
      <c r="P153"/>
      <c r="Q153"/>
      <c r="R153"/>
      <c r="S153"/>
      <c r="T153"/>
    </row>
    <row r="154" spans="9:20" x14ac:dyDescent="0.25">
      <c r="I154" s="43"/>
      <c r="N154"/>
      <c r="O154" s="43"/>
      <c r="P154"/>
      <c r="Q154"/>
      <c r="R154"/>
      <c r="S154"/>
      <c r="T154"/>
    </row>
    <row r="155" spans="9:20" x14ac:dyDescent="0.25">
      <c r="I155" s="43"/>
      <c r="N155"/>
      <c r="O155" s="43"/>
      <c r="P155"/>
      <c r="Q155"/>
      <c r="R155"/>
      <c r="S155"/>
      <c r="T155"/>
    </row>
    <row r="156" spans="9:20" x14ac:dyDescent="0.25">
      <c r="I156" s="43"/>
      <c r="N156"/>
      <c r="O156" s="43"/>
      <c r="P156"/>
      <c r="Q156"/>
      <c r="R156"/>
      <c r="S156"/>
      <c r="T156"/>
    </row>
    <row r="157" spans="9:20" x14ac:dyDescent="0.25">
      <c r="I157" s="43"/>
      <c r="N157"/>
      <c r="O157" s="43"/>
      <c r="P157"/>
      <c r="Q157"/>
      <c r="R157"/>
      <c r="S157"/>
      <c r="T157"/>
    </row>
    <row r="158" spans="9:20" x14ac:dyDescent="0.25">
      <c r="I158" s="43"/>
      <c r="N158"/>
      <c r="O158" s="43"/>
      <c r="P158"/>
      <c r="Q158"/>
      <c r="R158"/>
      <c r="S158"/>
      <c r="T158"/>
    </row>
    <row r="159" spans="9:20" x14ac:dyDescent="0.25">
      <c r="I159" s="43"/>
      <c r="N159"/>
      <c r="O159" s="43"/>
      <c r="P159"/>
      <c r="Q159"/>
      <c r="R159"/>
      <c r="S159"/>
      <c r="T159"/>
    </row>
    <row r="160" spans="9:20" x14ac:dyDescent="0.25">
      <c r="I160" s="43"/>
      <c r="N160"/>
      <c r="O160" s="43"/>
      <c r="P160"/>
      <c r="Q160"/>
      <c r="R160"/>
      <c r="S160"/>
      <c r="T160"/>
    </row>
    <row r="161" spans="9:20" x14ac:dyDescent="0.25">
      <c r="I161" s="43"/>
      <c r="N161"/>
      <c r="O161" s="43"/>
      <c r="P161"/>
      <c r="Q161"/>
      <c r="R161"/>
      <c r="S161"/>
      <c r="T161"/>
    </row>
    <row r="162" spans="9:20" x14ac:dyDescent="0.25">
      <c r="I162" s="43"/>
      <c r="N162"/>
      <c r="O162" s="43"/>
      <c r="P162"/>
      <c r="Q162"/>
      <c r="R162"/>
      <c r="S162"/>
      <c r="T162"/>
    </row>
    <row r="163" spans="9:20" x14ac:dyDescent="0.25">
      <c r="I163" s="43"/>
      <c r="N163"/>
      <c r="O163" s="43"/>
      <c r="P163"/>
      <c r="Q163"/>
      <c r="R163"/>
      <c r="S163"/>
      <c r="T163"/>
    </row>
    <row r="164" spans="9:20" x14ac:dyDescent="0.25">
      <c r="I164" s="43"/>
      <c r="N164"/>
      <c r="O164" s="43"/>
      <c r="P164"/>
      <c r="Q164"/>
      <c r="R164"/>
      <c r="S164"/>
      <c r="T164"/>
    </row>
    <row r="165" spans="9:20" x14ac:dyDescent="0.25">
      <c r="I165" s="43"/>
      <c r="N165"/>
      <c r="O165" s="43"/>
      <c r="P165"/>
      <c r="Q165"/>
      <c r="R165"/>
      <c r="S165"/>
      <c r="T165"/>
    </row>
    <row r="166" spans="9:20" x14ac:dyDescent="0.25">
      <c r="I166" s="43"/>
      <c r="N166"/>
      <c r="O166" s="43"/>
      <c r="P166"/>
      <c r="Q166"/>
      <c r="R166"/>
      <c r="S166"/>
      <c r="T166"/>
    </row>
    <row r="167" spans="9:20" x14ac:dyDescent="0.25">
      <c r="I167" s="43"/>
      <c r="N167"/>
      <c r="O167" s="43"/>
      <c r="P167"/>
      <c r="Q167"/>
      <c r="R167"/>
      <c r="S167"/>
      <c r="T167"/>
    </row>
    <row r="168" spans="9:20" x14ac:dyDescent="0.25">
      <c r="I168" s="43"/>
      <c r="N168"/>
      <c r="O168" s="43"/>
      <c r="P168"/>
      <c r="Q168"/>
      <c r="R168"/>
      <c r="S168"/>
      <c r="T168"/>
    </row>
    <row r="169" spans="9:20" x14ac:dyDescent="0.25">
      <c r="I169" s="43"/>
      <c r="N169"/>
      <c r="O169" s="43"/>
      <c r="P169"/>
      <c r="Q169"/>
      <c r="R169"/>
      <c r="S169"/>
      <c r="T169"/>
    </row>
    <row r="170" spans="9:20" x14ac:dyDescent="0.25">
      <c r="I170" s="43"/>
      <c r="N170"/>
      <c r="O170" s="43"/>
      <c r="P170"/>
      <c r="Q170"/>
      <c r="R170"/>
      <c r="S170"/>
      <c r="T170"/>
    </row>
    <row r="171" spans="9:20" x14ac:dyDescent="0.25">
      <c r="I171" s="43"/>
      <c r="N171"/>
      <c r="O171" s="43"/>
      <c r="P171"/>
      <c r="Q171"/>
      <c r="R171"/>
      <c r="S171"/>
      <c r="T171"/>
    </row>
    <row r="172" spans="9:20" x14ac:dyDescent="0.25">
      <c r="I172" s="43"/>
      <c r="N172"/>
      <c r="O172" s="43"/>
      <c r="P172"/>
      <c r="Q172"/>
      <c r="R172"/>
      <c r="S172"/>
      <c r="T172"/>
    </row>
    <row r="173" spans="9:20" x14ac:dyDescent="0.25">
      <c r="I173" s="43"/>
      <c r="N173"/>
      <c r="O173" s="43"/>
      <c r="P173"/>
      <c r="Q173"/>
      <c r="R173"/>
      <c r="S173"/>
      <c r="T173"/>
    </row>
    <row r="174" spans="9:20" x14ac:dyDescent="0.25">
      <c r="I174" s="43"/>
      <c r="N174"/>
      <c r="O174" s="43"/>
      <c r="P174"/>
      <c r="Q174"/>
      <c r="R174"/>
      <c r="S174"/>
      <c r="T174"/>
    </row>
    <row r="175" spans="9:20" x14ac:dyDescent="0.25">
      <c r="I175" s="43"/>
      <c r="N175"/>
      <c r="O175" s="43"/>
      <c r="P175"/>
      <c r="Q175"/>
      <c r="R175"/>
      <c r="S175"/>
      <c r="T175"/>
    </row>
    <row r="176" spans="9:20" x14ac:dyDescent="0.25">
      <c r="I176" s="43"/>
      <c r="N176"/>
      <c r="O176" s="43"/>
      <c r="P176"/>
      <c r="Q176"/>
      <c r="R176"/>
      <c r="S176"/>
      <c r="T176"/>
    </row>
    <row r="177" spans="9:20" x14ac:dyDescent="0.25">
      <c r="I177" s="43"/>
      <c r="N177"/>
      <c r="O177" s="43"/>
      <c r="P177"/>
      <c r="Q177"/>
      <c r="R177"/>
      <c r="S177"/>
      <c r="T177"/>
    </row>
    <row r="178" spans="9:20" x14ac:dyDescent="0.25">
      <c r="I178" s="43"/>
      <c r="N178"/>
      <c r="O178" s="43"/>
      <c r="P178"/>
      <c r="Q178"/>
      <c r="R178"/>
      <c r="S178"/>
      <c r="T178"/>
    </row>
    <row r="179" spans="9:20" x14ac:dyDescent="0.25">
      <c r="I179" s="43"/>
      <c r="N179"/>
      <c r="O179" s="43"/>
      <c r="P179"/>
      <c r="Q179"/>
      <c r="R179"/>
      <c r="S179"/>
      <c r="T179"/>
    </row>
    <row r="180" spans="9:20" x14ac:dyDescent="0.25">
      <c r="I180" s="43"/>
      <c r="N180"/>
      <c r="O180" s="43"/>
      <c r="P180"/>
      <c r="Q180"/>
      <c r="R180"/>
      <c r="S180"/>
      <c r="T180"/>
    </row>
    <row r="181" spans="9:20" x14ac:dyDescent="0.25">
      <c r="I181" s="43"/>
      <c r="N181"/>
      <c r="O181" s="43"/>
      <c r="P181"/>
      <c r="Q181"/>
      <c r="R181"/>
      <c r="S181"/>
      <c r="T181"/>
    </row>
    <row r="182" spans="9:20" x14ac:dyDescent="0.25">
      <c r="I182" s="43"/>
      <c r="N182"/>
      <c r="O182" s="43"/>
      <c r="P182"/>
      <c r="Q182"/>
      <c r="R182"/>
      <c r="S182"/>
      <c r="T182"/>
    </row>
    <row r="183" spans="9:20" x14ac:dyDescent="0.25">
      <c r="I183" s="43"/>
      <c r="N183"/>
      <c r="O183" s="43"/>
      <c r="P183"/>
      <c r="Q183"/>
      <c r="R183"/>
      <c r="S183"/>
      <c r="T183"/>
    </row>
    <row r="184" spans="9:20" x14ac:dyDescent="0.25">
      <c r="I184" s="43"/>
      <c r="N184"/>
      <c r="O184" s="43"/>
      <c r="P184"/>
      <c r="Q184"/>
      <c r="R184"/>
      <c r="S184"/>
      <c r="T184"/>
    </row>
    <row r="185" spans="9:20" x14ac:dyDescent="0.25">
      <c r="I185" s="43"/>
      <c r="N185"/>
      <c r="O185" s="43"/>
      <c r="P185"/>
      <c r="Q185"/>
      <c r="R185"/>
      <c r="S185"/>
      <c r="T185"/>
    </row>
    <row r="186" spans="9:20" x14ac:dyDescent="0.25">
      <c r="I186" s="43"/>
      <c r="N186"/>
      <c r="O186" s="43"/>
      <c r="P186"/>
      <c r="Q186"/>
      <c r="R186"/>
      <c r="S186"/>
      <c r="T186"/>
    </row>
    <row r="187" spans="9:20" x14ac:dyDescent="0.25">
      <c r="I187" s="43"/>
      <c r="N187"/>
      <c r="O187" s="43"/>
      <c r="P187"/>
      <c r="Q187"/>
      <c r="R187"/>
      <c r="S187"/>
      <c r="T187"/>
    </row>
    <row r="188" spans="9:20" x14ac:dyDescent="0.25">
      <c r="I188" s="43"/>
      <c r="N188"/>
      <c r="O188" s="43"/>
      <c r="P188"/>
      <c r="Q188"/>
      <c r="R188"/>
      <c r="S188"/>
      <c r="T188"/>
    </row>
    <row r="189" spans="9:20" x14ac:dyDescent="0.25">
      <c r="I189" s="43"/>
      <c r="N189"/>
      <c r="O189" s="43"/>
      <c r="P189"/>
      <c r="Q189"/>
      <c r="R189"/>
      <c r="S189"/>
      <c r="T189"/>
    </row>
    <row r="190" spans="9:20" x14ac:dyDescent="0.25">
      <c r="I190" s="43"/>
      <c r="N190"/>
      <c r="O190" s="43"/>
      <c r="P190"/>
      <c r="Q190"/>
      <c r="R190"/>
      <c r="S190"/>
      <c r="T190"/>
    </row>
    <row r="191" spans="9:20" x14ac:dyDescent="0.25">
      <c r="I191" s="43"/>
      <c r="N191"/>
      <c r="O191" s="43"/>
      <c r="P191"/>
      <c r="Q191"/>
      <c r="R191"/>
      <c r="S191"/>
      <c r="T191"/>
    </row>
    <row r="192" spans="9:20" x14ac:dyDescent="0.25">
      <c r="I192" s="43"/>
      <c r="N192"/>
      <c r="O192" s="43"/>
      <c r="P192"/>
      <c r="Q192"/>
      <c r="R192"/>
      <c r="S192"/>
      <c r="T192"/>
    </row>
    <row r="193" spans="9:20" x14ac:dyDescent="0.25">
      <c r="I193" s="43"/>
      <c r="N193"/>
      <c r="O193" s="43"/>
      <c r="P193"/>
      <c r="Q193"/>
      <c r="R193"/>
      <c r="S193"/>
      <c r="T193"/>
    </row>
    <row r="194" spans="9:20" x14ac:dyDescent="0.25">
      <c r="I194" s="43"/>
      <c r="N194"/>
      <c r="O194" s="43"/>
      <c r="P194"/>
      <c r="Q194"/>
      <c r="R194"/>
      <c r="S194"/>
      <c r="T194"/>
    </row>
    <row r="195" spans="9:20" x14ac:dyDescent="0.25">
      <c r="I195" s="43"/>
      <c r="N195"/>
      <c r="O195" s="43"/>
      <c r="P195"/>
      <c r="Q195"/>
      <c r="R195"/>
      <c r="S195"/>
      <c r="T195"/>
    </row>
    <row r="196" spans="9:20" x14ac:dyDescent="0.25">
      <c r="I196" s="43"/>
      <c r="N196"/>
      <c r="O196" s="43"/>
      <c r="P196"/>
      <c r="Q196"/>
      <c r="R196"/>
      <c r="S196"/>
      <c r="T196"/>
    </row>
    <row r="197" spans="9:20" x14ac:dyDescent="0.25">
      <c r="I197" s="43"/>
      <c r="N197"/>
      <c r="O197" s="43"/>
      <c r="P197"/>
      <c r="Q197"/>
      <c r="R197"/>
      <c r="S197"/>
      <c r="T197"/>
    </row>
    <row r="198" spans="9:20" x14ac:dyDescent="0.25">
      <c r="I198" s="43"/>
      <c r="N198"/>
      <c r="O198" s="43"/>
      <c r="P198"/>
      <c r="Q198"/>
      <c r="R198"/>
      <c r="S198"/>
      <c r="T198"/>
    </row>
    <row r="199" spans="9:20" x14ac:dyDescent="0.25">
      <c r="I199" s="43"/>
      <c r="N199"/>
      <c r="O199" s="43"/>
      <c r="P199"/>
      <c r="Q199"/>
      <c r="R199"/>
      <c r="S199"/>
      <c r="T199"/>
    </row>
    <row r="200" spans="9:20" x14ac:dyDescent="0.25">
      <c r="I200" s="43"/>
      <c r="N200"/>
      <c r="O200" s="43"/>
      <c r="P200"/>
      <c r="Q200"/>
      <c r="R200"/>
      <c r="S200"/>
      <c r="T200"/>
    </row>
    <row r="201" spans="9:20" x14ac:dyDescent="0.25">
      <c r="I201" s="43"/>
      <c r="N201"/>
      <c r="O201" s="43"/>
      <c r="P201"/>
      <c r="Q201"/>
      <c r="R201"/>
      <c r="S201"/>
      <c r="T201"/>
    </row>
    <row r="202" spans="9:20" x14ac:dyDescent="0.25">
      <c r="I202" s="43"/>
      <c r="N202"/>
      <c r="O202" s="43"/>
      <c r="P202"/>
      <c r="Q202"/>
      <c r="R202"/>
      <c r="S202"/>
      <c r="T202"/>
    </row>
    <row r="203" spans="9:20" x14ac:dyDescent="0.25">
      <c r="I203" s="43"/>
      <c r="N203"/>
      <c r="O203" s="43"/>
      <c r="P203"/>
      <c r="Q203"/>
      <c r="R203"/>
      <c r="S203"/>
      <c r="T203"/>
    </row>
    <row r="204" spans="9:20" x14ac:dyDescent="0.25">
      <c r="I204" s="43"/>
      <c r="N204"/>
      <c r="O204" s="43"/>
      <c r="P204"/>
      <c r="Q204"/>
      <c r="R204"/>
      <c r="S204"/>
      <c r="T204"/>
    </row>
    <row r="205" spans="9:20" x14ac:dyDescent="0.25">
      <c r="I205" s="43"/>
      <c r="N205"/>
      <c r="O205" s="43"/>
      <c r="P205"/>
      <c r="Q205"/>
      <c r="R205"/>
      <c r="S205"/>
      <c r="T205"/>
    </row>
    <row r="206" spans="9:20" x14ac:dyDescent="0.25">
      <c r="I206" s="43"/>
      <c r="N206"/>
      <c r="O206" s="43"/>
      <c r="P206"/>
      <c r="Q206"/>
      <c r="R206"/>
      <c r="S206"/>
      <c r="T206"/>
    </row>
    <row r="207" spans="9:20" x14ac:dyDescent="0.25">
      <c r="I207" s="43"/>
      <c r="N207"/>
      <c r="O207" s="43"/>
      <c r="P207"/>
      <c r="Q207"/>
      <c r="R207"/>
      <c r="S207"/>
      <c r="T207"/>
    </row>
    <row r="208" spans="9:20" x14ac:dyDescent="0.25">
      <c r="I208" s="43"/>
      <c r="N208"/>
      <c r="O208" s="43"/>
      <c r="P208"/>
      <c r="Q208"/>
      <c r="R208"/>
      <c r="S208"/>
      <c r="T208"/>
    </row>
    <row r="209" spans="9:20" x14ac:dyDescent="0.25">
      <c r="I209" s="43"/>
      <c r="N209"/>
      <c r="O209" s="43"/>
      <c r="P209"/>
      <c r="Q209"/>
      <c r="R209"/>
      <c r="S209"/>
      <c r="T209"/>
    </row>
    <row r="210" spans="9:20" x14ac:dyDescent="0.25">
      <c r="I210" s="43"/>
      <c r="N210"/>
      <c r="O210" s="43"/>
      <c r="P210"/>
      <c r="Q210"/>
      <c r="R210"/>
      <c r="S210"/>
      <c r="T210"/>
    </row>
    <row r="211" spans="9:20" x14ac:dyDescent="0.25">
      <c r="I211" s="43"/>
      <c r="N211"/>
      <c r="O211" s="43"/>
      <c r="P211"/>
      <c r="Q211"/>
      <c r="R211"/>
      <c r="S211"/>
      <c r="T211"/>
    </row>
    <row r="212" spans="9:20" x14ac:dyDescent="0.25">
      <c r="I212" s="43"/>
      <c r="N212"/>
      <c r="O212" s="43"/>
      <c r="P212"/>
      <c r="Q212"/>
      <c r="R212"/>
      <c r="S212"/>
      <c r="T212"/>
    </row>
    <row r="213" spans="9:20" x14ac:dyDescent="0.25">
      <c r="I213" s="43"/>
      <c r="N213"/>
      <c r="O213" s="43"/>
      <c r="P213"/>
      <c r="Q213"/>
      <c r="R213"/>
      <c r="S213"/>
      <c r="T213"/>
    </row>
    <row r="214" spans="9:20" x14ac:dyDescent="0.25">
      <c r="I214" s="43"/>
      <c r="N214"/>
      <c r="O214" s="43"/>
      <c r="P214"/>
      <c r="Q214"/>
      <c r="R214"/>
      <c r="S214"/>
      <c r="T214"/>
    </row>
    <row r="215" spans="9:20" x14ac:dyDescent="0.25">
      <c r="I215" s="43"/>
      <c r="N215"/>
      <c r="O215" s="43"/>
      <c r="P215"/>
      <c r="Q215"/>
      <c r="R215"/>
      <c r="S215"/>
      <c r="T215"/>
    </row>
    <row r="216" spans="9:20" x14ac:dyDescent="0.25">
      <c r="I216" s="43"/>
      <c r="N216"/>
      <c r="O216" s="43"/>
      <c r="P216"/>
      <c r="Q216"/>
      <c r="R216"/>
      <c r="S216"/>
      <c r="T216"/>
    </row>
    <row r="217" spans="9:20" x14ac:dyDescent="0.25">
      <c r="I217" s="43"/>
      <c r="N217"/>
      <c r="O217" s="43"/>
      <c r="P217"/>
      <c r="Q217"/>
      <c r="R217"/>
      <c r="S217"/>
      <c r="T217"/>
    </row>
    <row r="218" spans="9:20" x14ac:dyDescent="0.25">
      <c r="I218" s="43"/>
      <c r="N218"/>
      <c r="O218" s="43"/>
      <c r="P218"/>
      <c r="Q218"/>
      <c r="R218"/>
      <c r="S218"/>
      <c r="T218"/>
    </row>
    <row r="219" spans="9:20" x14ac:dyDescent="0.25">
      <c r="I219" s="43"/>
      <c r="N219"/>
      <c r="O219" s="43"/>
      <c r="P219"/>
      <c r="Q219"/>
      <c r="R219"/>
      <c r="S219"/>
      <c r="T219"/>
    </row>
    <row r="220" spans="9:20" x14ac:dyDescent="0.25">
      <c r="I220" s="43"/>
      <c r="N220"/>
      <c r="O220" s="43"/>
      <c r="P220"/>
      <c r="Q220"/>
      <c r="R220"/>
      <c r="S220"/>
      <c r="T220"/>
    </row>
    <row r="221" spans="9:20" x14ac:dyDescent="0.25">
      <c r="I221" s="43"/>
      <c r="N221"/>
      <c r="O221" s="43"/>
      <c r="P221"/>
      <c r="Q221"/>
      <c r="R221"/>
      <c r="S221"/>
      <c r="T221"/>
    </row>
    <row r="222" spans="9:20" x14ac:dyDescent="0.25">
      <c r="I222" s="43"/>
      <c r="N222"/>
      <c r="O222" s="43"/>
      <c r="P222"/>
      <c r="Q222"/>
      <c r="R222"/>
      <c r="S222"/>
      <c r="T222"/>
    </row>
    <row r="223" spans="9:20" x14ac:dyDescent="0.25">
      <c r="I223" s="43"/>
      <c r="N223"/>
      <c r="O223" s="43"/>
      <c r="P223"/>
      <c r="Q223"/>
      <c r="R223"/>
      <c r="S223"/>
      <c r="T223"/>
    </row>
    <row r="224" spans="9:20" x14ac:dyDescent="0.25">
      <c r="I224" s="43"/>
      <c r="N224"/>
      <c r="O224" s="43"/>
      <c r="P224"/>
      <c r="Q224"/>
      <c r="R224"/>
      <c r="S224"/>
      <c r="T224"/>
    </row>
    <row r="225" spans="9:20" x14ac:dyDescent="0.25">
      <c r="I225" s="43"/>
      <c r="N225"/>
      <c r="O225" s="43"/>
      <c r="P225"/>
      <c r="Q225"/>
      <c r="R225"/>
      <c r="S225"/>
      <c r="T225"/>
    </row>
    <row r="226" spans="9:20" x14ac:dyDescent="0.25">
      <c r="I226" s="43"/>
      <c r="N226"/>
      <c r="O226" s="43"/>
      <c r="P226"/>
      <c r="Q226"/>
      <c r="R226"/>
      <c r="S226"/>
      <c r="T226"/>
    </row>
    <row r="227" spans="9:20" x14ac:dyDescent="0.25">
      <c r="I227" s="43"/>
      <c r="N227"/>
      <c r="O227" s="43"/>
      <c r="P227"/>
      <c r="Q227"/>
      <c r="R227"/>
      <c r="S227"/>
      <c r="T227"/>
    </row>
    <row r="228" spans="9:20" x14ac:dyDescent="0.25">
      <c r="I228" s="43"/>
      <c r="N228"/>
      <c r="O228" s="43"/>
      <c r="P228"/>
      <c r="Q228"/>
      <c r="R228"/>
      <c r="S228"/>
      <c r="T228"/>
    </row>
    <row r="229" spans="9:20" x14ac:dyDescent="0.25">
      <c r="I229" s="43"/>
      <c r="N229"/>
      <c r="O229" s="43"/>
      <c r="P229"/>
      <c r="Q229"/>
      <c r="R229"/>
      <c r="S229"/>
      <c r="T229"/>
    </row>
    <row r="230" spans="9:20" x14ac:dyDescent="0.25">
      <c r="I230" s="43"/>
      <c r="N230"/>
      <c r="O230" s="43"/>
      <c r="P230"/>
      <c r="Q230"/>
      <c r="R230"/>
      <c r="S230"/>
      <c r="T230"/>
    </row>
    <row r="231" spans="9:20" x14ac:dyDescent="0.25">
      <c r="I231" s="43"/>
      <c r="N231"/>
      <c r="O231" s="43"/>
      <c r="P231"/>
      <c r="Q231"/>
      <c r="R231"/>
      <c r="S231"/>
      <c r="T231"/>
    </row>
    <row r="232" spans="9:20" x14ac:dyDescent="0.25">
      <c r="I232" s="43"/>
      <c r="N232"/>
      <c r="O232" s="43"/>
      <c r="P232"/>
      <c r="Q232"/>
      <c r="R232"/>
      <c r="S232"/>
      <c r="T232"/>
    </row>
    <row r="233" spans="9:20" x14ac:dyDescent="0.25">
      <c r="I233" s="43"/>
      <c r="N233"/>
      <c r="O233" s="43"/>
      <c r="P233"/>
      <c r="Q233"/>
      <c r="R233"/>
      <c r="S233"/>
      <c r="T233"/>
    </row>
    <row r="234" spans="9:20" x14ac:dyDescent="0.25">
      <c r="I234" s="43"/>
      <c r="N234"/>
      <c r="O234" s="43"/>
      <c r="P234"/>
      <c r="Q234"/>
      <c r="R234"/>
      <c r="S234"/>
      <c r="T234"/>
    </row>
    <row r="235" spans="9:20" x14ac:dyDescent="0.25">
      <c r="I235" s="43"/>
      <c r="N235"/>
      <c r="O235" s="43"/>
      <c r="P235"/>
      <c r="Q235"/>
      <c r="R235"/>
      <c r="S235"/>
      <c r="T235"/>
    </row>
    <row r="236" spans="9:20" x14ac:dyDescent="0.25">
      <c r="I236" s="43"/>
      <c r="N236"/>
      <c r="O236" s="43"/>
      <c r="P236"/>
      <c r="Q236"/>
      <c r="R236"/>
      <c r="S236"/>
      <c r="T236"/>
    </row>
    <row r="237" spans="9:20" x14ac:dyDescent="0.25">
      <c r="I237" s="43"/>
      <c r="N237"/>
      <c r="O237" s="43"/>
      <c r="P237"/>
      <c r="Q237"/>
      <c r="R237"/>
      <c r="S237"/>
      <c r="T237"/>
    </row>
    <row r="238" spans="9:20" x14ac:dyDescent="0.25">
      <c r="I238" s="43"/>
      <c r="N238"/>
      <c r="O238" s="43"/>
      <c r="P238"/>
      <c r="Q238"/>
      <c r="R238"/>
      <c r="S238"/>
      <c r="T238"/>
    </row>
    <row r="239" spans="9:20" x14ac:dyDescent="0.25">
      <c r="I239" s="43"/>
      <c r="N239"/>
      <c r="O239" s="43"/>
      <c r="P239"/>
      <c r="Q239"/>
      <c r="R239"/>
      <c r="S239"/>
      <c r="T239"/>
    </row>
    <row r="240" spans="9:20" x14ac:dyDescent="0.25">
      <c r="I240" s="43"/>
      <c r="N240"/>
      <c r="O240" s="43"/>
      <c r="P240"/>
      <c r="Q240"/>
      <c r="R240"/>
      <c r="S240"/>
      <c r="T240"/>
    </row>
    <row r="241" spans="9:20" x14ac:dyDescent="0.25">
      <c r="I241" s="43"/>
      <c r="N241"/>
      <c r="O241" s="43"/>
      <c r="P241"/>
      <c r="Q241"/>
      <c r="R241"/>
      <c r="S241"/>
      <c r="T241"/>
    </row>
    <row r="242" spans="9:20" x14ac:dyDescent="0.25">
      <c r="I242" s="43"/>
      <c r="N242"/>
      <c r="O242" s="43"/>
      <c r="P242"/>
      <c r="Q242"/>
      <c r="R242"/>
      <c r="S242"/>
      <c r="T242"/>
    </row>
    <row r="243" spans="9:20" x14ac:dyDescent="0.25">
      <c r="I243" s="43"/>
      <c r="N243"/>
      <c r="O243" s="43"/>
      <c r="P243"/>
      <c r="Q243"/>
      <c r="R243"/>
      <c r="S243"/>
      <c r="T243"/>
    </row>
    <row r="244" spans="9:20" x14ac:dyDescent="0.25">
      <c r="I244" s="43"/>
      <c r="N244"/>
      <c r="O244" s="43"/>
      <c r="P244"/>
      <c r="Q244"/>
      <c r="R244"/>
      <c r="S244"/>
      <c r="T244"/>
    </row>
    <row r="245" spans="9:20" x14ac:dyDescent="0.25">
      <c r="I245" s="43"/>
      <c r="N245"/>
      <c r="O245" s="43"/>
      <c r="P245"/>
      <c r="Q245"/>
      <c r="R245"/>
      <c r="S245"/>
      <c r="T245"/>
    </row>
    <row r="246" spans="9:20" x14ac:dyDescent="0.25">
      <c r="I246" s="43"/>
      <c r="N246"/>
      <c r="O246" s="43"/>
      <c r="P246"/>
      <c r="Q246"/>
      <c r="R246"/>
      <c r="S246"/>
      <c r="T246"/>
    </row>
    <row r="247" spans="9:20" x14ac:dyDescent="0.25">
      <c r="I247" s="43"/>
      <c r="N247"/>
      <c r="O247" s="43"/>
      <c r="P247"/>
      <c r="Q247"/>
      <c r="R247"/>
      <c r="S247"/>
      <c r="T247"/>
    </row>
    <row r="248" spans="9:20" x14ac:dyDescent="0.25">
      <c r="I248" s="43"/>
      <c r="N248"/>
      <c r="O248" s="43"/>
      <c r="P248"/>
      <c r="Q248"/>
      <c r="R248"/>
      <c r="S248"/>
      <c r="T248"/>
    </row>
    <row r="249" spans="9:20" x14ac:dyDescent="0.25">
      <c r="I249" s="43"/>
      <c r="N249"/>
      <c r="O249" s="43"/>
      <c r="P249"/>
      <c r="Q249"/>
      <c r="R249"/>
      <c r="S249"/>
      <c r="T249"/>
    </row>
    <row r="250" spans="9:20" x14ac:dyDescent="0.25">
      <c r="I250" s="43"/>
      <c r="N250"/>
      <c r="O250" s="43"/>
      <c r="P250"/>
      <c r="Q250"/>
      <c r="R250"/>
      <c r="S250"/>
      <c r="T250"/>
    </row>
    <row r="251" spans="9:20" x14ac:dyDescent="0.25">
      <c r="I251" s="43"/>
      <c r="N251"/>
      <c r="O251" s="43"/>
      <c r="P251"/>
      <c r="Q251"/>
      <c r="R251"/>
      <c r="S251"/>
      <c r="T251"/>
    </row>
    <row r="252" spans="9:20" x14ac:dyDescent="0.25">
      <c r="I252" s="43"/>
      <c r="N252"/>
      <c r="O252" s="43"/>
      <c r="P252"/>
      <c r="Q252"/>
      <c r="R252"/>
      <c r="S252"/>
      <c r="T252"/>
    </row>
    <row r="253" spans="9:20" x14ac:dyDescent="0.25">
      <c r="I253" s="43"/>
      <c r="N253"/>
      <c r="O253" s="43"/>
      <c r="P253"/>
      <c r="Q253"/>
      <c r="R253"/>
      <c r="S253"/>
      <c r="T253"/>
    </row>
    <row r="254" spans="9:20" x14ac:dyDescent="0.25">
      <c r="I254" s="43"/>
      <c r="N254"/>
      <c r="O254" s="43"/>
      <c r="P254"/>
      <c r="Q254"/>
      <c r="R254"/>
      <c r="S254"/>
      <c r="T254"/>
    </row>
    <row r="255" spans="9:20" x14ac:dyDescent="0.25">
      <c r="I255" s="43"/>
      <c r="N255"/>
      <c r="O255" s="43"/>
      <c r="P255"/>
      <c r="Q255"/>
      <c r="R255"/>
      <c r="S255"/>
      <c r="T255"/>
    </row>
    <row r="256" spans="9:20" x14ac:dyDescent="0.25">
      <c r="I256" s="43"/>
      <c r="N256"/>
      <c r="O256" s="43"/>
      <c r="P256"/>
      <c r="Q256"/>
      <c r="R256"/>
      <c r="S256"/>
      <c r="T256"/>
    </row>
    <row r="257" spans="9:20" x14ac:dyDescent="0.25">
      <c r="I257" s="43"/>
      <c r="N257"/>
      <c r="O257" s="43"/>
      <c r="P257"/>
      <c r="Q257"/>
      <c r="R257"/>
      <c r="S257"/>
      <c r="T257"/>
    </row>
    <row r="258" spans="9:20" x14ac:dyDescent="0.25">
      <c r="I258" s="43"/>
      <c r="N258"/>
      <c r="O258" s="43"/>
      <c r="P258"/>
      <c r="Q258"/>
      <c r="R258"/>
      <c r="S258"/>
      <c r="T258"/>
    </row>
    <row r="259" spans="9:20" x14ac:dyDescent="0.25">
      <c r="I259" s="43"/>
      <c r="N259"/>
      <c r="O259" s="43"/>
      <c r="P259"/>
      <c r="Q259"/>
      <c r="R259"/>
      <c r="S259"/>
      <c r="T259"/>
    </row>
    <row r="260" spans="9:20" x14ac:dyDescent="0.25">
      <c r="I260" s="43"/>
      <c r="N260"/>
      <c r="O260" s="43"/>
      <c r="P260"/>
      <c r="Q260"/>
      <c r="R260"/>
      <c r="S260"/>
      <c r="T260"/>
    </row>
    <row r="261" spans="9:20" x14ac:dyDescent="0.25">
      <c r="I261" s="43"/>
      <c r="N261"/>
      <c r="O261" s="43"/>
      <c r="P261"/>
      <c r="Q261"/>
      <c r="R261"/>
      <c r="S261"/>
      <c r="T261"/>
    </row>
    <row r="262" spans="9:20" x14ac:dyDescent="0.25">
      <c r="I262" s="43"/>
      <c r="N262"/>
      <c r="O262" s="43"/>
      <c r="P262"/>
      <c r="Q262"/>
      <c r="R262"/>
      <c r="S262"/>
      <c r="T262"/>
    </row>
    <row r="263" spans="9:20" x14ac:dyDescent="0.25">
      <c r="I263" s="43"/>
      <c r="N263"/>
      <c r="O263" s="43"/>
      <c r="P263"/>
      <c r="Q263"/>
      <c r="R263"/>
      <c r="S263"/>
      <c r="T263"/>
    </row>
    <row r="264" spans="9:20" x14ac:dyDescent="0.25">
      <c r="I264" s="43"/>
      <c r="N264"/>
      <c r="O264" s="43"/>
      <c r="P264"/>
      <c r="Q264"/>
      <c r="R264"/>
      <c r="S264"/>
      <c r="T264"/>
    </row>
    <row r="265" spans="9:20" x14ac:dyDescent="0.25">
      <c r="I265" s="43"/>
      <c r="N265"/>
      <c r="O265" s="43"/>
      <c r="P265"/>
      <c r="Q265"/>
      <c r="R265"/>
      <c r="S265"/>
      <c r="T265"/>
    </row>
    <row r="266" spans="9:20" x14ac:dyDescent="0.25">
      <c r="I266" s="43"/>
      <c r="N266"/>
      <c r="O266" s="43"/>
      <c r="P266"/>
      <c r="Q266"/>
      <c r="R266"/>
      <c r="S266"/>
      <c r="T266"/>
    </row>
    <row r="267" spans="9:20" x14ac:dyDescent="0.25">
      <c r="I267" s="43"/>
      <c r="N267"/>
      <c r="O267" s="43"/>
      <c r="P267"/>
      <c r="Q267"/>
      <c r="R267"/>
      <c r="S267"/>
      <c r="T267"/>
    </row>
    <row r="268" spans="9:20" x14ac:dyDescent="0.25">
      <c r="I268" s="43"/>
      <c r="N268"/>
      <c r="O268" s="43"/>
      <c r="P268"/>
      <c r="Q268"/>
      <c r="R268"/>
      <c r="S268"/>
      <c r="T268"/>
    </row>
    <row r="269" spans="9:20" x14ac:dyDescent="0.25">
      <c r="I269" s="43"/>
      <c r="N269"/>
      <c r="O269" s="43"/>
      <c r="P269"/>
      <c r="Q269"/>
      <c r="R269"/>
      <c r="S269"/>
      <c r="T269"/>
    </row>
    <row r="270" spans="9:20" x14ac:dyDescent="0.25">
      <c r="I270" s="43"/>
      <c r="N270"/>
      <c r="O270" s="43"/>
      <c r="P270"/>
      <c r="Q270"/>
      <c r="R270"/>
      <c r="S270"/>
      <c r="T270"/>
    </row>
    <row r="271" spans="9:20" x14ac:dyDescent="0.25">
      <c r="I271" s="43"/>
      <c r="N271"/>
      <c r="O271" s="43"/>
      <c r="P271"/>
      <c r="Q271"/>
      <c r="R271"/>
      <c r="S271"/>
      <c r="T271"/>
    </row>
    <row r="272" spans="9:20" x14ac:dyDescent="0.25">
      <c r="I272" s="43"/>
      <c r="N272"/>
      <c r="O272" s="43"/>
      <c r="P272"/>
      <c r="Q272"/>
      <c r="R272"/>
      <c r="S272"/>
      <c r="T272"/>
    </row>
    <row r="273" spans="9:20" x14ac:dyDescent="0.25">
      <c r="I273" s="43"/>
      <c r="N273"/>
      <c r="O273" s="43"/>
      <c r="P273"/>
      <c r="Q273"/>
      <c r="R273"/>
      <c r="S273"/>
      <c r="T273"/>
    </row>
    <row r="274" spans="9:20" x14ac:dyDescent="0.25">
      <c r="I274" s="43"/>
      <c r="N274"/>
      <c r="O274" s="43"/>
      <c r="P274"/>
      <c r="Q274"/>
      <c r="R274"/>
      <c r="S274"/>
      <c r="T274"/>
    </row>
    <row r="275" spans="9:20" x14ac:dyDescent="0.25">
      <c r="I275" s="43"/>
      <c r="N275"/>
      <c r="O275" s="43"/>
      <c r="P275"/>
      <c r="Q275"/>
      <c r="R275"/>
      <c r="S275"/>
      <c r="T275"/>
    </row>
    <row r="276" spans="9:20" x14ac:dyDescent="0.25">
      <c r="I276" s="43"/>
      <c r="N276"/>
      <c r="O276" s="43"/>
      <c r="P276"/>
      <c r="Q276"/>
      <c r="R276"/>
      <c r="S276"/>
      <c r="T276"/>
    </row>
    <row r="277" spans="9:20" x14ac:dyDescent="0.25">
      <c r="I277" s="43"/>
      <c r="N277"/>
      <c r="O277" s="43"/>
      <c r="P277"/>
      <c r="Q277"/>
      <c r="R277"/>
      <c r="S277"/>
      <c r="T277"/>
    </row>
    <row r="278" spans="9:20" x14ac:dyDescent="0.25">
      <c r="I278" s="43"/>
      <c r="N278"/>
      <c r="O278" s="43"/>
      <c r="P278"/>
      <c r="Q278"/>
      <c r="R278"/>
      <c r="S278"/>
      <c r="T278"/>
    </row>
    <row r="279" spans="9:20" x14ac:dyDescent="0.25">
      <c r="I279" s="43"/>
      <c r="N279"/>
      <c r="O279" s="43"/>
      <c r="P279"/>
      <c r="Q279"/>
      <c r="R279"/>
      <c r="S279"/>
      <c r="T279"/>
    </row>
    <row r="280" spans="9:20" x14ac:dyDescent="0.25">
      <c r="I280" s="43"/>
      <c r="N280"/>
      <c r="O280" s="43"/>
      <c r="P280"/>
      <c r="Q280"/>
      <c r="R280"/>
      <c r="S280"/>
      <c r="T280"/>
    </row>
    <row r="281" spans="9:20" x14ac:dyDescent="0.25">
      <c r="I281" s="43"/>
      <c r="N281"/>
      <c r="O281" s="43"/>
      <c r="P281"/>
      <c r="Q281"/>
      <c r="R281"/>
      <c r="S281"/>
      <c r="T281"/>
    </row>
    <row r="282" spans="9:20" x14ac:dyDescent="0.25">
      <c r="I282" s="43"/>
      <c r="N282"/>
      <c r="O282" s="43"/>
      <c r="P282"/>
      <c r="Q282"/>
      <c r="R282"/>
      <c r="S282"/>
      <c r="T282"/>
    </row>
    <row r="283" spans="9:20" x14ac:dyDescent="0.25">
      <c r="I283" s="43"/>
      <c r="N283"/>
      <c r="O283" s="43"/>
      <c r="P283"/>
      <c r="Q283"/>
      <c r="R283"/>
      <c r="S283"/>
      <c r="T283"/>
    </row>
    <row r="284" spans="9:20" x14ac:dyDescent="0.25">
      <c r="I284" s="43"/>
      <c r="N284"/>
      <c r="O284" s="43"/>
      <c r="P284"/>
      <c r="Q284"/>
      <c r="R284"/>
      <c r="S284"/>
      <c r="T284"/>
    </row>
    <row r="285" spans="9:20" x14ac:dyDescent="0.25">
      <c r="I285" s="43"/>
      <c r="N285"/>
      <c r="O285" s="43"/>
      <c r="P285"/>
      <c r="Q285"/>
      <c r="R285"/>
      <c r="S285"/>
      <c r="T285"/>
    </row>
    <row r="286" spans="9:20" x14ac:dyDescent="0.25">
      <c r="I286" s="43"/>
      <c r="N286"/>
      <c r="O286" s="43"/>
      <c r="P286"/>
      <c r="Q286"/>
      <c r="R286"/>
      <c r="S286"/>
      <c r="T286"/>
    </row>
    <row r="287" spans="9:20" x14ac:dyDescent="0.25">
      <c r="I287" s="43"/>
      <c r="N287"/>
      <c r="O287" s="43"/>
      <c r="P287"/>
      <c r="Q287"/>
      <c r="R287"/>
      <c r="S287"/>
      <c r="T287"/>
    </row>
    <row r="288" spans="9:20" x14ac:dyDescent="0.25">
      <c r="I288" s="43"/>
      <c r="N288"/>
      <c r="O288" s="43"/>
      <c r="P288"/>
      <c r="Q288"/>
      <c r="R288"/>
      <c r="S288"/>
      <c r="T288"/>
    </row>
    <row r="289" spans="9:20" x14ac:dyDescent="0.25">
      <c r="I289" s="43"/>
      <c r="N289"/>
      <c r="O289" s="43"/>
      <c r="P289"/>
      <c r="Q289"/>
      <c r="R289"/>
      <c r="S289"/>
      <c r="T289"/>
    </row>
    <row r="290" spans="9:20" x14ac:dyDescent="0.25">
      <c r="I290" s="43"/>
      <c r="N290"/>
      <c r="O290" s="43"/>
      <c r="P290"/>
      <c r="Q290"/>
      <c r="R290"/>
      <c r="S290"/>
      <c r="T290"/>
    </row>
    <row r="291" spans="9:20" x14ac:dyDescent="0.25">
      <c r="I291" s="43"/>
      <c r="N291"/>
      <c r="O291" s="43"/>
      <c r="P291"/>
      <c r="Q291"/>
      <c r="R291"/>
      <c r="S291"/>
      <c r="T291"/>
    </row>
    <row r="292" spans="9:20" x14ac:dyDescent="0.25">
      <c r="I292" s="43"/>
      <c r="N292"/>
      <c r="O292" s="43"/>
      <c r="P292"/>
      <c r="Q292"/>
      <c r="R292"/>
      <c r="S292"/>
      <c r="T292"/>
    </row>
    <row r="293" spans="9:20" x14ac:dyDescent="0.25">
      <c r="I293" s="43"/>
      <c r="N293"/>
      <c r="O293" s="43"/>
      <c r="P293"/>
      <c r="Q293"/>
      <c r="R293"/>
      <c r="S293"/>
      <c r="T293"/>
    </row>
    <row r="294" spans="9:20" x14ac:dyDescent="0.25">
      <c r="I294" s="43"/>
      <c r="N294"/>
      <c r="O294" s="43"/>
      <c r="P294"/>
      <c r="Q294"/>
      <c r="R294"/>
      <c r="S294"/>
      <c r="T294"/>
    </row>
    <row r="295" spans="9:20" x14ac:dyDescent="0.25">
      <c r="I295" s="43"/>
      <c r="N295"/>
      <c r="O295" s="43"/>
      <c r="P295"/>
      <c r="Q295"/>
      <c r="R295"/>
      <c r="S295"/>
      <c r="T295"/>
    </row>
    <row r="296" spans="9:20" x14ac:dyDescent="0.25">
      <c r="I296" s="43"/>
      <c r="N296"/>
      <c r="O296" s="43"/>
      <c r="P296"/>
      <c r="Q296"/>
      <c r="R296"/>
      <c r="S296"/>
      <c r="T296"/>
    </row>
    <row r="297" spans="9:20" x14ac:dyDescent="0.25">
      <c r="I297" s="43"/>
      <c r="N297"/>
      <c r="O297" s="43"/>
      <c r="P297"/>
      <c r="Q297"/>
      <c r="R297"/>
      <c r="S297"/>
      <c r="T297"/>
    </row>
    <row r="298" spans="9:20" x14ac:dyDescent="0.25">
      <c r="I298" s="43"/>
      <c r="N298"/>
      <c r="O298" s="43"/>
      <c r="P298"/>
      <c r="Q298"/>
      <c r="R298"/>
      <c r="S298"/>
      <c r="T298"/>
    </row>
    <row r="299" spans="9:20" x14ac:dyDescent="0.25">
      <c r="I299" s="43"/>
      <c r="N299"/>
      <c r="O299" s="43"/>
      <c r="P299"/>
      <c r="Q299"/>
      <c r="R299"/>
      <c r="S299"/>
      <c r="T299"/>
    </row>
    <row r="300" spans="9:20" x14ac:dyDescent="0.25">
      <c r="I300" s="43"/>
      <c r="N300"/>
      <c r="O300" s="43"/>
      <c r="P300"/>
      <c r="Q300"/>
      <c r="R300"/>
      <c r="S300"/>
      <c r="T300"/>
    </row>
    <row r="301" spans="9:20" x14ac:dyDescent="0.25">
      <c r="I301" s="43"/>
      <c r="N301"/>
      <c r="O301" s="43"/>
      <c r="P301"/>
      <c r="Q301"/>
      <c r="R301"/>
      <c r="S301"/>
      <c r="T301"/>
    </row>
    <row r="302" spans="9:20" x14ac:dyDescent="0.25">
      <c r="I302" s="43"/>
      <c r="N302"/>
      <c r="O302" s="43"/>
      <c r="P302"/>
      <c r="Q302"/>
      <c r="R302"/>
      <c r="S302"/>
      <c r="T302"/>
    </row>
    <row r="303" spans="9:20" x14ac:dyDescent="0.25">
      <c r="I303" s="43"/>
      <c r="N303"/>
      <c r="O303" s="43"/>
      <c r="P303"/>
      <c r="Q303"/>
      <c r="R303"/>
      <c r="S303"/>
      <c r="T303"/>
    </row>
    <row r="304" spans="9:20" x14ac:dyDescent="0.25">
      <c r="I304" s="43"/>
      <c r="N304"/>
      <c r="O304" s="43"/>
      <c r="P304"/>
      <c r="Q304"/>
      <c r="R304"/>
      <c r="S304"/>
      <c r="T304"/>
    </row>
    <row r="305" spans="9:20" x14ac:dyDescent="0.25">
      <c r="I305" s="43"/>
      <c r="N305"/>
      <c r="O305" s="43"/>
      <c r="P305"/>
      <c r="Q305"/>
      <c r="R305"/>
      <c r="S305"/>
      <c r="T305"/>
    </row>
    <row r="306" spans="9:20" x14ac:dyDescent="0.25">
      <c r="I306" s="43"/>
      <c r="N306"/>
      <c r="O306" s="43"/>
      <c r="P306"/>
      <c r="Q306"/>
      <c r="R306"/>
      <c r="S306"/>
      <c r="T306"/>
    </row>
    <row r="307" spans="9:20" x14ac:dyDescent="0.25">
      <c r="I307" s="43"/>
      <c r="N307"/>
      <c r="O307" s="43"/>
      <c r="P307"/>
      <c r="Q307"/>
      <c r="R307"/>
      <c r="S307"/>
      <c r="T307"/>
    </row>
    <row r="308" spans="9:20" x14ac:dyDescent="0.25">
      <c r="I308" s="43"/>
      <c r="N308"/>
      <c r="O308" s="43"/>
      <c r="P308"/>
      <c r="Q308"/>
      <c r="R308"/>
      <c r="S308"/>
      <c r="T308"/>
    </row>
    <row r="309" spans="9:20" x14ac:dyDescent="0.25">
      <c r="I309" s="43"/>
      <c r="N309"/>
      <c r="O309" s="43"/>
      <c r="P309"/>
      <c r="Q309"/>
      <c r="R309"/>
      <c r="S309"/>
      <c r="T309"/>
    </row>
    <row r="310" spans="9:20" x14ac:dyDescent="0.25">
      <c r="I310" s="43"/>
      <c r="N310"/>
      <c r="O310" s="43"/>
      <c r="P310"/>
      <c r="Q310"/>
      <c r="R310"/>
      <c r="S310"/>
      <c r="T310"/>
    </row>
    <row r="311" spans="9:20" x14ac:dyDescent="0.25">
      <c r="I311" s="43"/>
      <c r="N311"/>
      <c r="O311" s="43"/>
      <c r="P311"/>
      <c r="Q311"/>
      <c r="R311"/>
      <c r="S311"/>
      <c r="T311"/>
    </row>
    <row r="312" spans="9:20" x14ac:dyDescent="0.25">
      <c r="I312" s="43"/>
      <c r="N312"/>
      <c r="O312" s="43"/>
      <c r="P312"/>
      <c r="Q312"/>
      <c r="R312"/>
      <c r="S312"/>
      <c r="T312"/>
    </row>
    <row r="313" spans="9:20" x14ac:dyDescent="0.25">
      <c r="I313" s="43"/>
      <c r="N313"/>
      <c r="O313" s="43"/>
      <c r="P313"/>
      <c r="Q313"/>
      <c r="R313"/>
      <c r="S313"/>
      <c r="T313"/>
    </row>
    <row r="314" spans="9:20" x14ac:dyDescent="0.25">
      <c r="I314" s="43"/>
      <c r="N314"/>
      <c r="O314" s="43"/>
      <c r="P314"/>
      <c r="Q314"/>
      <c r="R314"/>
      <c r="S314"/>
      <c r="T314"/>
    </row>
    <row r="315" spans="9:20" x14ac:dyDescent="0.25">
      <c r="I315" s="43"/>
      <c r="N315"/>
      <c r="O315" s="43"/>
      <c r="P315"/>
      <c r="Q315"/>
      <c r="R315"/>
      <c r="S315"/>
      <c r="T315"/>
    </row>
    <row r="316" spans="9:20" x14ac:dyDescent="0.25">
      <c r="I316" s="43"/>
      <c r="N316"/>
      <c r="O316" s="43"/>
      <c r="P316"/>
      <c r="Q316"/>
      <c r="R316"/>
      <c r="S316"/>
      <c r="T316"/>
    </row>
    <row r="317" spans="9:20" x14ac:dyDescent="0.25">
      <c r="I317" s="43"/>
      <c r="N317"/>
      <c r="O317" s="43"/>
      <c r="P317"/>
      <c r="Q317"/>
      <c r="R317"/>
      <c r="S317"/>
      <c r="T317"/>
    </row>
    <row r="318" spans="9:20" x14ac:dyDescent="0.25">
      <c r="I318" s="43"/>
      <c r="N318"/>
      <c r="O318" s="43"/>
      <c r="P318"/>
      <c r="Q318"/>
      <c r="R318"/>
      <c r="S318"/>
      <c r="T318"/>
    </row>
    <row r="319" spans="9:20" x14ac:dyDescent="0.25">
      <c r="I319" s="43"/>
      <c r="N319"/>
      <c r="O319" s="43"/>
      <c r="P319"/>
      <c r="Q319"/>
      <c r="R319"/>
      <c r="S319"/>
      <c r="T319"/>
    </row>
    <row r="320" spans="9:20" x14ac:dyDescent="0.25">
      <c r="I320" s="43"/>
      <c r="N320"/>
      <c r="O320" s="43"/>
      <c r="P320"/>
      <c r="Q320"/>
      <c r="R320"/>
      <c r="S320"/>
      <c r="T320"/>
    </row>
    <row r="321" spans="9:20" x14ac:dyDescent="0.25">
      <c r="I321" s="43"/>
      <c r="N321"/>
      <c r="O321" s="43"/>
      <c r="P321"/>
      <c r="Q321"/>
      <c r="R321"/>
      <c r="S321"/>
      <c r="T321"/>
    </row>
    <row r="322" spans="9:20" x14ac:dyDescent="0.25">
      <c r="I322" s="43"/>
      <c r="N322"/>
      <c r="O322" s="43"/>
      <c r="P322"/>
      <c r="Q322"/>
      <c r="R322"/>
      <c r="S322"/>
      <c r="T322"/>
    </row>
    <row r="323" spans="9:20" x14ac:dyDescent="0.25">
      <c r="I323" s="43"/>
      <c r="N323"/>
      <c r="O323" s="43"/>
      <c r="P323"/>
      <c r="Q323"/>
      <c r="R323"/>
      <c r="S323"/>
      <c r="T323"/>
    </row>
    <row r="324" spans="9:20" x14ac:dyDescent="0.25">
      <c r="I324" s="43"/>
      <c r="N324"/>
      <c r="O324" s="43"/>
      <c r="P324"/>
      <c r="Q324"/>
      <c r="R324"/>
      <c r="S324"/>
      <c r="T324"/>
    </row>
    <row r="325" spans="9:20" x14ac:dyDescent="0.25">
      <c r="I325" s="43"/>
      <c r="N325"/>
      <c r="O325" s="43"/>
      <c r="P325"/>
      <c r="Q325"/>
      <c r="R325"/>
      <c r="S325"/>
      <c r="T325"/>
    </row>
    <row r="326" spans="9:20" x14ac:dyDescent="0.25">
      <c r="I326" s="43"/>
      <c r="N326"/>
      <c r="O326" s="43"/>
      <c r="P326"/>
      <c r="Q326"/>
      <c r="R326"/>
      <c r="S326"/>
      <c r="T326"/>
    </row>
    <row r="327" spans="9:20" x14ac:dyDescent="0.25">
      <c r="I327" s="43"/>
      <c r="N327"/>
      <c r="O327" s="43"/>
      <c r="P327"/>
      <c r="Q327"/>
      <c r="R327"/>
      <c r="S327"/>
      <c r="T327"/>
    </row>
    <row r="328" spans="9:20" x14ac:dyDescent="0.25">
      <c r="I328" s="43"/>
      <c r="N328"/>
      <c r="O328" s="43"/>
      <c r="P328"/>
      <c r="Q328"/>
      <c r="R328"/>
      <c r="S328"/>
      <c r="T328"/>
    </row>
    <row r="329" spans="9:20" x14ac:dyDescent="0.25">
      <c r="I329" s="43"/>
      <c r="N329"/>
      <c r="O329" s="43"/>
      <c r="P329"/>
      <c r="Q329"/>
      <c r="R329"/>
      <c r="S329"/>
      <c r="T329"/>
    </row>
    <row r="330" spans="9:20" x14ac:dyDescent="0.25">
      <c r="I330" s="43"/>
      <c r="N330"/>
      <c r="O330" s="43"/>
      <c r="P330"/>
      <c r="Q330"/>
      <c r="R330"/>
      <c r="S330"/>
      <c r="T330"/>
    </row>
    <row r="331" spans="9:20" x14ac:dyDescent="0.25">
      <c r="I331" s="43"/>
      <c r="N331"/>
      <c r="O331" s="43"/>
      <c r="P331"/>
      <c r="Q331"/>
      <c r="R331"/>
      <c r="S331"/>
      <c r="T331"/>
    </row>
    <row r="332" spans="9:20" x14ac:dyDescent="0.25">
      <c r="I332" s="43"/>
      <c r="N332"/>
      <c r="O332" s="43"/>
      <c r="P332"/>
      <c r="Q332"/>
      <c r="R332"/>
      <c r="S332"/>
      <c r="T332"/>
    </row>
    <row r="333" spans="9:20" x14ac:dyDescent="0.25">
      <c r="I333" s="43"/>
      <c r="N333"/>
      <c r="O333" s="43"/>
      <c r="P333"/>
      <c r="Q333"/>
      <c r="R333"/>
      <c r="S333"/>
      <c r="T333"/>
    </row>
    <row r="334" spans="9:20" x14ac:dyDescent="0.25">
      <c r="I334" s="43"/>
      <c r="N334"/>
      <c r="O334" s="43"/>
      <c r="P334"/>
      <c r="Q334"/>
      <c r="R334"/>
      <c r="S334"/>
      <c r="T334"/>
    </row>
    <row r="335" spans="9:20" x14ac:dyDescent="0.25">
      <c r="I335" s="43"/>
      <c r="N335"/>
      <c r="O335" s="43"/>
      <c r="P335"/>
      <c r="Q335"/>
      <c r="R335"/>
      <c r="S335"/>
      <c r="T335"/>
    </row>
    <row r="336" spans="9:20" x14ac:dyDescent="0.25">
      <c r="I336" s="43"/>
      <c r="N336"/>
      <c r="O336" s="43"/>
      <c r="P336"/>
      <c r="Q336"/>
      <c r="R336"/>
      <c r="S336"/>
      <c r="T336"/>
    </row>
    <row r="337" spans="9:20" x14ac:dyDescent="0.25">
      <c r="I337" s="43"/>
      <c r="N337"/>
      <c r="O337" s="43"/>
      <c r="P337"/>
      <c r="Q337"/>
      <c r="R337"/>
      <c r="S337"/>
      <c r="T337"/>
    </row>
    <row r="338" spans="9:20" x14ac:dyDescent="0.25">
      <c r="I338" s="43"/>
      <c r="N338"/>
      <c r="O338" s="43"/>
      <c r="P338"/>
      <c r="Q338"/>
      <c r="R338"/>
      <c r="S338"/>
      <c r="T338"/>
    </row>
    <row r="339" spans="9:20" x14ac:dyDescent="0.25">
      <c r="I339" s="43"/>
      <c r="N339"/>
      <c r="O339" s="43"/>
      <c r="P339"/>
      <c r="Q339"/>
      <c r="R339"/>
      <c r="S339"/>
      <c r="T339"/>
    </row>
    <row r="340" spans="9:20" x14ac:dyDescent="0.25">
      <c r="I340" s="43"/>
      <c r="N340"/>
      <c r="O340" s="43"/>
      <c r="P340"/>
      <c r="Q340"/>
      <c r="R340"/>
      <c r="S340"/>
      <c r="T340"/>
    </row>
    <row r="341" spans="9:20" x14ac:dyDescent="0.25">
      <c r="I341" s="43"/>
      <c r="N341"/>
      <c r="O341" s="43"/>
      <c r="P341"/>
      <c r="Q341"/>
      <c r="R341"/>
      <c r="S341"/>
      <c r="T341"/>
    </row>
    <row r="342" spans="9:20" x14ac:dyDescent="0.25">
      <c r="I342" s="43"/>
      <c r="N342"/>
      <c r="O342" s="43"/>
      <c r="P342"/>
      <c r="Q342"/>
      <c r="R342"/>
      <c r="S342"/>
      <c r="T342"/>
    </row>
    <row r="343" spans="9:20" x14ac:dyDescent="0.25">
      <c r="I343" s="43"/>
      <c r="N343"/>
      <c r="O343" s="43"/>
      <c r="P343"/>
      <c r="Q343"/>
      <c r="R343"/>
      <c r="S343"/>
      <c r="T343"/>
    </row>
    <row r="344" spans="9:20" x14ac:dyDescent="0.25">
      <c r="I344" s="43"/>
      <c r="N344"/>
      <c r="O344" s="43"/>
      <c r="P344"/>
      <c r="Q344"/>
      <c r="R344"/>
      <c r="S344"/>
      <c r="T344"/>
    </row>
    <row r="345" spans="9:20" x14ac:dyDescent="0.25">
      <c r="I345" s="43"/>
      <c r="N345"/>
      <c r="O345" s="43"/>
      <c r="P345"/>
      <c r="Q345"/>
      <c r="R345"/>
      <c r="S345"/>
      <c r="T345"/>
    </row>
    <row r="346" spans="9:20" x14ac:dyDescent="0.25">
      <c r="I346" s="43"/>
      <c r="N346"/>
      <c r="O346" s="43"/>
      <c r="P346"/>
      <c r="Q346"/>
      <c r="R346"/>
      <c r="S346"/>
      <c r="T346"/>
    </row>
    <row r="347" spans="9:20" x14ac:dyDescent="0.25">
      <c r="I347" s="43"/>
      <c r="N347"/>
      <c r="O347" s="43"/>
      <c r="P347"/>
      <c r="Q347"/>
      <c r="R347"/>
      <c r="S347"/>
      <c r="T347"/>
    </row>
    <row r="348" spans="9:20" x14ac:dyDescent="0.25">
      <c r="I348" s="43"/>
      <c r="N348"/>
      <c r="O348" s="43"/>
      <c r="P348"/>
      <c r="Q348"/>
      <c r="R348"/>
      <c r="S348"/>
      <c r="T348"/>
    </row>
    <row r="349" spans="9:20" x14ac:dyDescent="0.25">
      <c r="I349" s="43"/>
      <c r="N349"/>
      <c r="O349" s="43"/>
      <c r="P349"/>
      <c r="Q349"/>
      <c r="R349"/>
      <c r="S349"/>
      <c r="T349"/>
    </row>
    <row r="350" spans="9:20" x14ac:dyDescent="0.25">
      <c r="I350" s="43"/>
      <c r="N350"/>
      <c r="O350" s="43"/>
      <c r="P350"/>
      <c r="Q350"/>
      <c r="R350"/>
      <c r="S350"/>
      <c r="T350"/>
    </row>
    <row r="351" spans="9:20" x14ac:dyDescent="0.25">
      <c r="I351" s="43"/>
      <c r="N351"/>
      <c r="O351" s="43"/>
      <c r="P351"/>
      <c r="Q351"/>
      <c r="R351"/>
      <c r="S351"/>
      <c r="T351"/>
    </row>
    <row r="352" spans="9:20" x14ac:dyDescent="0.25">
      <c r="I352" s="43"/>
      <c r="N352"/>
      <c r="O352" s="43"/>
      <c r="P352"/>
      <c r="Q352"/>
      <c r="R352"/>
      <c r="S352"/>
      <c r="T352"/>
    </row>
    <row r="353" spans="9:20" x14ac:dyDescent="0.25">
      <c r="I353" s="43"/>
      <c r="N353"/>
      <c r="O353" s="43"/>
      <c r="P353"/>
      <c r="Q353"/>
      <c r="R353"/>
      <c r="S353"/>
      <c r="T353"/>
    </row>
    <row r="354" spans="9:20" x14ac:dyDescent="0.25">
      <c r="I354" s="43"/>
      <c r="N354"/>
      <c r="O354" s="43"/>
      <c r="P354"/>
      <c r="Q354"/>
      <c r="R354"/>
      <c r="S354"/>
      <c r="T354"/>
    </row>
    <row r="355" spans="9:20" x14ac:dyDescent="0.25">
      <c r="I355" s="43"/>
      <c r="N355"/>
      <c r="O355" s="43"/>
      <c r="P355"/>
      <c r="Q355"/>
      <c r="R355"/>
      <c r="S355"/>
      <c r="T355"/>
    </row>
    <row r="356" spans="9:20" x14ac:dyDescent="0.25">
      <c r="I356" s="43"/>
      <c r="N356"/>
      <c r="O356" s="43"/>
      <c r="P356"/>
      <c r="Q356"/>
      <c r="R356"/>
      <c r="S356"/>
      <c r="T356"/>
    </row>
    <row r="357" spans="9:20" x14ac:dyDescent="0.25">
      <c r="I357" s="43"/>
      <c r="N357"/>
      <c r="O357" s="43"/>
      <c r="P357"/>
      <c r="Q357"/>
      <c r="R357"/>
      <c r="S357"/>
      <c r="T357"/>
    </row>
    <row r="358" spans="9:20" x14ac:dyDescent="0.25">
      <c r="I358" s="43"/>
      <c r="N358"/>
      <c r="O358" s="43"/>
      <c r="P358"/>
      <c r="Q358"/>
      <c r="R358"/>
      <c r="S358"/>
      <c r="T358"/>
    </row>
    <row r="359" spans="9:20" x14ac:dyDescent="0.25">
      <c r="I359" s="43"/>
      <c r="N359"/>
      <c r="O359" s="43"/>
      <c r="P359"/>
      <c r="Q359"/>
      <c r="R359"/>
      <c r="S359"/>
      <c r="T359"/>
    </row>
    <row r="360" spans="9:20" x14ac:dyDescent="0.25">
      <c r="I360" s="43"/>
      <c r="N360"/>
      <c r="O360" s="43"/>
      <c r="P360"/>
      <c r="Q360"/>
      <c r="R360"/>
      <c r="S360"/>
      <c r="T360"/>
    </row>
    <row r="361" spans="9:20" x14ac:dyDescent="0.25">
      <c r="I361" s="43"/>
      <c r="N361"/>
      <c r="O361" s="43"/>
      <c r="P361"/>
      <c r="Q361"/>
      <c r="R361"/>
      <c r="S361"/>
      <c r="T361"/>
    </row>
    <row r="362" spans="9:20" x14ac:dyDescent="0.25">
      <c r="I362" s="43"/>
      <c r="N362"/>
      <c r="O362" s="43"/>
      <c r="P362"/>
      <c r="Q362"/>
      <c r="R362"/>
      <c r="S362"/>
      <c r="T362"/>
    </row>
    <row r="363" spans="9:20" x14ac:dyDescent="0.25">
      <c r="I363" s="43"/>
      <c r="N363"/>
      <c r="O363" s="43"/>
      <c r="P363"/>
      <c r="Q363"/>
      <c r="R363"/>
      <c r="S363"/>
      <c r="T363"/>
    </row>
    <row r="364" spans="9:20" x14ac:dyDescent="0.25">
      <c r="I364" s="43"/>
      <c r="N364"/>
      <c r="O364" s="43"/>
      <c r="P364"/>
      <c r="Q364"/>
      <c r="R364"/>
      <c r="S364"/>
      <c r="T364"/>
    </row>
    <row r="365" spans="9:20" x14ac:dyDescent="0.25">
      <c r="I365" s="43"/>
      <c r="N365"/>
      <c r="O365" s="43"/>
      <c r="P365"/>
      <c r="Q365"/>
      <c r="R365"/>
      <c r="S365"/>
      <c r="T365"/>
    </row>
    <row r="366" spans="9:20" x14ac:dyDescent="0.25">
      <c r="I366" s="43"/>
      <c r="N366"/>
      <c r="O366" s="43"/>
      <c r="P366"/>
      <c r="Q366"/>
      <c r="R366"/>
      <c r="S366"/>
      <c r="T366"/>
    </row>
    <row r="367" spans="9:20" x14ac:dyDescent="0.25">
      <c r="I367" s="43"/>
      <c r="N367"/>
      <c r="O367" s="43"/>
      <c r="P367"/>
      <c r="Q367"/>
      <c r="R367"/>
      <c r="S367"/>
      <c r="T367"/>
    </row>
    <row r="368" spans="9:20" x14ac:dyDescent="0.25">
      <c r="I368" s="43"/>
      <c r="N368"/>
      <c r="O368" s="43"/>
      <c r="P368"/>
      <c r="Q368"/>
      <c r="R368"/>
      <c r="S368"/>
      <c r="T368"/>
    </row>
    <row r="369" spans="9:20" x14ac:dyDescent="0.25">
      <c r="I369" s="43"/>
      <c r="N369"/>
      <c r="O369" s="43"/>
      <c r="P369"/>
      <c r="Q369"/>
      <c r="R369"/>
      <c r="S369"/>
      <c r="T369"/>
    </row>
    <row r="370" spans="9:20" x14ac:dyDescent="0.25">
      <c r="I370" s="43"/>
      <c r="N370"/>
      <c r="O370" s="43"/>
      <c r="P370"/>
      <c r="Q370"/>
      <c r="R370"/>
      <c r="S370"/>
      <c r="T370"/>
    </row>
    <row r="371" spans="9:20" x14ac:dyDescent="0.25">
      <c r="I371" s="43"/>
      <c r="N371"/>
      <c r="O371" s="43"/>
      <c r="P371"/>
      <c r="Q371"/>
      <c r="R371"/>
      <c r="S371"/>
      <c r="T371"/>
    </row>
    <row r="372" spans="9:20" x14ac:dyDescent="0.25">
      <c r="I372" s="43"/>
      <c r="N372"/>
      <c r="O372" s="43"/>
      <c r="P372"/>
      <c r="Q372"/>
      <c r="R372"/>
      <c r="S372"/>
      <c r="T372"/>
    </row>
    <row r="373" spans="9:20" x14ac:dyDescent="0.25">
      <c r="I373" s="43"/>
      <c r="N373"/>
      <c r="O373" s="43"/>
      <c r="P373"/>
      <c r="Q373"/>
      <c r="R373"/>
      <c r="S373"/>
      <c r="T373"/>
    </row>
    <row r="374" spans="9:20" x14ac:dyDescent="0.25">
      <c r="I374" s="43"/>
      <c r="N374"/>
      <c r="O374" s="43"/>
      <c r="P374"/>
      <c r="Q374"/>
      <c r="R374"/>
      <c r="S374"/>
      <c r="T374"/>
    </row>
    <row r="375" spans="9:20" x14ac:dyDescent="0.25">
      <c r="I375" s="43"/>
      <c r="N375"/>
      <c r="O375" s="43"/>
      <c r="P375"/>
      <c r="Q375"/>
      <c r="R375"/>
      <c r="S375"/>
      <c r="T375"/>
    </row>
    <row r="376" spans="9:20" x14ac:dyDescent="0.25">
      <c r="I376" s="43"/>
      <c r="N376"/>
      <c r="O376" s="43"/>
      <c r="P376"/>
      <c r="Q376"/>
      <c r="R376"/>
      <c r="S376"/>
      <c r="T376"/>
    </row>
    <row r="377" spans="9:20" x14ac:dyDescent="0.25">
      <c r="I377" s="43"/>
      <c r="N377"/>
      <c r="O377" s="43"/>
      <c r="P377"/>
      <c r="Q377"/>
      <c r="R377"/>
      <c r="S377"/>
      <c r="T377"/>
    </row>
    <row r="378" spans="9:20" x14ac:dyDescent="0.25">
      <c r="I378" s="43"/>
      <c r="N378"/>
      <c r="O378" s="43"/>
      <c r="P378"/>
      <c r="Q378"/>
      <c r="R378"/>
      <c r="S378"/>
      <c r="T378"/>
    </row>
    <row r="379" spans="9:20" x14ac:dyDescent="0.25">
      <c r="I379" s="43"/>
      <c r="N379"/>
      <c r="O379" s="43"/>
      <c r="P379"/>
      <c r="Q379"/>
      <c r="R379"/>
      <c r="S379"/>
      <c r="T379"/>
    </row>
    <row r="380" spans="9:20" x14ac:dyDescent="0.25">
      <c r="I380" s="43"/>
      <c r="N380"/>
      <c r="O380" s="43"/>
      <c r="P380"/>
      <c r="Q380"/>
      <c r="R380"/>
      <c r="S380"/>
      <c r="T380"/>
    </row>
    <row r="381" spans="9:20" x14ac:dyDescent="0.25">
      <c r="I381" s="43"/>
      <c r="N381"/>
      <c r="O381" s="43"/>
      <c r="P381"/>
      <c r="Q381"/>
      <c r="R381"/>
      <c r="S381"/>
      <c r="T381"/>
    </row>
    <row r="382" spans="9:20" x14ac:dyDescent="0.25">
      <c r="I382" s="43"/>
      <c r="N382"/>
      <c r="O382" s="43"/>
      <c r="P382"/>
      <c r="Q382"/>
      <c r="R382"/>
      <c r="S382"/>
      <c r="T382"/>
    </row>
    <row r="383" spans="9:20" x14ac:dyDescent="0.25">
      <c r="I383" s="43"/>
      <c r="N383"/>
      <c r="O383" s="43"/>
      <c r="P383"/>
      <c r="Q383"/>
      <c r="R383"/>
      <c r="S383"/>
      <c r="T383"/>
    </row>
    <row r="384" spans="9:20" x14ac:dyDescent="0.25">
      <c r="I384" s="43"/>
      <c r="N384"/>
      <c r="O384" s="43"/>
      <c r="P384"/>
      <c r="Q384"/>
      <c r="R384"/>
      <c r="S384"/>
      <c r="T384"/>
    </row>
    <row r="385" spans="9:20" x14ac:dyDescent="0.25">
      <c r="I385" s="43"/>
      <c r="N385"/>
      <c r="O385" s="43"/>
      <c r="P385"/>
      <c r="Q385"/>
      <c r="R385"/>
      <c r="S385"/>
      <c r="T385"/>
    </row>
    <row r="386" spans="9:20" x14ac:dyDescent="0.25">
      <c r="I386" s="43"/>
      <c r="N386"/>
      <c r="O386" s="43"/>
      <c r="P386"/>
      <c r="Q386"/>
      <c r="R386"/>
      <c r="S386"/>
      <c r="T386"/>
    </row>
    <row r="387" spans="9:20" x14ac:dyDescent="0.25">
      <c r="I387" s="43"/>
      <c r="N387"/>
      <c r="O387" s="43"/>
      <c r="P387"/>
      <c r="Q387"/>
      <c r="R387"/>
      <c r="S387"/>
      <c r="T387"/>
    </row>
    <row r="388" spans="9:20" x14ac:dyDescent="0.25">
      <c r="I388" s="43"/>
      <c r="N388"/>
      <c r="O388" s="43"/>
      <c r="P388"/>
      <c r="Q388"/>
      <c r="R388"/>
      <c r="S388"/>
      <c r="T388"/>
    </row>
    <row r="389" spans="9:20" x14ac:dyDescent="0.25">
      <c r="I389" s="43"/>
      <c r="N389"/>
      <c r="O389" s="43"/>
      <c r="P389"/>
      <c r="Q389"/>
      <c r="R389"/>
      <c r="S389"/>
      <c r="T389"/>
    </row>
    <row r="390" spans="9:20" x14ac:dyDescent="0.25">
      <c r="I390" s="43"/>
      <c r="N390"/>
      <c r="O390" s="43"/>
      <c r="P390"/>
      <c r="Q390"/>
      <c r="R390"/>
      <c r="S390"/>
      <c r="T390"/>
    </row>
    <row r="391" spans="9:20" x14ac:dyDescent="0.25">
      <c r="I391" s="43"/>
      <c r="N391"/>
      <c r="O391" s="43"/>
      <c r="P391"/>
      <c r="Q391"/>
      <c r="R391"/>
      <c r="S391"/>
      <c r="T391"/>
    </row>
    <row r="392" spans="9:20" x14ac:dyDescent="0.25">
      <c r="I392" s="43"/>
      <c r="N392"/>
      <c r="O392" s="43"/>
      <c r="P392"/>
      <c r="Q392"/>
      <c r="R392"/>
      <c r="S392"/>
      <c r="T392"/>
    </row>
    <row r="393" spans="9:20" x14ac:dyDescent="0.25">
      <c r="I393" s="43"/>
      <c r="N393"/>
      <c r="O393" s="43"/>
      <c r="P393"/>
      <c r="Q393"/>
      <c r="R393"/>
      <c r="S393"/>
      <c r="T393"/>
    </row>
    <row r="394" spans="9:20" x14ac:dyDescent="0.25">
      <c r="I394" s="43"/>
      <c r="N394"/>
      <c r="O394" s="43"/>
      <c r="P394"/>
      <c r="Q394"/>
      <c r="R394"/>
      <c r="S394"/>
      <c r="T394"/>
    </row>
    <row r="395" spans="9:20" x14ac:dyDescent="0.25">
      <c r="I395" s="43"/>
      <c r="N395"/>
      <c r="O395" s="43"/>
      <c r="P395"/>
      <c r="Q395"/>
      <c r="R395"/>
      <c r="S395"/>
      <c r="T395"/>
    </row>
    <row r="396" spans="9:20" x14ac:dyDescent="0.25">
      <c r="I396" s="43"/>
      <c r="N396"/>
      <c r="O396" s="43"/>
      <c r="P396"/>
      <c r="Q396"/>
      <c r="R396"/>
      <c r="S396"/>
      <c r="T396"/>
    </row>
    <row r="397" spans="9:20" x14ac:dyDescent="0.25">
      <c r="I397" s="43"/>
      <c r="N397"/>
      <c r="O397" s="43"/>
      <c r="P397"/>
      <c r="Q397"/>
      <c r="R397"/>
      <c r="S397"/>
      <c r="T397"/>
    </row>
    <row r="398" spans="9:20" x14ac:dyDescent="0.25">
      <c r="I398" s="43"/>
      <c r="N398"/>
      <c r="O398" s="43"/>
      <c r="P398"/>
      <c r="Q398"/>
      <c r="R398"/>
      <c r="S398"/>
      <c r="T398"/>
    </row>
    <row r="399" spans="9:20" x14ac:dyDescent="0.25">
      <c r="I399" s="43"/>
      <c r="N399"/>
      <c r="O399" s="43"/>
      <c r="P399"/>
      <c r="Q399"/>
      <c r="R399"/>
      <c r="S399"/>
      <c r="T399"/>
    </row>
    <row r="400" spans="9:20" x14ac:dyDescent="0.25">
      <c r="I400" s="43"/>
      <c r="N400"/>
      <c r="O400" s="43"/>
      <c r="P400"/>
      <c r="Q400"/>
      <c r="R400"/>
      <c r="S400"/>
      <c r="T400"/>
    </row>
    <row r="401" spans="9:20" x14ac:dyDescent="0.25">
      <c r="I401" s="43"/>
      <c r="N401"/>
      <c r="O401" s="43"/>
      <c r="P401"/>
      <c r="Q401"/>
      <c r="R401"/>
      <c r="S401"/>
      <c r="T401"/>
    </row>
    <row r="402" spans="9:20" x14ac:dyDescent="0.25">
      <c r="I402" s="43"/>
      <c r="N402"/>
      <c r="O402" s="43"/>
      <c r="P402"/>
      <c r="Q402"/>
      <c r="R402"/>
      <c r="S402"/>
      <c r="T402"/>
    </row>
    <row r="403" spans="9:20" x14ac:dyDescent="0.25">
      <c r="I403" s="43"/>
      <c r="N403"/>
      <c r="O403" s="43"/>
      <c r="P403"/>
      <c r="Q403"/>
      <c r="R403"/>
      <c r="S403"/>
      <c r="T403"/>
    </row>
    <row r="404" spans="9:20" x14ac:dyDescent="0.25">
      <c r="I404" s="43"/>
      <c r="N404"/>
      <c r="O404" s="43"/>
      <c r="P404"/>
      <c r="Q404"/>
      <c r="R404"/>
      <c r="S404"/>
      <c r="T404"/>
    </row>
    <row r="405" spans="9:20" x14ac:dyDescent="0.25">
      <c r="I405" s="43"/>
      <c r="N405"/>
      <c r="O405" s="43"/>
      <c r="P405"/>
      <c r="Q405"/>
      <c r="R405"/>
      <c r="S405"/>
      <c r="T405"/>
    </row>
    <row r="406" spans="9:20" x14ac:dyDescent="0.25">
      <c r="I406" s="43"/>
      <c r="N406"/>
      <c r="O406" s="43"/>
      <c r="P406"/>
      <c r="Q406"/>
      <c r="R406"/>
      <c r="S406"/>
      <c r="T406"/>
    </row>
    <row r="407" spans="9:20" x14ac:dyDescent="0.25">
      <c r="I407" s="43"/>
      <c r="N407"/>
      <c r="O407" s="43"/>
      <c r="P407"/>
      <c r="Q407"/>
      <c r="R407"/>
      <c r="S407"/>
      <c r="T407"/>
    </row>
    <row r="408" spans="9:20" x14ac:dyDescent="0.25">
      <c r="I408" s="43"/>
      <c r="N408"/>
      <c r="O408" s="43"/>
      <c r="P408"/>
      <c r="Q408"/>
      <c r="R408"/>
      <c r="S408"/>
      <c r="T408"/>
    </row>
    <row r="409" spans="9:20" x14ac:dyDescent="0.25">
      <c r="I409" s="43"/>
      <c r="N409"/>
      <c r="O409" s="43"/>
      <c r="P409"/>
      <c r="Q409"/>
      <c r="R409"/>
      <c r="S409"/>
      <c r="T409"/>
    </row>
    <row r="410" spans="9:20" x14ac:dyDescent="0.25">
      <c r="I410" s="43"/>
      <c r="N410"/>
      <c r="O410" s="43"/>
      <c r="P410"/>
      <c r="Q410"/>
      <c r="R410"/>
      <c r="S410"/>
      <c r="T410"/>
    </row>
    <row r="411" spans="9:20" x14ac:dyDescent="0.25">
      <c r="I411" s="43"/>
      <c r="N411"/>
      <c r="O411" s="43"/>
      <c r="P411"/>
      <c r="Q411"/>
      <c r="R411"/>
      <c r="S411"/>
      <c r="T411"/>
    </row>
    <row r="412" spans="9:20" x14ac:dyDescent="0.25">
      <c r="I412" s="43"/>
      <c r="N412"/>
      <c r="O412" s="43"/>
      <c r="P412"/>
      <c r="Q412"/>
      <c r="R412"/>
      <c r="S412"/>
      <c r="T412"/>
    </row>
    <row r="413" spans="9:20" x14ac:dyDescent="0.25">
      <c r="I413" s="43"/>
      <c r="N413"/>
      <c r="O413" s="43"/>
      <c r="P413"/>
      <c r="Q413"/>
      <c r="R413"/>
      <c r="S413"/>
      <c r="T413"/>
    </row>
    <row r="414" spans="9:20" x14ac:dyDescent="0.25">
      <c r="I414" s="43"/>
      <c r="N414"/>
      <c r="O414" s="43"/>
      <c r="P414"/>
      <c r="Q414"/>
      <c r="R414"/>
      <c r="S414"/>
      <c r="T414"/>
    </row>
    <row r="415" spans="9:20" x14ac:dyDescent="0.25">
      <c r="I415" s="43"/>
      <c r="N415"/>
      <c r="O415" s="43"/>
      <c r="P415"/>
      <c r="Q415"/>
      <c r="R415"/>
      <c r="S415"/>
      <c r="T415"/>
    </row>
    <row r="416" spans="9:20" x14ac:dyDescent="0.25">
      <c r="I416" s="43"/>
      <c r="N416"/>
      <c r="O416" s="43"/>
      <c r="P416"/>
      <c r="Q416"/>
      <c r="R416"/>
      <c r="S416"/>
      <c r="T416"/>
    </row>
    <row r="417" spans="9:20" x14ac:dyDescent="0.25">
      <c r="I417" s="43"/>
      <c r="N417"/>
      <c r="O417" s="43"/>
      <c r="P417"/>
      <c r="Q417"/>
      <c r="R417"/>
      <c r="S417"/>
      <c r="T417"/>
    </row>
    <row r="418" spans="9:20" x14ac:dyDescent="0.25">
      <c r="I418" s="43"/>
      <c r="N418"/>
      <c r="O418" s="43"/>
      <c r="P418"/>
      <c r="Q418"/>
      <c r="R418"/>
      <c r="S418"/>
      <c r="T418"/>
    </row>
    <row r="419" spans="9:20" x14ac:dyDescent="0.25">
      <c r="I419" s="43"/>
      <c r="N419"/>
      <c r="O419" s="43"/>
      <c r="P419"/>
      <c r="Q419"/>
      <c r="R419"/>
      <c r="S419"/>
      <c r="T419"/>
    </row>
    <row r="420" spans="9:20" x14ac:dyDescent="0.25">
      <c r="I420" s="43"/>
      <c r="N420"/>
      <c r="O420" s="43"/>
      <c r="P420"/>
      <c r="Q420"/>
      <c r="R420"/>
      <c r="S420"/>
      <c r="T420"/>
    </row>
    <row r="421" spans="9:20" x14ac:dyDescent="0.25">
      <c r="I421" s="43"/>
      <c r="N421"/>
      <c r="O421" s="43"/>
      <c r="P421"/>
      <c r="Q421"/>
      <c r="R421"/>
      <c r="S421"/>
      <c r="T421"/>
    </row>
    <row r="422" spans="9:20" x14ac:dyDescent="0.25">
      <c r="I422" s="43"/>
      <c r="N422"/>
      <c r="O422" s="43"/>
      <c r="P422"/>
      <c r="Q422"/>
      <c r="R422"/>
      <c r="S422"/>
      <c r="T422"/>
    </row>
    <row r="423" spans="9:20" x14ac:dyDescent="0.25">
      <c r="I423" s="43"/>
      <c r="N423"/>
      <c r="O423" s="43"/>
      <c r="P423"/>
      <c r="Q423"/>
      <c r="R423"/>
      <c r="S423"/>
      <c r="T423"/>
    </row>
    <row r="424" spans="9:20" x14ac:dyDescent="0.25">
      <c r="I424" s="43"/>
    </row>
    <row r="425" spans="9:20" x14ac:dyDescent="0.25">
      <c r="I425" s="43"/>
    </row>
    <row r="426" spans="9:20" x14ac:dyDescent="0.25">
      <c r="I426" s="43"/>
    </row>
    <row r="427" spans="9:20" x14ac:dyDescent="0.25">
      <c r="I427" s="43"/>
    </row>
    <row r="428" spans="9:20" x14ac:dyDescent="0.25">
      <c r="I428" s="43"/>
    </row>
    <row r="429" spans="9:20" x14ac:dyDescent="0.25">
      <c r="I429" s="43"/>
    </row>
  </sheetData>
  <mergeCells count="1">
    <mergeCell ref="H5:T5"/>
  </mergeCells>
  <conditionalFormatting sqref="K53:N55">
    <cfRule type="expression" dxfId="14" priority="3">
      <formula>COUNTIF($K53,2)</formula>
    </cfRule>
  </conditionalFormatting>
  <conditionalFormatting sqref="L12:W47">
    <cfRule type="cellIs" dxfId="13" priority="2" operator="lessThan">
      <formula>0</formula>
    </cfRule>
  </conditionalFormatting>
  <conditionalFormatting sqref="L12:X47">
    <cfRule type="cellIs" dxfId="12" priority="1" operator="equal">
      <formula>0</formula>
    </cfRule>
  </conditionalFormatting>
  <conditionalFormatting sqref="K9:V9">
    <cfRule type="cellIs" dxfId="11" priority="28" operator="greaterThan">
      <formula>$X$7</formula>
    </cfRule>
    <cfRule type="cellIs" dxfId="10" priority="29" operator="between">
      <formula>$X$8</formula>
      <formula>$Z$8</formula>
    </cfRule>
    <cfRule type="cellIs" dxfId="9" priority="30" operator="lessThan">
      <formula>$X$9</formula>
    </cfRule>
  </conditionalFormatting>
  <dataValidations count="2">
    <dataValidation type="list" allowBlank="1" showInputMessage="1" showErrorMessage="1" sqref="I12:I47" xr:uid="{6114C831-D107-439C-BBA9-0F2EEB31FF93}">
      <formula1>INDIRECT("ItemRef[Item]")</formula1>
    </dataValidation>
    <dataValidation type="list" allowBlank="1" showInputMessage="1" showErrorMessage="1" sqref="C12:C47" xr:uid="{5DDEB97E-5E96-4C4D-ABE7-317898704513}">
      <formula1>list_src_name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Refresh_Exp_Plan">
                <anchor moveWithCells="1" sizeWithCells="1">
                  <from>
                    <xdr:col>1</xdr:col>
                    <xdr:colOff>514350</xdr:colOff>
                    <xdr:row>4</xdr:row>
                    <xdr:rowOff>19050</xdr:rowOff>
                  </from>
                  <to>
                    <xdr:col>1</xdr:col>
                    <xdr:colOff>1800225</xdr:colOff>
                    <xdr:row>7</xdr:row>
                    <xdr:rowOff>123825</xdr:rowOff>
                  </to>
                </anchor>
              </controlPr>
            </control>
          </mc:Choice>
        </mc:AlternateContent>
        <mc:AlternateContent xmlns:mc="http://schemas.openxmlformats.org/markup-compatibility/2006">
          <mc:Choice Requires="x14">
            <control shapeId="93186" r:id="rId5" name="Button 2">
              <controlPr defaultSize="0" print="0" autoFill="0" autoPict="0" macro="[0]!Refresh_Summary">
                <anchor moveWithCells="1" sizeWithCells="1">
                  <from>
                    <xdr:col>1</xdr:col>
                    <xdr:colOff>514350</xdr:colOff>
                    <xdr:row>8</xdr:row>
                    <xdr:rowOff>123825</xdr:rowOff>
                  </from>
                  <to>
                    <xdr:col>1</xdr:col>
                    <xdr:colOff>1733550</xdr:colOff>
                    <xdr:row>11</xdr:row>
                    <xdr:rowOff>9525</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D6C4A-43A6-4014-9019-FDA4BD449AFA}">
  <sheetPr codeName="Sheet15">
    <tabColor theme="9" tint="0.39997558519241921"/>
  </sheetPr>
  <dimension ref="B1:FR151"/>
  <sheetViews>
    <sheetView workbookViewId="0">
      <pane xSplit="4" topLeftCell="E1" activePane="topRight" state="frozen"/>
      <selection activeCell="J9" sqref="J9"/>
      <selection pane="topRight" activeCell="L18" sqref="L18"/>
    </sheetView>
  </sheetViews>
  <sheetFormatPr defaultColWidth="12.7109375" defaultRowHeight="15" outlineLevelCol="1" x14ac:dyDescent="0.25"/>
  <cols>
    <col min="1" max="1" width="1.85546875" customWidth="1"/>
    <col min="2" max="2" width="12" customWidth="1"/>
    <col min="3" max="3" width="16.140625" customWidth="1"/>
    <col min="4" max="4" width="4.28515625" customWidth="1"/>
    <col min="5" max="6" width="12.7109375" customWidth="1" outlineLevel="1"/>
    <col min="7" max="9" width="5.7109375" customWidth="1" outlineLevel="1"/>
    <col min="10" max="10" width="33.7109375" customWidth="1"/>
    <col min="11" max="11" width="26.140625" customWidth="1"/>
    <col min="12" max="12" width="32" customWidth="1"/>
    <col min="13" max="13" width="10.5703125" style="1" bestFit="1" customWidth="1"/>
    <col min="14" max="14" width="20.5703125" style="1" bestFit="1" customWidth="1"/>
    <col min="15" max="15" width="17.28515625" style="1" bestFit="1" customWidth="1"/>
    <col min="16" max="16" width="25" style="1" bestFit="1" customWidth="1"/>
    <col min="17" max="17" width="11.7109375" style="1" bestFit="1" customWidth="1"/>
    <col min="18" max="18" width="26.85546875" style="1" bestFit="1" customWidth="1"/>
    <col min="19" max="25" width="10.7109375" style="1" customWidth="1"/>
    <col min="26" max="26" width="13.710937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176</v>
      </c>
      <c r="C2" s="72"/>
    </row>
    <row r="3" spans="2:174" s="71" customFormat="1" x14ac:dyDescent="0.25">
      <c r="C3" s="72"/>
    </row>
    <row r="4" spans="2:174" ht="15.75" x14ac:dyDescent="0.25">
      <c r="X4" s="61"/>
      <c r="Y4"/>
      <c r="Z4" s="70"/>
      <c r="AA4" s="70"/>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15.75" x14ac:dyDescent="0.25">
      <c r="H5" s="366"/>
      <c r="I5" s="366"/>
      <c r="J5" s="366"/>
      <c r="K5" s="366"/>
      <c r="L5" s="366"/>
      <c r="M5" s="366"/>
      <c r="N5" s="366"/>
      <c r="O5" s="366"/>
      <c r="P5" s="366"/>
      <c r="Q5" s="366"/>
      <c r="R5" s="366"/>
      <c r="S5" s="366"/>
      <c r="T5" s="366"/>
      <c r="V5" s="15"/>
      <c r="W5" s="15"/>
      <c r="X5" s="67" t="s">
        <v>168</v>
      </c>
      <c r="Y5" s="18">
        <v>100</v>
      </c>
      <c r="Z5" s="18"/>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5.75" x14ac:dyDescent="0.25">
      <c r="H6" s="63"/>
      <c r="I6" s="63"/>
      <c r="J6" s="63"/>
      <c r="K6" s="63"/>
      <c r="L6" s="63"/>
      <c r="M6" s="63"/>
      <c r="N6" s="63"/>
      <c r="O6" s="63"/>
      <c r="P6" s="63"/>
      <c r="Q6" s="63"/>
      <c r="R6" s="63"/>
      <c r="S6" s="63"/>
      <c r="T6" s="63"/>
      <c r="V6" s="15"/>
      <c r="W6" s="15"/>
      <c r="X6" s="67"/>
      <c r="Y6" s="18"/>
      <c r="Z6" s="18"/>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5.75" x14ac:dyDescent="0.25">
      <c r="K7" s="18"/>
      <c r="L7" s="18"/>
      <c r="M7" s="18"/>
      <c r="N7" s="18"/>
      <c r="O7" s="18"/>
      <c r="P7" s="18"/>
      <c r="Q7" s="18"/>
      <c r="R7" s="18"/>
      <c r="S7" s="18"/>
      <c r="T7" s="18"/>
      <c r="U7" s="18"/>
      <c r="V7" s="18"/>
      <c r="W7" s="15"/>
      <c r="X7" s="67"/>
      <c r="Y7" s="18"/>
      <c r="Z7" s="18"/>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15.75" x14ac:dyDescent="0.25">
      <c r="M8"/>
      <c r="N8"/>
      <c r="O8"/>
      <c r="P8"/>
      <c r="Q8"/>
      <c r="R8"/>
      <c r="S8"/>
      <c r="T8"/>
      <c r="U8"/>
      <c r="V8"/>
      <c r="W8" s="63"/>
      <c r="X8" s="66" t="s">
        <v>167</v>
      </c>
      <c r="Y8" s="18">
        <v>0</v>
      </c>
      <c r="Z8" s="18">
        <v>100</v>
      </c>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15.75" x14ac:dyDescent="0.25">
      <c r="K9" s="65"/>
      <c r="L9" s="65"/>
      <c r="M9" s="65"/>
      <c r="N9" s="65"/>
      <c r="O9" s="65"/>
      <c r="P9" s="65"/>
      <c r="Q9" s="65"/>
      <c r="R9" s="65"/>
      <c r="S9" s="65"/>
      <c r="T9" s="65"/>
      <c r="U9" s="65"/>
      <c r="V9" s="65"/>
      <c r="W9" s="62"/>
      <c r="X9" s="64" t="s">
        <v>166</v>
      </c>
      <c r="Y9" s="18">
        <v>100</v>
      </c>
      <c r="Z9" s="18"/>
      <c r="AA9" s="63"/>
      <c r="AB9" s="62"/>
      <c r="AC9" s="62"/>
      <c r="AD9" s="62"/>
      <c r="AE9" s="62"/>
      <c r="AF9" s="62"/>
      <c r="AG9" s="62"/>
      <c r="AH9" s="63"/>
      <c r="AJ9" s="62"/>
      <c r="AK9" s="62"/>
      <c r="AL9" s="62"/>
      <c r="AM9" s="62"/>
      <c r="AN9" s="62"/>
      <c r="AO9" s="62"/>
      <c r="AP9" s="62"/>
      <c r="AQ9" s="62"/>
      <c r="AR9" s="62"/>
      <c r="AS9" s="62"/>
      <c r="AT9" s="62"/>
      <c r="AU9" s="62"/>
      <c r="AV9" s="63"/>
      <c r="AX9" s="62"/>
      <c r="AY9" s="62"/>
      <c r="AZ9" s="62"/>
      <c r="BA9" s="62"/>
      <c r="BB9" s="62"/>
      <c r="BC9" s="62"/>
      <c r="BD9" s="62"/>
      <c r="BE9" s="62"/>
      <c r="BF9" s="62"/>
      <c r="BG9" s="62"/>
      <c r="BH9" s="62"/>
      <c r="BI9" s="62"/>
      <c r="BJ9" s="63"/>
      <c r="BL9" s="62"/>
      <c r="BM9" s="62"/>
      <c r="BN9" s="62"/>
      <c r="BO9" s="62"/>
      <c r="BP9" s="62"/>
      <c r="BQ9" s="62"/>
      <c r="BR9" s="62"/>
      <c r="BS9" s="62"/>
      <c r="BT9" s="62"/>
      <c r="BU9" s="62"/>
      <c r="BV9" s="62"/>
      <c r="BW9" s="62"/>
      <c r="BX9" s="63"/>
      <c r="BZ9" s="62"/>
      <c r="CA9" s="62"/>
      <c r="CB9" s="62"/>
      <c r="CC9" s="62"/>
      <c r="CD9" s="62"/>
      <c r="CE9" s="62"/>
      <c r="CF9" s="62"/>
      <c r="CG9" s="62"/>
      <c r="CH9" s="62"/>
      <c r="CI9" s="62"/>
      <c r="CJ9" s="62"/>
      <c r="CK9" s="62"/>
      <c r="CL9" s="63"/>
      <c r="CN9" s="62"/>
      <c r="CO9" s="62"/>
      <c r="CP9" s="62"/>
      <c r="CQ9" s="62"/>
      <c r="CR9" s="62"/>
      <c r="CS9" s="62"/>
      <c r="CT9" s="62"/>
      <c r="CU9" s="62"/>
      <c r="CV9" s="62"/>
      <c r="CW9" s="62"/>
      <c r="CX9" s="62"/>
      <c r="CY9" s="62"/>
      <c r="CZ9" s="63"/>
      <c r="DB9" s="62"/>
      <c r="DC9" s="62"/>
      <c r="DD9" s="62"/>
      <c r="DE9" s="62"/>
      <c r="DF9" s="62"/>
      <c r="DG9" s="62"/>
      <c r="DH9" s="62"/>
      <c r="DI9" s="62"/>
      <c r="DJ9" s="62"/>
      <c r="DK9" s="62"/>
      <c r="DL9" s="62"/>
      <c r="DM9" s="62"/>
      <c r="DN9" s="63"/>
      <c r="DP9" s="62"/>
      <c r="DQ9" s="62"/>
      <c r="DR9" s="62"/>
      <c r="DS9" s="62"/>
      <c r="DT9" s="62"/>
      <c r="DU9" s="62"/>
      <c r="DV9" s="62"/>
      <c r="DW9" s="62"/>
      <c r="DX9" s="62"/>
      <c r="DY9" s="62"/>
      <c r="DZ9" s="62"/>
      <c r="EA9" s="62"/>
      <c r="EB9" s="63"/>
      <c r="ED9" s="62"/>
      <c r="EE9" s="62"/>
      <c r="EF9" s="62"/>
      <c r="EG9" s="62"/>
      <c r="EH9" s="62"/>
      <c r="EI9" s="62"/>
      <c r="EJ9" s="62"/>
      <c r="EK9" s="62"/>
      <c r="EL9" s="62"/>
      <c r="EM9" s="62"/>
      <c r="EN9" s="62"/>
      <c r="EO9" s="62"/>
      <c r="EP9" s="63"/>
      <c r="ER9" s="62"/>
      <c r="ES9" s="62"/>
      <c r="ET9" s="62"/>
      <c r="EU9" s="62"/>
      <c r="EV9" s="62"/>
      <c r="EW9" s="62"/>
      <c r="EX9" s="62"/>
      <c r="EY9" s="62"/>
      <c r="EZ9" s="62"/>
      <c r="FA9" s="62"/>
      <c r="FB9" s="62"/>
      <c r="FC9" s="62"/>
      <c r="FD9" s="63"/>
      <c r="FF9" s="62"/>
      <c r="FG9" s="62"/>
      <c r="FH9" s="62"/>
      <c r="FI9" s="62"/>
      <c r="FJ9" s="62"/>
      <c r="FK9" s="62"/>
      <c r="FL9" s="62"/>
      <c r="FM9" s="62"/>
      <c r="FN9" s="62"/>
      <c r="FO9" s="62"/>
      <c r="FP9" s="62"/>
      <c r="FQ9" s="62"/>
      <c r="FR9" s="63"/>
    </row>
    <row r="10" spans="2:174" x14ac:dyDescent="0.25">
      <c r="V10"/>
      <c r="W10"/>
      <c r="Z10" s="1"/>
      <c r="AB10" s="1"/>
      <c r="AC10" s="1"/>
      <c r="AD10" s="1"/>
      <c r="AE10" s="1"/>
      <c r="AF10" s="1"/>
      <c r="AG10" s="1"/>
      <c r="AH10" s="1"/>
      <c r="AI10" s="1"/>
      <c r="AJ10" s="56"/>
      <c r="AM10" s="1"/>
      <c r="AN10" s="1"/>
      <c r="AO10" s="1"/>
      <c r="AP10" s="1"/>
      <c r="AQ10" s="1"/>
      <c r="AR10" s="1"/>
      <c r="AS10" s="1"/>
      <c r="AT10" s="1"/>
      <c r="AU10" s="1"/>
      <c r="AV10" s="1"/>
      <c r="AW10" s="1"/>
      <c r="AX10" s="56"/>
      <c r="AZ10" s="1"/>
      <c r="BA10" s="1"/>
      <c r="BB10" s="1"/>
      <c r="BC10" s="1"/>
      <c r="BD10" s="1"/>
      <c r="BE10" s="1"/>
      <c r="BF10" s="1"/>
      <c r="BG10" s="1"/>
      <c r="BH10" s="1"/>
      <c r="BI10" s="1"/>
      <c r="BJ10" s="1"/>
      <c r="BK10" s="1"/>
      <c r="BL10" s="56"/>
      <c r="BN10" s="1"/>
      <c r="BO10" s="1"/>
      <c r="BP10" s="1"/>
      <c r="BQ10" s="1"/>
      <c r="BR10" s="1"/>
      <c r="BS10" s="1"/>
      <c r="BT10" s="1"/>
      <c r="BU10" s="1"/>
      <c r="BV10" s="1"/>
      <c r="BW10" s="1"/>
      <c r="BX10" s="1"/>
      <c r="BY10" s="1"/>
      <c r="BZ10" s="56"/>
    </row>
    <row r="11" spans="2:174" ht="15.75" x14ac:dyDescent="0.25">
      <c r="E11" s="18" t="s">
        <v>255</v>
      </c>
      <c r="F11" s="18" t="s">
        <v>165</v>
      </c>
      <c r="G11" s="18" t="s">
        <v>164</v>
      </c>
      <c r="H11" s="18" t="s">
        <v>163</v>
      </c>
      <c r="I11" s="18" t="s">
        <v>175</v>
      </c>
      <c r="J11" s="18" t="s">
        <v>19</v>
      </c>
      <c r="K11" s="18" t="s">
        <v>174</v>
      </c>
      <c r="L11" s="18" t="s">
        <v>184</v>
      </c>
      <c r="M11" s="18" t="s">
        <v>161</v>
      </c>
      <c r="N11" s="62" t="s">
        <v>108</v>
      </c>
      <c r="O11" s="62" t="s">
        <v>109</v>
      </c>
      <c r="P11" s="62" t="s">
        <v>110</v>
      </c>
      <c r="Q11" s="62" t="s">
        <v>111</v>
      </c>
      <c r="R11" s="62" t="s">
        <v>112</v>
      </c>
      <c r="S11" s="62" t="s">
        <v>124</v>
      </c>
      <c r="T11" s="62" t="s">
        <v>160</v>
      </c>
      <c r="U11" s="62" t="s">
        <v>159</v>
      </c>
      <c r="V11" s="62" t="s">
        <v>158</v>
      </c>
      <c r="W11" s="62" t="s">
        <v>157</v>
      </c>
      <c r="X11" s="62" t="s">
        <v>156</v>
      </c>
      <c r="Y11" s="62" t="s">
        <v>113</v>
      </c>
      <c r="Z11" s="62" t="s">
        <v>18</v>
      </c>
      <c r="AA11" s="15"/>
      <c r="AB11" s="15"/>
      <c r="AC11" s="15"/>
      <c r="AD11" s="15"/>
      <c r="AE11" s="15"/>
      <c r="AF11" s="15"/>
      <c r="AG11" s="15"/>
      <c r="AH11" s="15"/>
      <c r="AI11" s="15"/>
      <c r="AJ11" s="15"/>
      <c r="AK11" s="15"/>
      <c r="AL11" s="15"/>
      <c r="AM11" s="60"/>
      <c r="AN11" s="56"/>
      <c r="AP11" s="1"/>
      <c r="AQ11" s="1"/>
      <c r="AR11" s="1"/>
      <c r="AS11" s="1"/>
      <c r="AT11" s="1"/>
      <c r="AU11" s="1"/>
      <c r="AV11" s="1"/>
      <c r="AW11" s="1"/>
      <c r="AX11" s="1"/>
      <c r="AY11" s="1"/>
      <c r="AZ11" s="1"/>
      <c r="BA11" s="1"/>
      <c r="BB11" s="56"/>
      <c r="BD11" s="1"/>
      <c r="BE11" s="1"/>
      <c r="BF11" s="1"/>
      <c r="BG11" s="1"/>
      <c r="BH11" s="1"/>
      <c r="BI11" s="1"/>
      <c r="BJ11" s="1"/>
      <c r="BK11" s="1"/>
      <c r="BL11" s="1"/>
      <c r="BM11" s="1"/>
      <c r="BN11" s="1"/>
      <c r="BO11" s="1"/>
      <c r="BP11" s="56"/>
      <c r="BR11" s="1"/>
      <c r="BS11" s="1"/>
      <c r="BT11" s="1"/>
      <c r="BU11" s="1"/>
      <c r="BV11" s="1"/>
      <c r="BW11" s="1"/>
      <c r="BX11" s="1"/>
      <c r="BY11" s="1"/>
      <c r="BZ11" s="1"/>
      <c r="CA11" s="1"/>
      <c r="CB11" s="1"/>
      <c r="CC11" s="1"/>
      <c r="CD11" s="56"/>
    </row>
    <row r="12" spans="2:174" ht="15.75" customHeight="1" x14ac:dyDescent="0.25">
      <c r="E12" s="55" t="s">
        <v>609</v>
      </c>
      <c r="F12" s="11">
        <v>2026</v>
      </c>
      <c r="G12" s="11">
        <v>1</v>
      </c>
      <c r="H12" s="11" t="s">
        <v>154</v>
      </c>
      <c r="I12" s="11">
        <v>4</v>
      </c>
      <c r="J12" t="str">
        <f>_xlfn.XLOOKUP(Shop_List[[#This Row],[Item]],item_ref[Item],item_ref[Account],"missing account",0)</f>
        <v>Office &amp; Computer Expense</v>
      </c>
      <c r="K12" t="s">
        <v>198</v>
      </c>
      <c r="L12" t="s">
        <v>173</v>
      </c>
      <c r="M12"/>
      <c r="N12" s="54"/>
      <c r="O12" s="54"/>
      <c r="P12" s="54"/>
      <c r="Q12" s="54"/>
      <c r="R12" s="54"/>
      <c r="S12" s="54"/>
      <c r="T12" s="54">
        <v>450</v>
      </c>
      <c r="U12" s="54"/>
      <c r="V12" s="54"/>
      <c r="W12" s="54"/>
      <c r="X12" s="54"/>
      <c r="Y12" s="54"/>
      <c r="Z12" s="54">
        <f>SUM(Shop_List[[#This Row],[Jan]:[Dec]])</f>
        <v>450</v>
      </c>
      <c r="AB12" s="59"/>
      <c r="AC12" s="59"/>
      <c r="AD12" s="59"/>
      <c r="AE12" s="59"/>
      <c r="AF12" s="59"/>
      <c r="AG12" s="59"/>
      <c r="AH12" s="59"/>
      <c r="AI12" s="59"/>
      <c r="AJ12" s="59"/>
      <c r="AK12" s="59"/>
      <c r="AL12" s="59"/>
      <c r="AN12" s="56"/>
      <c r="AP12" s="1"/>
      <c r="AQ12" s="1"/>
      <c r="AR12" s="1"/>
      <c r="AS12" s="1"/>
      <c r="AT12" s="1"/>
      <c r="AU12" s="1"/>
      <c r="AV12" s="1"/>
      <c r="AW12" s="1"/>
      <c r="AX12" s="1"/>
      <c r="AY12" s="1"/>
      <c r="AZ12" s="1"/>
      <c r="BA12" s="1"/>
      <c r="BB12" s="56"/>
      <c r="BD12" s="1"/>
      <c r="BE12" s="1"/>
      <c r="BF12" s="1"/>
      <c r="BG12" s="1"/>
      <c r="BH12" s="1"/>
      <c r="BI12" s="1"/>
      <c r="BJ12" s="1"/>
      <c r="BK12" s="1"/>
      <c r="BL12" s="1"/>
      <c r="BM12" s="1"/>
      <c r="BN12" s="1"/>
      <c r="BO12" s="1"/>
      <c r="BP12" s="56"/>
      <c r="BR12" s="1"/>
      <c r="BS12" s="1"/>
      <c r="BT12" s="1"/>
      <c r="BU12" s="1"/>
      <c r="BV12" s="1"/>
      <c r="BW12" s="1"/>
      <c r="BX12" s="1"/>
      <c r="BY12" s="1"/>
      <c r="BZ12" s="1"/>
      <c r="CA12" s="1"/>
      <c r="CB12" s="1"/>
      <c r="CC12" s="1"/>
      <c r="CD12" s="56"/>
    </row>
    <row r="13" spans="2:174" ht="15.75" customHeight="1" x14ac:dyDescent="0.25">
      <c r="E13" s="55" t="s">
        <v>609</v>
      </c>
      <c r="F13" s="11">
        <v>2026</v>
      </c>
      <c r="G13" s="11">
        <v>1</v>
      </c>
      <c r="H13" s="11" t="s">
        <v>154</v>
      </c>
      <c r="I13" s="11">
        <v>1</v>
      </c>
      <c r="J13" t="str">
        <f>_xlfn.XLOOKUP(Shop_List[[#This Row],[Item]],item_ref[Item],item_ref[Account],"missing account",0)</f>
        <v>Transportation Expense</v>
      </c>
      <c r="K13" t="s">
        <v>223</v>
      </c>
      <c r="L13" t="s">
        <v>172</v>
      </c>
      <c r="M13"/>
      <c r="N13" s="54"/>
      <c r="O13" s="54"/>
      <c r="P13" s="54"/>
      <c r="Q13" s="54"/>
      <c r="R13" s="54"/>
      <c r="S13" s="54">
        <v>65</v>
      </c>
      <c r="T13" s="54"/>
      <c r="U13" s="54"/>
      <c r="V13" s="54"/>
      <c r="W13" s="54"/>
      <c r="X13" s="54"/>
      <c r="Y13" s="54"/>
      <c r="Z13" s="54">
        <f>SUM(Shop_List[[#This Row],[Jan]:[Dec]])</f>
        <v>65</v>
      </c>
      <c r="AB13">
        <v>62.63</v>
      </c>
      <c r="AD13" s="59"/>
      <c r="AE13" s="59"/>
      <c r="AF13" s="59"/>
      <c r="AG13" s="59"/>
      <c r="AH13" s="59"/>
      <c r="AI13" s="59"/>
      <c r="AJ13" s="59"/>
      <c r="AK13" s="59"/>
      <c r="AL13" s="59"/>
      <c r="AN13" s="56"/>
      <c r="AP13" s="1"/>
      <c r="AQ13" s="1"/>
      <c r="AR13" s="1"/>
      <c r="AS13" s="1"/>
      <c r="AT13" s="1"/>
      <c r="AU13" s="1"/>
      <c r="AV13" s="1"/>
      <c r="AW13" s="1"/>
      <c r="AX13" s="1"/>
      <c r="AY13" s="1"/>
      <c r="AZ13" s="1"/>
      <c r="BA13" s="1"/>
      <c r="BB13" s="56"/>
      <c r="BD13" s="1"/>
      <c r="BE13" s="1"/>
      <c r="BF13" s="1"/>
      <c r="BG13" s="1"/>
      <c r="BH13" s="1"/>
      <c r="BI13" s="1"/>
      <c r="BJ13" s="1"/>
      <c r="BK13" s="1"/>
      <c r="BL13" s="1"/>
      <c r="BM13" s="1"/>
      <c r="BN13" s="1"/>
      <c r="BO13" s="1"/>
      <c r="BP13" s="56"/>
      <c r="BR13" s="1"/>
      <c r="BS13" s="1"/>
      <c r="BT13" s="1"/>
      <c r="BU13" s="1"/>
      <c r="BV13" s="1"/>
      <c r="BW13" s="1"/>
      <c r="BX13" s="1"/>
      <c r="BY13" s="1"/>
      <c r="BZ13" s="1"/>
      <c r="CA13" s="1"/>
      <c r="CB13" s="1"/>
      <c r="CC13" s="1"/>
      <c r="CD13" s="56"/>
    </row>
    <row r="14" spans="2:174" ht="15.75" customHeight="1" x14ac:dyDescent="0.25">
      <c r="E14" s="55" t="s">
        <v>609</v>
      </c>
      <c r="F14" s="11">
        <v>2026</v>
      </c>
      <c r="G14" s="11">
        <v>1</v>
      </c>
      <c r="H14" s="11" t="s">
        <v>154</v>
      </c>
      <c r="I14" s="11">
        <v>1</v>
      </c>
      <c r="J14" t="str">
        <f>_xlfn.XLOOKUP(Shop_List[[#This Row],[Item]],item_ref[Item],item_ref[Account],"missing account",0)</f>
        <v>Office &amp; Computer Expense</v>
      </c>
      <c r="K14" t="s">
        <v>227</v>
      </c>
      <c r="L14" t="s">
        <v>243</v>
      </c>
      <c r="M14"/>
      <c r="N14" s="54"/>
      <c r="O14" s="54"/>
      <c r="P14" s="54"/>
      <c r="Q14" s="54"/>
      <c r="R14" s="54"/>
      <c r="S14" s="54"/>
      <c r="T14" s="54"/>
      <c r="U14" s="54"/>
      <c r="V14" s="54">
        <v>100</v>
      </c>
      <c r="W14" s="54"/>
      <c r="X14" s="54"/>
      <c r="Y14" s="54"/>
      <c r="Z14" s="54">
        <f>SUM(Shop_List[[#This Row],[Jan]:[Dec]])</f>
        <v>100</v>
      </c>
      <c r="AB14">
        <v>191.95</v>
      </c>
      <c r="AD14" s="59"/>
      <c r="AE14" s="59"/>
      <c r="AF14" s="59"/>
      <c r="AG14" s="59"/>
      <c r="AH14" s="59"/>
      <c r="AI14" s="59"/>
      <c r="AJ14" s="59"/>
      <c r="AK14" s="59"/>
      <c r="AL14" s="59"/>
      <c r="AN14" s="56"/>
      <c r="AP14" s="1"/>
      <c r="AQ14" s="1"/>
      <c r="AR14" s="1"/>
      <c r="AS14" s="1"/>
      <c r="AT14" s="1"/>
      <c r="AU14" s="1"/>
      <c r="AV14" s="1"/>
      <c r="AW14" s="1"/>
      <c r="AX14" s="1"/>
      <c r="AY14" s="1"/>
      <c r="AZ14" s="1"/>
      <c r="BA14" s="1"/>
      <c r="BB14" s="56"/>
      <c r="BD14" s="1"/>
      <c r="BE14" s="1"/>
      <c r="BF14" s="1"/>
      <c r="BG14" s="1"/>
      <c r="BH14" s="1"/>
      <c r="BI14" s="1"/>
      <c r="BJ14" s="1"/>
      <c r="BK14" s="1"/>
      <c r="BL14" s="1"/>
      <c r="BM14" s="1"/>
      <c r="BN14" s="1"/>
      <c r="BO14" s="1"/>
      <c r="BP14" s="56"/>
      <c r="BR14" s="1"/>
      <c r="BS14" s="1"/>
      <c r="BT14" s="1"/>
      <c r="BU14" s="1"/>
      <c r="BV14" s="1"/>
      <c r="BW14" s="1"/>
      <c r="BX14" s="1"/>
      <c r="BY14" s="1"/>
      <c r="BZ14" s="1"/>
      <c r="CA14" s="1"/>
      <c r="CB14" s="1"/>
      <c r="CC14" s="1"/>
      <c r="CD14" s="56"/>
    </row>
    <row r="15" spans="2:174" ht="15.75" customHeight="1" x14ac:dyDescent="0.25">
      <c r="E15" s="55" t="s">
        <v>609</v>
      </c>
      <c r="F15" s="11">
        <v>2026</v>
      </c>
      <c r="G15" s="11">
        <v>1</v>
      </c>
      <c r="H15" s="11" t="s">
        <v>154</v>
      </c>
      <c r="I15" s="11">
        <v>1</v>
      </c>
      <c r="J15" t="str">
        <f>_xlfn.XLOOKUP(Shop_List[[#This Row],[Item]],item_ref[Item],item_ref[Account],"missing account",0)</f>
        <v>Connect Expense</v>
      </c>
      <c r="K15" t="s">
        <v>213</v>
      </c>
      <c r="L15" t="s">
        <v>170</v>
      </c>
      <c r="M15"/>
      <c r="N15" s="54"/>
      <c r="O15" s="54"/>
      <c r="P15" s="54"/>
      <c r="Q15" s="54"/>
      <c r="R15" s="54"/>
      <c r="S15" s="54"/>
      <c r="T15" s="54"/>
      <c r="U15" s="54"/>
      <c r="V15" s="54"/>
      <c r="W15" s="54"/>
      <c r="X15" s="54">
        <v>50</v>
      </c>
      <c r="Y15" s="54"/>
      <c r="Z15" s="54">
        <f>SUM(Shop_List[[#This Row],[Jan]:[Dec]])</f>
        <v>50</v>
      </c>
      <c r="AB15">
        <v>76.459999999999994</v>
      </c>
      <c r="AD15" s="59"/>
      <c r="AE15" s="59"/>
      <c r="AF15" s="59"/>
      <c r="AG15" s="59"/>
      <c r="AH15" s="59"/>
      <c r="AI15" s="59"/>
      <c r="AJ15" s="59"/>
      <c r="AK15" s="59"/>
      <c r="AL15" s="59"/>
      <c r="AN15" s="56"/>
      <c r="AP15" s="1"/>
      <c r="AQ15" s="1"/>
      <c r="AR15" s="1"/>
      <c r="AS15" s="1"/>
      <c r="AT15" s="1"/>
      <c r="AU15" s="1"/>
      <c r="AV15" s="1"/>
      <c r="AW15" s="1"/>
      <c r="AX15" s="1"/>
      <c r="AY15" s="1"/>
      <c r="AZ15" s="1"/>
      <c r="BA15" s="1"/>
      <c r="BB15" s="56"/>
      <c r="BD15" s="1"/>
      <c r="BE15" s="1"/>
      <c r="BF15" s="1"/>
      <c r="BG15" s="1"/>
      <c r="BH15" s="1"/>
      <c r="BI15" s="1"/>
      <c r="BJ15" s="1"/>
      <c r="BK15" s="1"/>
      <c r="BL15" s="1"/>
      <c r="BM15" s="1"/>
      <c r="BN15" s="1"/>
      <c r="BO15" s="1"/>
      <c r="BP15" s="56"/>
      <c r="BR15" s="1"/>
      <c r="BS15" s="1"/>
      <c r="BT15" s="1"/>
      <c r="BU15" s="1"/>
      <c r="BV15" s="1"/>
      <c r="BW15" s="1"/>
      <c r="BX15" s="1"/>
      <c r="BY15" s="1"/>
      <c r="BZ15" s="1"/>
      <c r="CA15" s="1"/>
      <c r="CB15" s="1"/>
      <c r="CC15" s="1"/>
      <c r="CD15" s="56"/>
    </row>
    <row r="16" spans="2:174" ht="15.75" customHeight="1" x14ac:dyDescent="0.25">
      <c r="E16" s="55" t="s">
        <v>609</v>
      </c>
      <c r="F16" s="11">
        <v>2026</v>
      </c>
      <c r="G16" s="11"/>
      <c r="H16" s="11"/>
      <c r="I16" s="11"/>
      <c r="J16" t="str">
        <f>_xlfn.XLOOKUP(Shop_List[[#This Row],[Item]],item_ref[Item],item_ref[Account],"missing account",0)</f>
        <v>Rent Expense</v>
      </c>
      <c r="K16" t="s">
        <v>132</v>
      </c>
      <c r="L16" t="s">
        <v>488</v>
      </c>
      <c r="M16"/>
      <c r="N16" s="54"/>
      <c r="O16" s="54"/>
      <c r="P16" s="54"/>
      <c r="Q16" s="54"/>
      <c r="R16" s="54"/>
      <c r="S16" s="54"/>
      <c r="T16" s="54"/>
      <c r="U16" s="54"/>
      <c r="V16" s="54"/>
      <c r="W16" s="54"/>
      <c r="X16" s="54"/>
      <c r="Y16" s="54"/>
      <c r="Z16" s="54">
        <f>SUM(Shop_List[[#This Row],[Jan]:[Dec]])</f>
        <v>0</v>
      </c>
      <c r="AB16">
        <v>0</v>
      </c>
      <c r="AD16" s="59"/>
      <c r="AE16" s="59"/>
      <c r="AF16" s="59"/>
      <c r="AG16" s="59"/>
      <c r="AH16" s="59"/>
      <c r="AI16" s="59"/>
      <c r="AJ16" s="59"/>
      <c r="AK16" s="59"/>
      <c r="AL16" s="59"/>
      <c r="AN16" s="56"/>
      <c r="AP16" s="1"/>
      <c r="AQ16" s="1"/>
      <c r="AR16" s="1"/>
      <c r="AS16" s="1"/>
      <c r="AT16" s="1"/>
      <c r="AU16" s="1"/>
      <c r="AV16" s="1"/>
      <c r="AW16" s="1"/>
      <c r="AX16" s="1"/>
      <c r="AY16" s="1"/>
      <c r="AZ16" s="1"/>
      <c r="BA16" s="1"/>
      <c r="BB16" s="56"/>
      <c r="BD16" s="1"/>
      <c r="BE16" s="1"/>
      <c r="BF16" s="1"/>
      <c r="BG16" s="1"/>
      <c r="BH16" s="1"/>
      <c r="BI16" s="1"/>
      <c r="BJ16" s="1"/>
      <c r="BK16" s="1"/>
      <c r="BL16" s="1"/>
      <c r="BM16" s="1"/>
      <c r="BN16" s="1"/>
      <c r="BO16" s="1"/>
      <c r="BP16" s="56"/>
      <c r="BR16" s="1"/>
      <c r="BS16" s="1"/>
      <c r="BT16" s="1"/>
      <c r="BU16" s="1"/>
      <c r="BV16" s="1"/>
      <c r="BW16" s="1"/>
      <c r="BX16" s="1"/>
      <c r="BY16" s="1"/>
      <c r="BZ16" s="1"/>
      <c r="CA16" s="1"/>
      <c r="CB16" s="1"/>
      <c r="CC16" s="1"/>
      <c r="CD16" s="56"/>
    </row>
    <row r="17" spans="5:80" ht="15.75" customHeight="1" x14ac:dyDescent="0.25">
      <c r="E17" s="55" t="s">
        <v>609</v>
      </c>
      <c r="F17" s="11">
        <v>2026</v>
      </c>
      <c r="G17" s="11"/>
      <c r="H17" s="11"/>
      <c r="I17" s="11"/>
      <c r="J17" t="str">
        <f>_xlfn.XLOOKUP(Shop_List[[#This Row],[Item]],item_ref[Item],item_ref[Account],"missing account",0)</f>
        <v>TV/Internet Expense</v>
      </c>
      <c r="K17" t="s">
        <v>146</v>
      </c>
      <c r="L17" t="s">
        <v>489</v>
      </c>
      <c r="M17"/>
      <c r="N17" s="54"/>
      <c r="O17" s="54"/>
      <c r="P17" s="54"/>
      <c r="Q17" s="54"/>
      <c r="R17" s="54"/>
      <c r="S17" s="54"/>
      <c r="T17" s="54"/>
      <c r="U17" s="54"/>
      <c r="V17" s="54"/>
      <c r="W17" s="54"/>
      <c r="X17" s="54"/>
      <c r="Y17" s="54"/>
      <c r="Z17" s="54">
        <f>SUM(Shop_List[[#This Row],[Jan]:[Dec]])</f>
        <v>0</v>
      </c>
      <c r="AB17">
        <f>SUM(AB13:AB16)</f>
        <v>331.03999999999996</v>
      </c>
      <c r="AC17" s="59"/>
      <c r="AD17" s="59"/>
      <c r="AE17" s="59"/>
      <c r="AF17" s="59"/>
      <c r="AG17" s="59"/>
      <c r="AH17" s="59"/>
      <c r="AI17" s="59"/>
      <c r="AJ17" s="59"/>
      <c r="AL17" s="56"/>
      <c r="AN17" s="1"/>
      <c r="AO17" s="1"/>
      <c r="AP17" s="1"/>
      <c r="AQ17" s="1"/>
      <c r="AR17" s="1"/>
      <c r="AS17" s="1"/>
      <c r="AT17" s="1"/>
      <c r="AU17" s="1"/>
      <c r="AV17" s="1"/>
      <c r="AW17" s="1"/>
      <c r="AX17" s="1"/>
      <c r="AY17" s="1"/>
      <c r="AZ17" s="56"/>
      <c r="BB17" s="1"/>
      <c r="BC17" s="1"/>
      <c r="BD17" s="1"/>
      <c r="BE17" s="1"/>
      <c r="BF17" s="1"/>
      <c r="BG17" s="1"/>
      <c r="BH17" s="1"/>
      <c r="BI17" s="1"/>
      <c r="BJ17" s="1"/>
      <c r="BK17" s="1"/>
      <c r="BL17" s="1"/>
      <c r="BM17" s="1"/>
      <c r="BN17" s="56"/>
      <c r="BP17" s="1"/>
      <c r="BQ17" s="1"/>
      <c r="BR17" s="1"/>
      <c r="BS17" s="1"/>
      <c r="BT17" s="1"/>
      <c r="BU17" s="1"/>
      <c r="BV17" s="1"/>
      <c r="BW17" s="1"/>
      <c r="BX17" s="1"/>
      <c r="BY17" s="1"/>
      <c r="BZ17" s="1"/>
      <c r="CA17" s="1"/>
      <c r="CB17" s="56"/>
    </row>
    <row r="18" spans="5:80" ht="15.75" customHeight="1" x14ac:dyDescent="0.25">
      <c r="E18" s="55" t="s">
        <v>609</v>
      </c>
      <c r="F18" s="11">
        <v>2026</v>
      </c>
      <c r="G18" s="11"/>
      <c r="H18" s="11"/>
      <c r="I18" s="11"/>
      <c r="J18" t="str">
        <f>_xlfn.XLOOKUP(Shop_List[[#This Row],[Item]],item_ref[Item],item_ref[Account],"missing account",0)</f>
        <v>Medical Expense</v>
      </c>
      <c r="K18" t="s">
        <v>247</v>
      </c>
      <c r="M18"/>
      <c r="N18" s="54"/>
      <c r="O18" s="54"/>
      <c r="P18" s="54"/>
      <c r="Q18" s="54"/>
      <c r="R18" s="54"/>
      <c r="S18" s="54"/>
      <c r="T18" s="54"/>
      <c r="U18" s="54"/>
      <c r="V18" s="54"/>
      <c r="W18" s="54">
        <v>750</v>
      </c>
      <c r="X18" s="54"/>
      <c r="Y18" s="54"/>
      <c r="Z18" s="54">
        <f>SUM(Shop_List[[#This Row],[Jan]:[Dec]])</f>
        <v>750</v>
      </c>
      <c r="AB18" s="59"/>
      <c r="AC18" s="59"/>
      <c r="AD18" s="59"/>
      <c r="AE18" s="59"/>
      <c r="AF18" s="59"/>
      <c r="AG18" s="59"/>
      <c r="AH18" s="59"/>
      <c r="AI18" s="59"/>
      <c r="AJ18" s="59"/>
      <c r="AL18" s="56"/>
      <c r="AN18" s="1"/>
      <c r="AO18" s="1"/>
      <c r="AP18" s="1"/>
      <c r="AQ18" s="1"/>
      <c r="AR18" s="1"/>
      <c r="AS18" s="1"/>
      <c r="AT18" s="1"/>
      <c r="AU18" s="1"/>
      <c r="AV18" s="1"/>
      <c r="AW18" s="1"/>
      <c r="AX18" s="1"/>
      <c r="AY18" s="1"/>
      <c r="AZ18" s="56"/>
      <c r="BB18" s="1"/>
      <c r="BC18" s="1"/>
      <c r="BD18" s="1"/>
      <c r="BE18" s="1"/>
      <c r="BF18" s="1"/>
      <c r="BG18" s="1"/>
      <c r="BH18" s="1"/>
      <c r="BI18" s="1"/>
      <c r="BJ18" s="1"/>
      <c r="BK18" s="1"/>
      <c r="BL18" s="1"/>
      <c r="BM18" s="1"/>
      <c r="BN18" s="56"/>
      <c r="BP18" s="1"/>
      <c r="BQ18" s="1"/>
      <c r="BR18" s="1"/>
      <c r="BS18" s="1"/>
      <c r="BT18" s="1"/>
      <c r="BU18" s="1"/>
      <c r="BV18" s="1"/>
      <c r="BW18" s="1"/>
      <c r="BX18" s="1"/>
      <c r="BY18" s="1"/>
      <c r="BZ18" s="1"/>
      <c r="CA18" s="1"/>
      <c r="CB18" s="56"/>
    </row>
    <row r="19" spans="5:80" x14ac:dyDescent="0.25">
      <c r="E19" s="55" t="s">
        <v>609</v>
      </c>
      <c r="F19" s="11">
        <v>2026</v>
      </c>
      <c r="G19" s="11"/>
      <c r="H19" s="11"/>
      <c r="I19" s="11"/>
      <c r="J19" t="str">
        <f>_xlfn.XLOOKUP(Shop_List[[#This Row],[Item]],item_ref[Item],item_ref[Account],"missing account",0)</f>
        <v>Medical Expense</v>
      </c>
      <c r="K19" t="s">
        <v>460</v>
      </c>
      <c r="M19"/>
      <c r="N19" s="54"/>
      <c r="O19" s="54"/>
      <c r="P19" s="54"/>
      <c r="Q19" s="54"/>
      <c r="R19" s="54"/>
      <c r="S19" s="54"/>
      <c r="T19" s="54"/>
      <c r="U19" s="54"/>
      <c r="V19" s="54"/>
      <c r="W19" s="54">
        <v>150</v>
      </c>
      <c r="X19" s="54"/>
      <c r="Y19" s="54"/>
      <c r="Z19" s="54">
        <f>SUM(Shop_List[[#This Row],[Jan]:[Dec]])</f>
        <v>150</v>
      </c>
      <c r="AB19" s="1"/>
      <c r="AC19" s="1"/>
      <c r="AD19" s="1"/>
      <c r="AE19" s="1"/>
      <c r="AF19" s="1"/>
      <c r="AG19" s="1"/>
      <c r="AH19" s="1"/>
      <c r="AI19" s="1"/>
      <c r="AJ19" s="1"/>
      <c r="AK19" s="1"/>
      <c r="AL19" s="56"/>
      <c r="AN19" s="1"/>
      <c r="AO19" s="1"/>
      <c r="AP19" s="1"/>
      <c r="AQ19" s="1"/>
      <c r="AR19" s="1"/>
      <c r="AS19" s="1"/>
      <c r="AT19" s="1"/>
      <c r="AU19" s="1"/>
      <c r="AV19" s="1"/>
      <c r="AW19" s="1"/>
      <c r="AX19" s="1"/>
      <c r="AY19" s="1"/>
      <c r="AZ19" s="56"/>
      <c r="BB19" s="1"/>
      <c r="BC19" s="1"/>
      <c r="BD19" s="1"/>
      <c r="BE19" s="1"/>
      <c r="BF19" s="1"/>
      <c r="BG19" s="1"/>
      <c r="BH19" s="1"/>
      <c r="BI19" s="1"/>
      <c r="BJ19" s="1"/>
      <c r="BK19" s="1"/>
      <c r="BL19" s="1"/>
      <c r="BM19" s="1"/>
      <c r="BN19" s="56"/>
      <c r="BP19" s="1"/>
      <c r="BQ19" s="1"/>
      <c r="BR19" s="1"/>
      <c r="BS19" s="1"/>
      <c r="BT19" s="1"/>
      <c r="BU19" s="1"/>
      <c r="BV19" s="1"/>
      <c r="BW19" s="1"/>
      <c r="BX19" s="1"/>
      <c r="BY19" s="1"/>
      <c r="BZ19" s="1"/>
      <c r="CA19" s="1"/>
      <c r="CB19" s="56"/>
    </row>
    <row r="20" spans="5:80" x14ac:dyDescent="0.25">
      <c r="M20" s="1" t="s">
        <v>130</v>
      </c>
      <c r="W20" s="54"/>
      <c r="X20" s="54"/>
      <c r="Y20" s="59"/>
      <c r="Z20" s="59"/>
      <c r="AL20" s="56"/>
      <c r="AN20" s="1"/>
      <c r="AO20" s="1"/>
      <c r="AP20" s="1"/>
      <c r="AQ20" s="1"/>
      <c r="AR20" s="1"/>
      <c r="AS20" s="1"/>
      <c r="AT20" s="1"/>
      <c r="AU20" s="1"/>
      <c r="AV20" s="1"/>
      <c r="AW20" s="1"/>
      <c r="AX20" s="1"/>
      <c r="AY20" s="1"/>
      <c r="AZ20" s="56"/>
      <c r="BB20" s="1"/>
      <c r="BC20" s="1"/>
      <c r="BD20" s="1"/>
      <c r="BE20" s="1"/>
      <c r="BF20" s="1"/>
      <c r="BG20" s="1"/>
      <c r="BH20" s="1"/>
      <c r="BI20" s="1"/>
      <c r="BJ20" s="1"/>
      <c r="BK20" s="1"/>
      <c r="BL20" s="1"/>
      <c r="BM20" s="1"/>
      <c r="BN20" s="56"/>
      <c r="BP20" s="1"/>
      <c r="BQ20" s="1"/>
      <c r="BR20" s="1"/>
      <c r="BS20" s="1"/>
      <c r="BT20" s="1"/>
      <c r="BU20" s="1"/>
      <c r="BV20" s="1"/>
      <c r="BW20" s="1"/>
      <c r="BX20" s="1"/>
      <c r="BY20" s="1"/>
      <c r="BZ20" s="1"/>
      <c r="CA20" s="1"/>
      <c r="CB20" s="56"/>
    </row>
    <row r="21" spans="5:80" ht="15.75" x14ac:dyDescent="0.25">
      <c r="W21" s="54"/>
      <c r="X21" s="54"/>
      <c r="Z21" s="1"/>
      <c r="AB21" s="58"/>
      <c r="AC21" s="58"/>
      <c r="AD21" s="58"/>
      <c r="AE21" s="58"/>
      <c r="AF21" s="58"/>
      <c r="AG21" s="58"/>
      <c r="AH21" s="58"/>
      <c r="AI21" s="58"/>
      <c r="AJ21" s="58"/>
      <c r="AK21" s="58"/>
      <c r="AL21" s="56"/>
      <c r="AN21" s="1"/>
      <c r="AO21" s="1"/>
      <c r="AP21" s="1"/>
      <c r="AQ21" s="1"/>
      <c r="AR21" s="1"/>
      <c r="AS21" s="1"/>
      <c r="AT21" s="1"/>
      <c r="AU21" s="1"/>
      <c r="AV21" s="1"/>
      <c r="AW21" s="1"/>
      <c r="AX21" s="1"/>
      <c r="AY21" s="1"/>
      <c r="AZ21" s="56"/>
      <c r="BB21" s="1"/>
      <c r="BC21" s="1"/>
      <c r="BD21" s="1"/>
      <c r="BE21" s="1"/>
      <c r="BF21" s="1"/>
      <c r="BG21" s="1"/>
      <c r="BH21" s="1"/>
      <c r="BI21" s="1"/>
      <c r="BJ21" s="1"/>
      <c r="BK21" s="1"/>
      <c r="BL21" s="1"/>
      <c r="BM21" s="1"/>
      <c r="BN21" s="56"/>
      <c r="BP21" s="1"/>
      <c r="BQ21" s="1"/>
      <c r="BR21" s="1"/>
      <c r="BS21" s="1"/>
      <c r="BT21" s="1"/>
      <c r="BU21" s="1"/>
      <c r="BV21" s="1"/>
      <c r="BW21" s="1"/>
      <c r="BX21" s="1"/>
      <c r="BY21" s="1"/>
      <c r="BZ21" s="1"/>
      <c r="CA21" s="1"/>
      <c r="CB21" s="56"/>
    </row>
    <row r="22" spans="5:80" x14ac:dyDescent="0.25">
      <c r="W22" s="54"/>
      <c r="X22" s="54"/>
      <c r="AB22" s="1"/>
      <c r="AC22" s="1"/>
      <c r="AD22" s="1"/>
      <c r="AE22" s="1"/>
      <c r="AF22" s="1"/>
      <c r="AG22" s="1"/>
      <c r="AH22" s="1"/>
      <c r="AI22" s="1"/>
      <c r="AJ22" s="1"/>
      <c r="AK22" s="1"/>
      <c r="AL22" s="56"/>
      <c r="AN22" s="1"/>
      <c r="AO22" s="1"/>
      <c r="AP22" s="1"/>
      <c r="AQ22" s="1"/>
      <c r="AR22" s="1"/>
      <c r="AS22" s="1"/>
      <c r="AT22" s="1"/>
      <c r="AU22" s="1"/>
      <c r="AV22" s="1"/>
      <c r="AW22" s="1"/>
      <c r="AX22" s="1"/>
      <c r="AY22" s="1"/>
      <c r="AZ22" s="56"/>
      <c r="BB22" s="1"/>
      <c r="BC22" s="1"/>
      <c r="BD22" s="1"/>
      <c r="BE22" s="1"/>
      <c r="BF22" s="1"/>
      <c r="BG22" s="1"/>
      <c r="BH22" s="1"/>
      <c r="BI22" s="1"/>
      <c r="BJ22" s="1"/>
      <c r="BK22" s="1"/>
      <c r="BL22" s="1"/>
      <c r="BM22" s="1"/>
      <c r="BN22" s="56"/>
      <c r="BP22" s="1"/>
      <c r="BQ22" s="1"/>
      <c r="BR22" s="1"/>
      <c r="BS22" s="1"/>
      <c r="BT22" s="1"/>
      <c r="BU22" s="1"/>
      <c r="BV22" s="1"/>
      <c r="BW22" s="1"/>
      <c r="BX22" s="1"/>
      <c r="BY22" s="1"/>
      <c r="BZ22" s="1"/>
      <c r="CA22" s="1"/>
      <c r="CB22" s="56"/>
    </row>
    <row r="23" spans="5:80" ht="15.75" x14ac:dyDescent="0.25">
      <c r="R23"/>
      <c r="W23" s="54"/>
      <c r="X23" s="54"/>
      <c r="Y23" s="58"/>
      <c r="Z23" s="58"/>
      <c r="AB23" s="1"/>
      <c r="AC23" s="1"/>
      <c r="AD23" s="1"/>
      <c r="AE23" s="1"/>
      <c r="AF23" s="1"/>
      <c r="AG23" s="1"/>
      <c r="AH23" s="1"/>
      <c r="AI23" s="1"/>
      <c r="AJ23" s="1"/>
      <c r="AK23" s="1"/>
      <c r="AL23" s="56"/>
      <c r="AN23" s="1"/>
      <c r="AO23" s="1"/>
      <c r="AP23" s="1"/>
      <c r="AQ23" s="1"/>
      <c r="AR23" s="1"/>
      <c r="AS23" s="1"/>
      <c r="AT23" s="1"/>
      <c r="AU23" s="1"/>
      <c r="AV23" s="1"/>
      <c r="AW23" s="1"/>
      <c r="AX23" s="1"/>
      <c r="AY23" s="1"/>
      <c r="AZ23" s="56"/>
      <c r="BB23" s="1"/>
      <c r="BC23" s="1"/>
      <c r="BD23" s="1"/>
      <c r="BE23" s="1"/>
      <c r="BF23" s="1"/>
      <c r="BG23" s="1"/>
      <c r="BH23" s="1"/>
      <c r="BI23" s="1"/>
      <c r="BJ23" s="1"/>
      <c r="BK23" s="1"/>
      <c r="BL23" s="1"/>
      <c r="BM23" s="1"/>
      <c r="BN23" s="56"/>
      <c r="BP23" s="1"/>
      <c r="BQ23" s="1"/>
      <c r="BR23" s="1"/>
      <c r="BS23" s="1"/>
      <c r="BT23" s="1"/>
      <c r="BU23" s="1"/>
      <c r="BV23" s="1"/>
      <c r="BW23" s="1"/>
      <c r="BX23" s="1"/>
      <c r="BY23" s="1"/>
      <c r="BZ23" s="1"/>
      <c r="CA23" s="1"/>
      <c r="CB23" s="56"/>
    </row>
    <row r="24" spans="5:80" x14ac:dyDescent="0.25">
      <c r="R24"/>
      <c r="W24" s="54"/>
      <c r="X24" s="54"/>
      <c r="Y24"/>
      <c r="AB24" s="1"/>
      <c r="AC24" s="1"/>
      <c r="AD24" s="1"/>
      <c r="AE24" s="1"/>
      <c r="AF24" s="1"/>
      <c r="AG24" s="1"/>
      <c r="AH24" s="1"/>
      <c r="AI24" s="1"/>
      <c r="AJ24" s="1"/>
      <c r="AK24" s="1"/>
      <c r="AL24" s="56"/>
      <c r="AN24" s="1"/>
      <c r="AO24" s="1"/>
      <c r="AP24" s="1"/>
      <c r="AQ24" s="1"/>
      <c r="AR24" s="1"/>
      <c r="AS24" s="1"/>
      <c r="AT24" s="1"/>
      <c r="AU24" s="1"/>
      <c r="AV24" s="1"/>
      <c r="AW24" s="1"/>
      <c r="AX24" s="1"/>
      <c r="AY24" s="1"/>
      <c r="AZ24" s="56"/>
      <c r="BB24" s="1"/>
      <c r="BC24" s="1"/>
      <c r="BD24" s="1"/>
      <c r="BE24" s="1"/>
      <c r="BF24" s="1"/>
      <c r="BG24" s="1"/>
      <c r="BH24" s="1"/>
      <c r="BI24" s="1"/>
      <c r="BJ24" s="1"/>
      <c r="BK24" s="1"/>
      <c r="BL24" s="1"/>
      <c r="BM24" s="1"/>
      <c r="BN24" s="56"/>
      <c r="BP24" s="1"/>
      <c r="BQ24" s="1"/>
      <c r="BR24" s="1"/>
      <c r="BS24" s="1"/>
      <c r="BT24" s="1"/>
      <c r="BU24" s="1"/>
      <c r="BV24" s="1"/>
      <c r="BW24" s="1"/>
      <c r="BX24" s="1"/>
      <c r="BY24" s="1"/>
      <c r="BZ24" s="1"/>
      <c r="CA24" s="1"/>
      <c r="CB24" s="56"/>
    </row>
    <row r="25" spans="5:80" x14ac:dyDescent="0.25">
      <c r="L25" s="1"/>
      <c r="W25" s="54"/>
      <c r="X25" s="54"/>
      <c r="Y25"/>
      <c r="AB25" s="11"/>
      <c r="AQ25" s="1"/>
      <c r="AR25" s="1"/>
      <c r="AS25" s="1"/>
      <c r="AT25" s="1"/>
      <c r="AU25" s="1"/>
      <c r="AV25" s="1"/>
      <c r="AW25" s="1"/>
      <c r="AX25" s="1"/>
      <c r="AY25" s="1"/>
      <c r="AZ25" s="56"/>
      <c r="BB25" s="1"/>
      <c r="BC25" s="1"/>
      <c r="BD25" s="1"/>
      <c r="BE25" s="1"/>
      <c r="BF25" s="1"/>
      <c r="BG25" s="1"/>
      <c r="BH25" s="1"/>
      <c r="BI25" s="1"/>
      <c r="BJ25" s="1"/>
      <c r="BK25" s="1"/>
      <c r="BL25" s="1"/>
      <c r="BM25" s="1"/>
      <c r="BN25" s="56"/>
      <c r="BP25" s="1"/>
      <c r="BQ25" s="1"/>
      <c r="BR25" s="1"/>
      <c r="BS25" s="1"/>
      <c r="BT25" s="1"/>
      <c r="BU25" s="1"/>
      <c r="BV25" s="1"/>
      <c r="BW25" s="1"/>
      <c r="BX25" s="1"/>
      <c r="BY25" s="1"/>
      <c r="BZ25" s="1"/>
      <c r="CA25" s="1"/>
      <c r="CB25" s="56"/>
    </row>
    <row r="26" spans="5:80" x14ac:dyDescent="0.25">
      <c r="M26" s="43"/>
      <c r="O26"/>
      <c r="P26" s="53"/>
      <c r="V26"/>
      <c r="W26" s="54"/>
      <c r="X26" s="54"/>
      <c r="Y26"/>
      <c r="AB26" s="11"/>
      <c r="AQ26" s="1"/>
      <c r="AR26" s="1"/>
      <c r="AS26" s="1"/>
      <c r="AT26" s="1"/>
      <c r="AU26" s="1"/>
      <c r="AV26" s="57"/>
      <c r="AW26" s="1"/>
      <c r="AX26" s="1"/>
      <c r="AY26" s="1"/>
      <c r="AZ26" s="56"/>
      <c r="BB26" s="1"/>
      <c r="BC26" s="1"/>
      <c r="BD26" s="1"/>
      <c r="BE26" s="1"/>
      <c r="BF26" s="1"/>
      <c r="BG26" s="1"/>
      <c r="BH26" s="1"/>
      <c r="BI26" s="1"/>
      <c r="BJ26" s="1"/>
      <c r="BK26" s="1"/>
      <c r="BL26" s="1"/>
      <c r="BM26" s="1"/>
      <c r="BN26" s="56"/>
      <c r="BP26" s="1"/>
      <c r="BQ26" s="1"/>
      <c r="BR26" s="1"/>
      <c r="BS26" s="1"/>
      <c r="BT26" s="1"/>
      <c r="BU26" s="1"/>
      <c r="BV26" s="1"/>
      <c r="BW26" s="1"/>
      <c r="BX26" s="1"/>
      <c r="BY26" s="1"/>
      <c r="BZ26" s="1"/>
      <c r="CA26" s="1"/>
      <c r="CB26" s="56"/>
    </row>
    <row r="27" spans="5:80" x14ac:dyDescent="0.25">
      <c r="H27" s="11"/>
      <c r="I27" s="11"/>
      <c r="M27" s="43"/>
      <c r="O27"/>
      <c r="P27" s="53"/>
      <c r="V27"/>
      <c r="W27" s="54"/>
      <c r="X27" s="54"/>
      <c r="Y27" s="11"/>
      <c r="Z27" s="11"/>
      <c r="AB27" s="11"/>
      <c r="AQ27" s="1"/>
      <c r="AR27" s="1"/>
      <c r="AS27" s="1"/>
      <c r="AT27" s="1"/>
      <c r="AU27" s="1"/>
      <c r="AV27" s="1"/>
      <c r="AW27" s="1"/>
      <c r="AX27" s="1"/>
      <c r="AY27" s="1"/>
      <c r="AZ27" s="56"/>
      <c r="BB27" s="1"/>
      <c r="BC27" s="1"/>
      <c r="BD27" s="1"/>
      <c r="BE27" s="1"/>
      <c r="BF27" s="1"/>
      <c r="BG27" s="1"/>
      <c r="BH27" s="1"/>
      <c r="BI27" s="1"/>
      <c r="BJ27" s="1"/>
      <c r="BK27" s="1"/>
      <c r="BL27" s="1"/>
      <c r="BM27" s="1"/>
      <c r="BN27" s="56"/>
      <c r="BP27" s="1"/>
      <c r="BQ27" s="1"/>
      <c r="BR27" s="1"/>
      <c r="BS27" s="1"/>
      <c r="BT27" s="1"/>
      <c r="BU27" s="1"/>
      <c r="BV27" s="1"/>
      <c r="BW27" s="1"/>
      <c r="BX27" s="1"/>
      <c r="BY27" s="1"/>
      <c r="BZ27" s="1"/>
      <c r="CA27" s="1"/>
      <c r="CB27" s="56"/>
    </row>
    <row r="28" spans="5:80" x14ac:dyDescent="0.25">
      <c r="H28" s="11"/>
      <c r="I28" s="11"/>
      <c r="M28" s="43"/>
      <c r="O28"/>
      <c r="P28" s="53"/>
      <c r="V28"/>
      <c r="W28" s="54"/>
      <c r="X28" s="54"/>
      <c r="Y28" s="11"/>
      <c r="Z28" s="11"/>
      <c r="AB28" s="11"/>
      <c r="AQ28" s="1"/>
      <c r="AR28" s="1"/>
      <c r="AS28" s="1"/>
      <c r="AT28" s="1"/>
      <c r="AU28" s="1"/>
      <c r="AV28" s="1"/>
      <c r="AW28" s="1"/>
      <c r="AX28" s="1"/>
      <c r="AY28" s="1"/>
      <c r="AZ28" s="56"/>
      <c r="BB28" s="1"/>
      <c r="BC28" s="1"/>
      <c r="BD28" s="1"/>
      <c r="BE28" s="1"/>
      <c r="BF28" s="1"/>
      <c r="BG28" s="1"/>
      <c r="BH28" s="1"/>
      <c r="BI28" s="1"/>
      <c r="BJ28" s="1"/>
      <c r="BK28" s="1"/>
      <c r="BL28" s="1"/>
      <c r="BM28" s="1"/>
      <c r="BN28" s="56"/>
      <c r="BP28" s="1"/>
      <c r="BQ28" s="1"/>
      <c r="BR28" s="1"/>
      <c r="BS28" s="1"/>
      <c r="BT28" s="1"/>
      <c r="BU28" s="1"/>
      <c r="BV28" s="1"/>
      <c r="BW28" s="1"/>
      <c r="BX28" s="1"/>
      <c r="BY28" s="1"/>
      <c r="BZ28" s="1"/>
      <c r="CA28" s="1"/>
      <c r="CB28" s="56"/>
    </row>
    <row r="29" spans="5:80" x14ac:dyDescent="0.25">
      <c r="H29" s="11"/>
      <c r="I29" s="11"/>
      <c r="M29" s="43"/>
      <c r="O29"/>
      <c r="P29" s="53"/>
      <c r="V29"/>
      <c r="W29" s="54"/>
      <c r="X29" s="54"/>
      <c r="Y29" s="11"/>
      <c r="Z29" s="11"/>
      <c r="AB29" s="11"/>
      <c r="AQ29" s="1"/>
      <c r="AR29" s="1"/>
      <c r="AS29" s="1"/>
      <c r="AT29" s="1"/>
      <c r="AU29" s="1"/>
      <c r="AV29" s="1"/>
      <c r="AW29" s="1"/>
      <c r="AX29" s="1"/>
      <c r="AY29" s="1"/>
      <c r="AZ29" s="56"/>
      <c r="BB29" s="1"/>
      <c r="BC29" s="1"/>
      <c r="BD29" s="1"/>
      <c r="BE29" s="1"/>
      <c r="BF29" s="1"/>
      <c r="BG29" s="1"/>
      <c r="BH29" s="1"/>
      <c r="BI29" s="1"/>
      <c r="BJ29" s="1"/>
      <c r="BK29" s="1"/>
      <c r="BL29" s="1"/>
      <c r="BM29" s="1"/>
      <c r="BN29" s="56"/>
      <c r="BP29" s="1"/>
      <c r="BQ29" s="1"/>
      <c r="BR29" s="1"/>
      <c r="BS29" s="1"/>
      <c r="BT29" s="1"/>
      <c r="BU29" s="1"/>
      <c r="BV29" s="1"/>
      <c r="BW29" s="1"/>
      <c r="BX29" s="1"/>
      <c r="BY29" s="1"/>
      <c r="BZ29" s="1"/>
      <c r="CA29" s="1"/>
      <c r="CB29" s="56"/>
    </row>
    <row r="30" spans="5:80" x14ac:dyDescent="0.25">
      <c r="H30" s="11"/>
      <c r="I30" s="11"/>
      <c r="M30" s="43"/>
      <c r="O30"/>
      <c r="P30" s="53"/>
      <c r="V30"/>
      <c r="W30" s="54"/>
      <c r="X30" s="54"/>
      <c r="Y30" s="11"/>
      <c r="Z30" s="11"/>
    </row>
    <row r="31" spans="5:80" x14ac:dyDescent="0.25">
      <c r="H31" s="11"/>
      <c r="I31" s="11"/>
      <c r="M31" s="43"/>
      <c r="O31"/>
      <c r="P31" s="53"/>
      <c r="V31"/>
      <c r="W31" s="54"/>
      <c r="X31" s="54"/>
      <c r="Y31" s="11"/>
      <c r="Z31" s="11"/>
    </row>
    <row r="32" spans="5:80" x14ac:dyDescent="0.25">
      <c r="H32" s="11"/>
      <c r="I32" s="11"/>
      <c r="P32" s="53"/>
      <c r="V32"/>
      <c r="W32" s="54"/>
      <c r="X32" s="54"/>
    </row>
    <row r="33" spans="7:26" x14ac:dyDescent="0.25">
      <c r="H33" s="11"/>
      <c r="I33" s="11"/>
      <c r="P33" s="53"/>
      <c r="V33"/>
      <c r="W33" s="54"/>
      <c r="X33" s="54"/>
    </row>
    <row r="34" spans="7:26" x14ac:dyDescent="0.25">
      <c r="G34" s="53"/>
      <c r="H34" s="11"/>
      <c r="I34" s="11"/>
      <c r="P34" s="53"/>
      <c r="V34"/>
      <c r="W34" s="54"/>
      <c r="X34" s="54"/>
    </row>
    <row r="35" spans="7:26" x14ac:dyDescent="0.25">
      <c r="G35" s="53"/>
      <c r="H35" s="11"/>
      <c r="I35" s="11"/>
      <c r="P35" s="53"/>
      <c r="V35"/>
      <c r="W35" s="54"/>
      <c r="X35" s="54"/>
      <c r="Z35" s="1"/>
    </row>
    <row r="36" spans="7:26" x14ac:dyDescent="0.25">
      <c r="G36" s="53"/>
      <c r="H36" s="11"/>
      <c r="I36" s="11"/>
      <c r="P36" s="53"/>
      <c r="V36"/>
      <c r="W36" s="54"/>
      <c r="X36" s="54"/>
      <c r="Z36" s="1"/>
    </row>
    <row r="37" spans="7:26" x14ac:dyDescent="0.25">
      <c r="G37" s="53"/>
      <c r="H37" s="11"/>
      <c r="I37" s="11"/>
      <c r="P37" s="53"/>
      <c r="V37"/>
      <c r="W37" s="54"/>
      <c r="X37" s="54"/>
      <c r="Z37" s="1"/>
    </row>
    <row r="38" spans="7:26" x14ac:dyDescent="0.25">
      <c r="G38" s="53"/>
      <c r="H38" s="11"/>
      <c r="I38" s="11"/>
      <c r="P38" s="53"/>
      <c r="V38"/>
      <c r="W38" s="54"/>
      <c r="X38" s="54"/>
      <c r="Z38" s="1"/>
    </row>
    <row r="39" spans="7:26" x14ac:dyDescent="0.25">
      <c r="G39" s="53"/>
      <c r="H39" s="11"/>
      <c r="I39" s="11"/>
      <c r="P39" s="53"/>
      <c r="V39"/>
      <c r="W39" s="54"/>
      <c r="X39" s="54"/>
      <c r="Z39" s="1"/>
    </row>
    <row r="40" spans="7:26" x14ac:dyDescent="0.25">
      <c r="G40" s="53"/>
      <c r="H40" s="11"/>
      <c r="I40" s="11"/>
      <c r="P40" s="53"/>
      <c r="V40" s="53"/>
      <c r="W40" s="54"/>
      <c r="X40" s="54"/>
      <c r="Z40" s="1"/>
    </row>
    <row r="41" spans="7:26" x14ac:dyDescent="0.25">
      <c r="G41" s="53"/>
      <c r="H41" s="11"/>
      <c r="I41" s="11"/>
      <c r="P41" s="53"/>
      <c r="V41" s="53"/>
      <c r="W41" s="54"/>
      <c r="X41" s="54"/>
      <c r="Z41" s="1"/>
    </row>
    <row r="42" spans="7:26" x14ac:dyDescent="0.25">
      <c r="G42" s="53"/>
      <c r="H42" s="11"/>
      <c r="I42" s="11"/>
      <c r="P42" s="53"/>
      <c r="V42" s="53"/>
      <c r="W42" s="54"/>
      <c r="X42" s="54"/>
      <c r="Z42" s="1"/>
    </row>
    <row r="43" spans="7:26" x14ac:dyDescent="0.25">
      <c r="G43" s="53"/>
      <c r="H43" s="11"/>
      <c r="I43" s="11"/>
      <c r="P43" s="53"/>
      <c r="V43" s="53"/>
      <c r="W43" s="54"/>
      <c r="X43" s="54"/>
      <c r="Z43" s="1"/>
    </row>
    <row r="44" spans="7:26" x14ac:dyDescent="0.25">
      <c r="G44" s="53"/>
      <c r="H44" s="11"/>
      <c r="I44" s="11"/>
      <c r="P44" s="53"/>
      <c r="V44" s="53"/>
      <c r="W44" s="54"/>
      <c r="X44" s="54"/>
      <c r="Z44" s="1"/>
    </row>
    <row r="45" spans="7:26" x14ac:dyDescent="0.25">
      <c r="G45" s="53"/>
      <c r="H45" s="11"/>
      <c r="I45" s="11"/>
      <c r="P45" s="53"/>
      <c r="V45" s="53"/>
      <c r="W45" s="54"/>
      <c r="X45" s="54"/>
      <c r="Z45" s="1"/>
    </row>
    <row r="46" spans="7:26" x14ac:dyDescent="0.25">
      <c r="G46" s="53"/>
      <c r="H46" s="11"/>
      <c r="I46" s="11"/>
      <c r="P46" s="53"/>
      <c r="V46" s="53"/>
      <c r="W46" s="54"/>
      <c r="X46" s="54"/>
      <c r="Z46" s="1"/>
    </row>
    <row r="47" spans="7:26" x14ac:dyDescent="0.25">
      <c r="G47" s="53"/>
      <c r="H47" s="11"/>
      <c r="I47" s="11"/>
      <c r="P47" s="53"/>
      <c r="V47" s="53"/>
      <c r="W47" s="54"/>
      <c r="X47" s="54"/>
      <c r="Z47" s="1"/>
    </row>
    <row r="48" spans="7:26" x14ac:dyDescent="0.25">
      <c r="G48" s="53"/>
      <c r="H48" s="11"/>
      <c r="I48" s="11"/>
      <c r="P48" s="53"/>
      <c r="V48" s="53"/>
      <c r="W48" s="54"/>
      <c r="X48" s="54"/>
      <c r="Z48" s="1"/>
    </row>
    <row r="49" spans="7:26" x14ac:dyDescent="0.25">
      <c r="G49" s="53"/>
      <c r="H49" s="11"/>
      <c r="I49" s="11"/>
      <c r="P49" s="53"/>
      <c r="V49" s="53"/>
      <c r="W49" s="54"/>
      <c r="X49" s="54"/>
      <c r="Z49" s="1"/>
    </row>
    <row r="50" spans="7:26" x14ac:dyDescent="0.25">
      <c r="G50" s="53"/>
      <c r="H50" s="11"/>
      <c r="I50" s="11"/>
      <c r="P50" s="53"/>
      <c r="V50" s="53"/>
      <c r="W50" s="54"/>
      <c r="X50" s="54"/>
      <c r="Z50" s="1"/>
    </row>
    <row r="51" spans="7:26" x14ac:dyDescent="0.25">
      <c r="G51" s="53"/>
      <c r="H51" s="11"/>
      <c r="I51" s="11"/>
      <c r="P51" s="53"/>
      <c r="V51" s="53"/>
      <c r="W51" s="54"/>
      <c r="X51" s="54"/>
      <c r="Z51" s="1"/>
    </row>
    <row r="52" spans="7:26" x14ac:dyDescent="0.25">
      <c r="G52" s="53"/>
      <c r="H52" s="11"/>
      <c r="I52" s="11"/>
      <c r="P52" s="53"/>
      <c r="V52" s="53"/>
      <c r="W52" s="54"/>
      <c r="X52" s="54"/>
      <c r="Z52" s="1"/>
    </row>
    <row r="53" spans="7:26" x14ac:dyDescent="0.25">
      <c r="G53" s="53"/>
      <c r="P53" s="53"/>
      <c r="V53" s="53"/>
      <c r="W53" s="54"/>
      <c r="X53" s="54"/>
      <c r="Z53" s="1"/>
    </row>
    <row r="54" spans="7:26" x14ac:dyDescent="0.25">
      <c r="G54" s="53"/>
      <c r="P54" s="53"/>
      <c r="V54" s="53"/>
      <c r="W54" s="54"/>
      <c r="X54" s="54"/>
      <c r="Z54" s="1"/>
    </row>
    <row r="55" spans="7:26" x14ac:dyDescent="0.25">
      <c r="G55" s="53"/>
      <c r="P55" s="53"/>
      <c r="V55" s="53"/>
      <c r="W55" s="54"/>
      <c r="X55" s="54"/>
      <c r="Z55" s="1"/>
    </row>
    <row r="56" spans="7:26" x14ac:dyDescent="0.25">
      <c r="G56" s="53"/>
      <c r="P56" s="53"/>
      <c r="V56" s="53"/>
      <c r="W56" s="54"/>
      <c r="X56" s="54"/>
      <c r="Z56" s="1"/>
    </row>
    <row r="57" spans="7:26" x14ac:dyDescent="0.25">
      <c r="G57" s="53"/>
      <c r="P57" s="53"/>
      <c r="V57" s="53"/>
      <c r="W57" s="54"/>
      <c r="X57" s="54"/>
      <c r="Z57" s="1"/>
    </row>
    <row r="58" spans="7:26" x14ac:dyDescent="0.25">
      <c r="G58" s="53"/>
      <c r="P58" s="53"/>
      <c r="V58" s="53"/>
      <c r="W58" s="54"/>
      <c r="X58" s="54"/>
      <c r="Z58" s="1"/>
    </row>
    <row r="59" spans="7:26" x14ac:dyDescent="0.25">
      <c r="G59" s="53"/>
      <c r="P59" s="53"/>
      <c r="V59" s="53"/>
      <c r="W59" s="54"/>
      <c r="X59" s="54"/>
      <c r="Z59" s="1"/>
    </row>
    <row r="60" spans="7:26" x14ac:dyDescent="0.25">
      <c r="G60" s="53"/>
      <c r="P60" s="53"/>
      <c r="V60" s="53"/>
      <c r="W60" s="54"/>
      <c r="X60" s="54"/>
      <c r="Z60" s="1"/>
    </row>
    <row r="61" spans="7:26" x14ac:dyDescent="0.25">
      <c r="G61" s="53"/>
      <c r="P61" s="53"/>
      <c r="V61" s="53"/>
      <c r="W61" s="54"/>
      <c r="X61" s="54"/>
      <c r="Z61" s="1"/>
    </row>
    <row r="62" spans="7:26" x14ac:dyDescent="0.25">
      <c r="G62" s="53"/>
      <c r="P62" s="53"/>
      <c r="V62" s="53"/>
      <c r="W62" s="54"/>
      <c r="X62" s="54"/>
      <c r="Z62" s="1"/>
    </row>
    <row r="63" spans="7:26" x14ac:dyDescent="0.25">
      <c r="G63" s="53"/>
      <c r="P63" s="53"/>
      <c r="V63" s="53"/>
      <c r="W63" s="54"/>
      <c r="X63" s="54"/>
      <c r="Z63" s="1"/>
    </row>
    <row r="64" spans="7:26" x14ac:dyDescent="0.25">
      <c r="G64" s="53"/>
      <c r="P64" s="53"/>
      <c r="V64" s="53"/>
      <c r="W64" s="54"/>
      <c r="X64" s="54"/>
      <c r="Z64" s="1"/>
    </row>
    <row r="65" spans="7:26" x14ac:dyDescent="0.25">
      <c r="G65" s="53"/>
      <c r="P65" s="53"/>
      <c r="V65" s="53"/>
      <c r="W65" s="54"/>
      <c r="X65" s="54"/>
      <c r="Z65" s="1"/>
    </row>
    <row r="66" spans="7:26" x14ac:dyDescent="0.25">
      <c r="G66" s="53"/>
      <c r="P66" s="53"/>
      <c r="V66" s="53"/>
      <c r="W66" s="54"/>
      <c r="X66" s="54"/>
      <c r="Z66" s="1"/>
    </row>
    <row r="67" spans="7:26" x14ac:dyDescent="0.25">
      <c r="G67" s="53"/>
      <c r="P67" s="53"/>
      <c r="V67" s="53"/>
      <c r="W67" s="54"/>
      <c r="X67" s="54"/>
      <c r="Z67" s="1"/>
    </row>
    <row r="68" spans="7:26" x14ac:dyDescent="0.25">
      <c r="G68" s="53"/>
      <c r="P68" s="53"/>
      <c r="V68" s="53"/>
      <c r="W68" s="54"/>
      <c r="X68" s="54"/>
      <c r="Z68" s="1"/>
    </row>
    <row r="69" spans="7:26" x14ac:dyDescent="0.25">
      <c r="G69" s="53"/>
      <c r="P69" s="53"/>
      <c r="V69" s="53"/>
      <c r="W69" s="54"/>
      <c r="X69" s="54"/>
      <c r="Z69" s="1"/>
    </row>
    <row r="70" spans="7:26" x14ac:dyDescent="0.25">
      <c r="P70" s="53"/>
      <c r="V70" s="53"/>
      <c r="W70" s="54"/>
      <c r="X70" s="54"/>
      <c r="Z70" s="1"/>
    </row>
    <row r="71" spans="7:26" x14ac:dyDescent="0.25">
      <c r="P71" s="53"/>
      <c r="V71" s="53"/>
      <c r="W71" s="54"/>
      <c r="X71" s="54"/>
      <c r="Z71" s="1"/>
    </row>
    <row r="72" spans="7:26" x14ac:dyDescent="0.25">
      <c r="P72" s="53"/>
      <c r="V72" s="53"/>
      <c r="W72" s="54"/>
      <c r="X72" s="54"/>
      <c r="Z72" s="1"/>
    </row>
    <row r="73" spans="7:26" x14ac:dyDescent="0.25">
      <c r="P73" s="53"/>
      <c r="V73" s="53"/>
      <c r="W73" s="54"/>
      <c r="X73" s="54"/>
      <c r="Z73" s="1"/>
    </row>
    <row r="74" spans="7:26" x14ac:dyDescent="0.25">
      <c r="P74" s="53"/>
      <c r="V74" s="53"/>
      <c r="W74" s="54"/>
      <c r="X74" s="54"/>
      <c r="Z74" s="1"/>
    </row>
    <row r="75" spans="7:26" x14ac:dyDescent="0.25">
      <c r="P75" s="53"/>
      <c r="V75" s="53"/>
      <c r="W75" s="54"/>
      <c r="X75" s="54"/>
      <c r="Z75" s="1"/>
    </row>
    <row r="76" spans="7:26" x14ac:dyDescent="0.25">
      <c r="P76" s="53"/>
      <c r="W76" s="54"/>
      <c r="X76" s="54"/>
      <c r="Z76" s="1"/>
    </row>
    <row r="77" spans="7:26" x14ac:dyDescent="0.25">
      <c r="P77" s="53"/>
      <c r="W77" s="54"/>
      <c r="X77" s="54"/>
      <c r="Z77" s="1"/>
    </row>
    <row r="78" spans="7:26" x14ac:dyDescent="0.25">
      <c r="P78" s="53"/>
      <c r="W78" s="54"/>
      <c r="X78" s="54"/>
      <c r="Z78" s="1"/>
    </row>
    <row r="79" spans="7:26" x14ac:dyDescent="0.25">
      <c r="P79" s="53"/>
      <c r="W79" s="54"/>
      <c r="X79" s="54"/>
      <c r="Z79" s="1"/>
    </row>
    <row r="80" spans="7:26" x14ac:dyDescent="0.25">
      <c r="P80" s="53"/>
      <c r="W80" s="54"/>
      <c r="X80" s="54"/>
      <c r="Z80" s="1"/>
    </row>
    <row r="81" spans="16:26" x14ac:dyDescent="0.25">
      <c r="P81" s="53"/>
      <c r="W81" s="54"/>
      <c r="X81" s="54"/>
      <c r="Z81" s="1"/>
    </row>
    <row r="82" spans="16:26" x14ac:dyDescent="0.25">
      <c r="P82" s="53"/>
      <c r="W82" s="54"/>
      <c r="Z82" s="1"/>
    </row>
    <row r="83" spans="16:26" x14ac:dyDescent="0.25">
      <c r="P83" s="53"/>
      <c r="W83" s="54"/>
      <c r="Z83" s="1"/>
    </row>
    <row r="84" spans="16:26" x14ac:dyDescent="0.25">
      <c r="P84" s="53"/>
      <c r="W84" s="54"/>
      <c r="Z84" s="1"/>
    </row>
    <row r="85" spans="16:26" x14ac:dyDescent="0.25">
      <c r="P85" s="53"/>
      <c r="W85" s="54"/>
      <c r="Z85" s="1"/>
    </row>
    <row r="86" spans="16:26" x14ac:dyDescent="0.25">
      <c r="P86" s="53"/>
      <c r="W86" s="54"/>
      <c r="Z86" s="1"/>
    </row>
    <row r="87" spans="16:26" x14ac:dyDescent="0.25">
      <c r="P87" s="53"/>
      <c r="Z87" s="1"/>
    </row>
    <row r="88" spans="16:26" x14ac:dyDescent="0.25">
      <c r="P88" s="53"/>
      <c r="Z88" s="1"/>
    </row>
    <row r="89" spans="16:26" x14ac:dyDescent="0.25">
      <c r="P89" s="53"/>
      <c r="Z89" s="1"/>
    </row>
    <row r="90" spans="16:26" x14ac:dyDescent="0.25">
      <c r="P90" s="53"/>
      <c r="Z90" s="1"/>
    </row>
    <row r="91" spans="16:26" x14ac:dyDescent="0.25">
      <c r="P91" s="53"/>
      <c r="Z91" s="1"/>
    </row>
    <row r="92" spans="16:26" x14ac:dyDescent="0.25">
      <c r="P92" s="53"/>
      <c r="Z92" s="1"/>
    </row>
    <row r="93" spans="16:26" x14ac:dyDescent="0.25">
      <c r="P93" s="53"/>
      <c r="Z93" s="1"/>
    </row>
    <row r="94" spans="16:26" x14ac:dyDescent="0.25">
      <c r="P94" s="53"/>
      <c r="Z94" s="1"/>
    </row>
    <row r="95" spans="16:26" x14ac:dyDescent="0.25">
      <c r="P95" s="53"/>
      <c r="Z95" s="1"/>
    </row>
    <row r="96" spans="16:26" x14ac:dyDescent="0.25">
      <c r="P96" s="53"/>
    </row>
    <row r="97" spans="16:25" x14ac:dyDescent="0.25">
      <c r="P97" s="53"/>
    </row>
    <row r="98" spans="16:25" x14ac:dyDescent="0.25">
      <c r="P98" s="53"/>
    </row>
    <row r="99" spans="16:25" x14ac:dyDescent="0.25">
      <c r="P99" s="53"/>
    </row>
    <row r="101" spans="16:25" x14ac:dyDescent="0.25">
      <c r="Y101"/>
    </row>
    <row r="102" spans="16:25" x14ac:dyDescent="0.25">
      <c r="W102"/>
      <c r="X102"/>
      <c r="Y102"/>
    </row>
    <row r="103" spans="16:25" x14ac:dyDescent="0.25">
      <c r="W103"/>
      <c r="X103"/>
      <c r="Y103"/>
    </row>
    <row r="104" spans="16:25" x14ac:dyDescent="0.25">
      <c r="W104"/>
      <c r="X104"/>
      <c r="Y104"/>
    </row>
    <row r="105" spans="16:25" x14ac:dyDescent="0.25">
      <c r="W105"/>
      <c r="X105"/>
    </row>
    <row r="115" spans="24:25" x14ac:dyDescent="0.25">
      <c r="Y115"/>
    </row>
    <row r="116" spans="24:25" x14ac:dyDescent="0.25">
      <c r="Y116"/>
    </row>
    <row r="117" spans="24:25" x14ac:dyDescent="0.25">
      <c r="Y117"/>
    </row>
    <row r="118" spans="24:25" x14ac:dyDescent="0.25">
      <c r="Y118"/>
    </row>
    <row r="119" spans="24:25" x14ac:dyDescent="0.25">
      <c r="Y119"/>
    </row>
    <row r="120" spans="24:25" x14ac:dyDescent="0.25">
      <c r="X120"/>
      <c r="Y120"/>
    </row>
    <row r="121" spans="24:25" x14ac:dyDescent="0.25">
      <c r="Y121"/>
    </row>
    <row r="122" spans="24:25" x14ac:dyDescent="0.25">
      <c r="Y122"/>
    </row>
    <row r="123" spans="24:25" x14ac:dyDescent="0.25">
      <c r="X123"/>
      <c r="Y123"/>
    </row>
    <row r="124" spans="24:25" x14ac:dyDescent="0.25">
      <c r="Y124"/>
    </row>
    <row r="125" spans="24:25" x14ac:dyDescent="0.25">
      <c r="Y125"/>
    </row>
    <row r="126" spans="24:25" x14ac:dyDescent="0.25">
      <c r="Y126"/>
    </row>
    <row r="127" spans="24:25" x14ac:dyDescent="0.25">
      <c r="Y127"/>
    </row>
    <row r="128" spans="24:25" x14ac:dyDescent="0.25">
      <c r="Y128"/>
    </row>
    <row r="129" spans="24:25" x14ac:dyDescent="0.25">
      <c r="Y129"/>
    </row>
    <row r="130" spans="24:25" x14ac:dyDescent="0.25">
      <c r="Y130"/>
    </row>
    <row r="131" spans="24:25" x14ac:dyDescent="0.25">
      <c r="Y131"/>
    </row>
    <row r="132" spans="24:25" x14ac:dyDescent="0.25">
      <c r="Y132"/>
    </row>
    <row r="133" spans="24:25" x14ac:dyDescent="0.25">
      <c r="Y133"/>
    </row>
    <row r="134" spans="24:25" x14ac:dyDescent="0.25">
      <c r="Y134"/>
    </row>
    <row r="135" spans="24:25" x14ac:dyDescent="0.25">
      <c r="X135"/>
      <c r="Y135"/>
    </row>
    <row r="136" spans="24:25" x14ac:dyDescent="0.25">
      <c r="Y136"/>
    </row>
    <row r="137" spans="24:25" x14ac:dyDescent="0.25">
      <c r="Y137"/>
    </row>
    <row r="138" spans="24:25" x14ac:dyDescent="0.25">
      <c r="Y138"/>
    </row>
    <row r="139" spans="24:25" x14ac:dyDescent="0.25">
      <c r="Y139"/>
    </row>
    <row r="140" spans="24:25" x14ac:dyDescent="0.25">
      <c r="Y140"/>
    </row>
    <row r="141" spans="24:25" x14ac:dyDescent="0.25">
      <c r="Y141"/>
    </row>
    <row r="142" spans="24:25" x14ac:dyDescent="0.25">
      <c r="Y142"/>
    </row>
    <row r="143" spans="24:25" x14ac:dyDescent="0.25">
      <c r="Y143"/>
    </row>
    <row r="144" spans="24:25" x14ac:dyDescent="0.25">
      <c r="Y144"/>
    </row>
    <row r="145" spans="25:25" x14ac:dyDescent="0.25">
      <c r="Y145"/>
    </row>
    <row r="146" spans="25:25" x14ac:dyDescent="0.25">
      <c r="Y146"/>
    </row>
    <row r="147" spans="25:25" x14ac:dyDescent="0.25">
      <c r="Y147"/>
    </row>
    <row r="148" spans="25:25" x14ac:dyDescent="0.25">
      <c r="Y148"/>
    </row>
    <row r="149" spans="25:25" x14ac:dyDescent="0.25">
      <c r="Y149"/>
    </row>
    <row r="150" spans="25:25" x14ac:dyDescent="0.25">
      <c r="Y150"/>
    </row>
    <row r="151" spans="25:25" x14ac:dyDescent="0.25">
      <c r="Y151"/>
    </row>
  </sheetData>
  <mergeCells count="1">
    <mergeCell ref="H5:T5"/>
  </mergeCells>
  <conditionalFormatting sqref="K25:N27">
    <cfRule type="expression" dxfId="8" priority="1">
      <formula>COUNTIF($K25,2)</formula>
    </cfRule>
  </conditionalFormatting>
  <conditionalFormatting sqref="K9:V9">
    <cfRule type="cellIs" dxfId="7" priority="2" operator="greaterThan">
      <formula>$Y$5</formula>
    </cfRule>
    <cfRule type="cellIs" dxfId="6" priority="3" operator="between">
      <formula>$Y$8</formula>
      <formula>$Z$8</formula>
    </cfRule>
    <cfRule type="cellIs" dxfId="5" priority="4" operator="lessThan">
      <formula>$Y$9</formula>
    </cfRule>
  </conditionalFormatting>
  <dataValidations count="4">
    <dataValidation type="list" allowBlank="1" showInputMessage="1" showErrorMessage="1" sqref="K11" xr:uid="{762FF588-F05B-42E6-8744-877FC10083DD}">
      <formula1>INDIRECT("ItemRef[Item]")</formula1>
    </dataValidation>
    <dataValidation type="list" allowBlank="1" showInputMessage="1" showErrorMessage="1" sqref="J12:J19" xr:uid="{90E7AEEF-8112-4D4F-9DFE-25F7D0A549B1}">
      <formula1>list_acct_name</formula1>
    </dataValidation>
    <dataValidation type="list" allowBlank="1" showInputMessage="1" showErrorMessage="1" sqref="E12:E19" xr:uid="{48D998E6-7BB8-492A-BADE-BEB8C15970E2}">
      <formula1>list_src_name</formula1>
    </dataValidation>
    <dataValidation type="list" allowBlank="1" showInputMessage="1" showErrorMessage="1" sqref="K12:K19" xr:uid="{6673E1B4-743E-4D69-875A-FCA4EAA332CE}">
      <formula1>list_item_name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Refresh_Shop_List">
                <anchor moveWithCells="1" sizeWithCells="1">
                  <from>
                    <xdr:col>1</xdr:col>
                    <xdr:colOff>323850</xdr:colOff>
                    <xdr:row>4</xdr:row>
                    <xdr:rowOff>19050</xdr:rowOff>
                  </from>
                  <to>
                    <xdr:col>2</xdr:col>
                    <xdr:colOff>695325</xdr:colOff>
                    <xdr:row>7</xdr:row>
                    <xdr:rowOff>9525</xdr:rowOff>
                  </to>
                </anchor>
              </controlPr>
            </control>
          </mc:Choice>
        </mc:AlternateContent>
        <mc:AlternateContent xmlns:mc="http://schemas.openxmlformats.org/markup-compatibility/2006">
          <mc:Choice Requires="x14">
            <control shapeId="97282" r:id="rId5" name="Button 2">
              <controlPr defaultSize="0" print="0" autoFill="0" autoPict="0" macro="[0]!Refresh_Summary">
                <anchor moveWithCells="1" sizeWithCells="1">
                  <from>
                    <xdr:col>1</xdr:col>
                    <xdr:colOff>285750</xdr:colOff>
                    <xdr:row>8</xdr:row>
                    <xdr:rowOff>28575</xdr:rowOff>
                  </from>
                  <to>
                    <xdr:col>2</xdr:col>
                    <xdr:colOff>704850</xdr:colOff>
                    <xdr:row>10</xdr:row>
                    <xdr:rowOff>114300</xdr:rowOff>
                  </to>
                </anchor>
              </controlPr>
            </control>
          </mc:Choice>
        </mc:AlternateContent>
      </controls>
    </mc:Choice>
  </mc:AlternateContent>
  <tableParts count="1">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D097-93BA-4877-87DB-5696F6C16C88}">
  <sheetPr codeName="Sheet9">
    <tabColor theme="1"/>
  </sheetPr>
  <dimension ref="A1:AW141"/>
  <sheetViews>
    <sheetView showGridLines="0" zoomScaleNormal="100" workbookViewId="0">
      <pane ySplit="11" topLeftCell="A12" activePane="bottomLeft" state="frozen"/>
      <selection activeCell="B1" sqref="B1"/>
      <selection pane="bottomLeft"/>
    </sheetView>
  </sheetViews>
  <sheetFormatPr defaultRowHeight="15" outlineLevelCol="1" x14ac:dyDescent="0.25"/>
  <cols>
    <col min="1" max="1" width="10.42578125" customWidth="1"/>
    <col min="2" max="2" width="3.7109375" customWidth="1"/>
    <col min="3" max="3" width="35.7109375" customWidth="1"/>
    <col min="4" max="4" width="15" customWidth="1"/>
    <col min="5" max="5" width="10.28515625" customWidth="1"/>
    <col min="6" max="6" width="11" customWidth="1"/>
    <col min="7" max="7" width="12.7109375" customWidth="1"/>
    <col min="8" max="8" width="15.42578125" customWidth="1"/>
    <col min="9" max="9" width="9.140625" customWidth="1"/>
    <col min="10" max="10" width="23" customWidth="1"/>
    <col min="11" max="11" width="15.42578125" customWidth="1"/>
    <col min="12" max="12" width="10.85546875" customWidth="1"/>
    <col min="13" max="13" width="5.7109375" customWidth="1"/>
    <col min="14" max="14" width="29.5703125" customWidth="1"/>
    <col min="15" max="15" width="31.5703125" customWidth="1"/>
    <col min="16" max="17" width="10.7109375" customWidth="1"/>
    <col min="18" max="18" width="10.7109375" customWidth="1" outlineLevel="1"/>
    <col min="19" max="19" width="9" customWidth="1" outlineLevel="1"/>
    <col min="20" max="20" width="12.7109375" customWidth="1" outlineLevel="1"/>
    <col min="21" max="21" width="15.7109375" customWidth="1" outlineLevel="1"/>
    <col min="22" max="22" width="13" customWidth="1" outlineLevel="1"/>
    <col min="23" max="23" width="23" customWidth="1" outlineLevel="1"/>
    <col min="24" max="24" width="5.28515625" style="45" customWidth="1"/>
    <col min="25" max="25" width="21" customWidth="1"/>
    <col min="26" max="26" width="22.5703125" customWidth="1"/>
    <col min="27" max="27" width="19.28515625" customWidth="1"/>
    <col min="28" max="28" width="25" customWidth="1"/>
    <col min="29" max="29" width="10.42578125" customWidth="1"/>
    <col min="30" max="30" width="6" customWidth="1"/>
    <col min="31" max="31" width="11.28515625" bestFit="1" customWidth="1"/>
    <col min="35" max="35" width="12.5703125" customWidth="1"/>
    <col min="36" max="36" width="26.5703125" customWidth="1"/>
  </cols>
  <sheetData>
    <row r="1" spans="1:49" s="144" customFormat="1" ht="13.5" customHeight="1" x14ac:dyDescent="0.25">
      <c r="A1" s="144" t="s">
        <v>24</v>
      </c>
      <c r="X1" s="304"/>
    </row>
    <row r="2" spans="1:49" s="144" customFormat="1" ht="47.25" customHeight="1" x14ac:dyDescent="0.4">
      <c r="A2" s="144">
        <v>1</v>
      </c>
      <c r="C2" s="327" t="s">
        <v>59</v>
      </c>
      <c r="D2" s="305"/>
      <c r="E2" s="305"/>
      <c r="F2" s="305"/>
      <c r="G2" s="305"/>
      <c r="H2" s="305"/>
      <c r="I2" s="305"/>
      <c r="J2" s="305"/>
      <c r="K2" s="305"/>
      <c r="L2" s="305"/>
      <c r="M2" s="305"/>
      <c r="N2" s="305"/>
      <c r="O2" s="305"/>
      <c r="P2" s="305"/>
      <c r="Q2" s="305"/>
      <c r="R2" s="305"/>
      <c r="X2" s="304"/>
    </row>
    <row r="3" spans="1:49" s="144" customFormat="1" ht="10.5" customHeight="1" x14ac:dyDescent="0.25">
      <c r="A3" s="144">
        <v>2</v>
      </c>
      <c r="X3" s="304"/>
    </row>
    <row r="4" spans="1:49" ht="15" customHeight="1" x14ac:dyDescent="0.25">
      <c r="A4">
        <v>3</v>
      </c>
    </row>
    <row r="5" spans="1:49" ht="15" customHeight="1" x14ac:dyDescent="0.25">
      <c r="A5">
        <v>4</v>
      </c>
      <c r="K5" s="22" t="s">
        <v>61</v>
      </c>
      <c r="L5" s="22"/>
    </row>
    <row r="6" spans="1:49" ht="15" customHeight="1" thickBot="1" x14ac:dyDescent="0.3">
      <c r="A6">
        <v>5</v>
      </c>
      <c r="F6" s="21" t="s">
        <v>63</v>
      </c>
    </row>
    <row r="7" spans="1:49" x14ac:dyDescent="0.25">
      <c r="A7">
        <v>6</v>
      </c>
      <c r="C7" s="7" t="s">
        <v>26</v>
      </c>
      <c r="D7" s="8">
        <f ca="1">TODAY()</f>
        <v>46022</v>
      </c>
      <c r="F7" s="21">
        <f>ROWS(acct_ref[])</f>
        <v>51</v>
      </c>
      <c r="J7" s="193" t="s">
        <v>377</v>
      </c>
      <c r="K7" s="12"/>
      <c r="L7" s="12"/>
      <c r="P7" s="3"/>
      <c r="T7" s="4"/>
    </row>
    <row r="8" spans="1:49" ht="14.25" customHeight="1" thickBot="1" x14ac:dyDescent="0.3">
      <c r="A8">
        <v>7</v>
      </c>
      <c r="J8" s="194" t="s">
        <v>333</v>
      </c>
      <c r="K8" s="12"/>
      <c r="L8" s="12"/>
    </row>
    <row r="9" spans="1:49" s="16" customFormat="1" ht="20.100000000000001" customHeight="1" x14ac:dyDescent="0.4">
      <c r="A9">
        <v>8</v>
      </c>
      <c r="C9" s="13" t="s">
        <v>38</v>
      </c>
      <c r="D9" s="17"/>
      <c r="E9" s="17"/>
      <c r="F9" s="17"/>
      <c r="K9" s="12"/>
      <c r="L9" s="12"/>
      <c r="X9" s="52"/>
      <c r="Z9"/>
    </row>
    <row r="10" spans="1:49" x14ac:dyDescent="0.25">
      <c r="A10">
        <v>9</v>
      </c>
    </row>
    <row r="11" spans="1:49" x14ac:dyDescent="0.25">
      <c r="A11">
        <v>10</v>
      </c>
      <c r="C11" t="s">
        <v>10</v>
      </c>
      <c r="D11" t="s">
        <v>9</v>
      </c>
      <c r="E11" t="s">
        <v>6</v>
      </c>
      <c r="F11" t="s">
        <v>17</v>
      </c>
      <c r="G11" t="s">
        <v>412</v>
      </c>
      <c r="H11" t="s">
        <v>413</v>
      </c>
      <c r="J11" t="s">
        <v>9</v>
      </c>
      <c r="K11" t="s">
        <v>17</v>
      </c>
      <c r="N11" t="s">
        <v>174</v>
      </c>
      <c r="O11" t="s">
        <v>19</v>
      </c>
      <c r="P11" t="s">
        <v>6</v>
      </c>
      <c r="Q11" t="s">
        <v>161</v>
      </c>
      <c r="R11" t="s">
        <v>425</v>
      </c>
      <c r="S11" t="s">
        <v>178</v>
      </c>
      <c r="T11" t="s">
        <v>163</v>
      </c>
      <c r="U11" t="s">
        <v>162</v>
      </c>
      <c r="V11" t="s">
        <v>177</v>
      </c>
      <c r="W11" t="s">
        <v>179</v>
      </c>
      <c r="X11"/>
      <c r="Y11" t="s">
        <v>424</v>
      </c>
    </row>
    <row r="12" spans="1:49" x14ac:dyDescent="0.25">
      <c r="A12">
        <v>11</v>
      </c>
      <c r="C12" t="s">
        <v>2</v>
      </c>
      <c r="D12" t="s">
        <v>5</v>
      </c>
      <c r="E12">
        <v>1001</v>
      </c>
      <c r="F12">
        <f>_xlfn.XLOOKUP(acct_ref[[#This Row],[AcctType]],acct_type_ref[AcctType],acct_type_ref[BalanceID],"Check Spelling",0)</f>
        <v>1</v>
      </c>
      <c r="G12">
        <v>1</v>
      </c>
      <c r="J12" t="s">
        <v>5</v>
      </c>
      <c r="K12">
        <v>1</v>
      </c>
      <c r="N12" t="s">
        <v>346</v>
      </c>
      <c r="O12" t="s">
        <v>7</v>
      </c>
      <c r="P12">
        <f>_xlfn.XLOOKUP(item_ref[[#This Row],[Account]],acct_ref[AccountName],acct_ref[AcctNo],"missing",0)</f>
        <v>2002</v>
      </c>
      <c r="Q12">
        <v>1</v>
      </c>
      <c r="V12" t="str">
        <f>_xlfn.CONCAT(item_ref[[#This Row],[Trans_Type]],item_ref[[#This Row],[Fix/Flex]],item_ref[[#This Row],[PRIO]],"-")</f>
        <v>-</v>
      </c>
      <c r="W12" t="str">
        <f>_xlfn.CONCAT(item_ref[[#This Row],[DesID_1]])</f>
        <v>-</v>
      </c>
      <c r="X12"/>
      <c r="AJ12" t="str" cm="1">
        <f t="array" ref="AJ12:AJ28">_xlfn._xlws.SORT(_xlfn._xlws.FILTER(item_ref[Item],((ISNUMBER(SEARCH("sub",item_ref[Item])))+(ISNUMBER(SEARCH("donation",item_ref[Item]))))*(item_ref[Status]=1),""),,1)</f>
        <v>donation wikipedia</v>
      </c>
      <c r="AM12" t="s">
        <v>385</v>
      </c>
      <c r="AR12" t="s">
        <v>5</v>
      </c>
      <c r="AS12" t="s">
        <v>14</v>
      </c>
      <c r="AT12" t="s">
        <v>4</v>
      </c>
      <c r="AU12" t="s">
        <v>15</v>
      </c>
      <c r="AV12" t="s">
        <v>16</v>
      </c>
      <c r="AW12" t="s">
        <v>3</v>
      </c>
    </row>
    <row r="13" spans="1:49" x14ac:dyDescent="0.25">
      <c r="A13">
        <v>12</v>
      </c>
      <c r="C13" t="s">
        <v>27</v>
      </c>
      <c r="D13" t="s">
        <v>5</v>
      </c>
      <c r="E13">
        <v>1002</v>
      </c>
      <c r="F13">
        <f>_xlfn.XLOOKUP(acct_ref[[#This Row],[AcctType]],acct_type_ref[AcctType],acct_type_ref[BalanceID],"Check Spelling",0)</f>
        <v>1</v>
      </c>
      <c r="G13">
        <v>1</v>
      </c>
      <c r="J13" t="s">
        <v>14</v>
      </c>
      <c r="K13" s="3">
        <v>2</v>
      </c>
      <c r="L13" s="3"/>
      <c r="N13" t="s">
        <v>346</v>
      </c>
      <c r="O13" t="s">
        <v>11</v>
      </c>
      <c r="P13">
        <f>_xlfn.XLOOKUP(item_ref[[#This Row],[Account]],acct_ref[AccountName],acct_ref[AcctNo],"missing",0)</f>
        <v>2001</v>
      </c>
      <c r="Q13">
        <v>1</v>
      </c>
      <c r="V13" t="str">
        <f>_xlfn.CONCAT(item_ref[[#This Row],[Trans_Type]],item_ref[[#This Row],[Fix/Flex]],item_ref[[#This Row],[PRIO]],"-")</f>
        <v>-</v>
      </c>
      <c r="W13" t="str">
        <f>_xlfn.CONCAT(item_ref[[#This Row],[DesID_1]])</f>
        <v>-</v>
      </c>
      <c r="X13"/>
      <c r="Y13" t="s">
        <v>426</v>
      </c>
      <c r="Z13" t="s">
        <v>315</v>
      </c>
      <c r="AJ13" t="str">
        <v>donation yuumei</v>
      </c>
      <c r="AM13" t="str" cm="1">
        <f t="array" ref="AM13:AM18">acct_type_ref[AcctType]</f>
        <v>Asset</v>
      </c>
      <c r="AR13" t="str" cm="1">
        <f t="array" ref="AR13:AR29">_xlfn._xlws.FILTER(acct_ref[AccountName],acct_ref[AcctType]=AR$12,"")</f>
        <v>Cash</v>
      </c>
      <c r="AS13" t="str" cm="1">
        <f t="array" ref="AS13">_xlfn._xlws.FILTER(acct_ref[AccountName],acct_ref[AcctType]=AS$12,"")</f>
        <v/>
      </c>
      <c r="AT13" t="str" cm="1">
        <f t="array" ref="AT13:AT18">_xlfn._xlws.FILTER(acct_ref[AccountName],acct_ref[AcctType]=AT$12,"")</f>
        <v>Account Payable - CC 8524</v>
      </c>
      <c r="AU13" t="str" cm="1">
        <f t="array" ref="AU13:AU14">_xlfn._xlws.FILTER(acct_ref[AccountName],acct_ref[AcctType]=AU$12,"")</f>
        <v>MK - Capital</v>
      </c>
      <c r="AV13" t="str" cm="1">
        <f t="array" ref="AV13:AV18">_xlfn._xlws.FILTER(acct_ref[AccountName],acct_ref[AcctType]=AV$12,"")</f>
        <v>Salary Revenue</v>
      </c>
      <c r="AW13" t="str" cm="1">
        <f t="array" ref="AW13:AW32">_xlfn._xlws.FILTER(acct_ref[AccountName],acct_ref[AcctType]=AW$12,"")</f>
        <v>Unknown Expense</v>
      </c>
    </row>
    <row r="14" spans="1:49" x14ac:dyDescent="0.25">
      <c r="A14">
        <v>13</v>
      </c>
      <c r="C14" t="s">
        <v>28</v>
      </c>
      <c r="D14" t="s">
        <v>5</v>
      </c>
      <c r="E14">
        <v>1003</v>
      </c>
      <c r="F14">
        <f>_xlfn.XLOOKUP(acct_ref[[#This Row],[AcctType]],acct_type_ref[AcctType],acct_type_ref[BalanceID],"Check Spelling",0)</f>
        <v>1</v>
      </c>
      <c r="G14">
        <v>1</v>
      </c>
      <c r="J14" t="s">
        <v>4</v>
      </c>
      <c r="K14">
        <v>2</v>
      </c>
      <c r="N14" t="s">
        <v>344</v>
      </c>
      <c r="O14" t="s">
        <v>105</v>
      </c>
      <c r="P14">
        <f>_xlfn.XLOOKUP(item_ref[[#This Row],[Account]],acct_ref[AccountName],acct_ref[AcctNo],"missing",0)</f>
        <v>2003</v>
      </c>
      <c r="Q14">
        <v>1</v>
      </c>
      <c r="V14" t="str">
        <f>_xlfn.CONCAT(item_ref[[#This Row],[Trans_Type]],item_ref[[#This Row],[Fix/Flex]],item_ref[[#This Row],[PRIO]],"-")</f>
        <v>-</v>
      </c>
      <c r="W14" t="str">
        <f>_xlfn.CONCAT(item_ref[[#This Row],[DesID_1]])</f>
        <v>-</v>
      </c>
      <c r="X14"/>
      <c r="Y14" t="s">
        <v>358</v>
      </c>
      <c r="Z14">
        <v>1</v>
      </c>
      <c r="AJ14" t="str">
        <v>sub acronis</v>
      </c>
      <c r="AM14" t="str">
        <v>Contra Asset</v>
      </c>
      <c r="AR14" t="str">
        <v>Chequing Account</v>
      </c>
      <c r="AT14" t="str">
        <v>Account Payable - CC 1739</v>
      </c>
      <c r="AU14" t="str">
        <v>Income Summary 2024</v>
      </c>
      <c r="AV14" t="str">
        <v>Government Revenue</v>
      </c>
      <c r="AW14" t="str">
        <v>Home Expense</v>
      </c>
    </row>
    <row r="15" spans="1:49" x14ac:dyDescent="0.25">
      <c r="A15">
        <v>14</v>
      </c>
      <c r="C15" t="s">
        <v>103</v>
      </c>
      <c r="D15" t="s">
        <v>5</v>
      </c>
      <c r="E15">
        <v>1015</v>
      </c>
      <c r="F15">
        <f>_xlfn.XLOOKUP(acct_ref[[#This Row],[AcctType]],acct_type_ref[AcctType],acct_type_ref[BalanceID],"Check Spelling",0)</f>
        <v>1</v>
      </c>
      <c r="G15">
        <v>2</v>
      </c>
      <c r="J15" t="s">
        <v>15</v>
      </c>
      <c r="K15">
        <v>2</v>
      </c>
      <c r="N15" t="s">
        <v>466</v>
      </c>
      <c r="O15" t="s">
        <v>105</v>
      </c>
      <c r="P15">
        <f>_xlfn.XLOOKUP(item_ref[[#This Row],[Account]],acct_ref[AccountName],acct_ref[AcctNo],"missing",0)</f>
        <v>2003</v>
      </c>
      <c r="V15" t="str">
        <f>_xlfn.CONCAT(item_ref[[#This Row],[Trans_Type]],item_ref[[#This Row],[Fix/Flex]],item_ref[[#This Row],[PRIO]],"-")</f>
        <v>-</v>
      </c>
      <c r="W15" t="str">
        <f>_xlfn.CONCAT(item_ref[[#This Row],[DesID_1]])</f>
        <v>-</v>
      </c>
      <c r="X15"/>
      <c r="Y15" t="s">
        <v>372</v>
      </c>
      <c r="Z15">
        <v>2</v>
      </c>
      <c r="AJ15" t="str">
        <v>sub apple tv</v>
      </c>
      <c r="AM15" t="str">
        <v>Liability</v>
      </c>
      <c r="AR15" t="str">
        <v>Savings Account</v>
      </c>
      <c r="AT15" t="str">
        <v>Account Payable - Personal</v>
      </c>
      <c r="AV15" t="str">
        <v>Gift Revenue</v>
      </c>
      <c r="AW15" t="str">
        <v>Rent Expense</v>
      </c>
    </row>
    <row r="16" spans="1:49" x14ac:dyDescent="0.25">
      <c r="A16">
        <v>15</v>
      </c>
      <c r="C16" t="s">
        <v>323</v>
      </c>
      <c r="D16" t="s">
        <v>5</v>
      </c>
      <c r="E16">
        <v>1004</v>
      </c>
      <c r="F16">
        <f>_xlfn.XLOOKUP(acct_ref[[#This Row],[AcctType]],acct_type_ref[AcctType],acct_type_ref[BalanceID],"Check Spelling",0)</f>
        <v>1</v>
      </c>
      <c r="G16">
        <v>1</v>
      </c>
      <c r="J16" t="s">
        <v>16</v>
      </c>
      <c r="K16">
        <v>2</v>
      </c>
      <c r="N16" t="s">
        <v>479</v>
      </c>
      <c r="O16" t="s">
        <v>478</v>
      </c>
      <c r="P16">
        <f>_xlfn.XLOOKUP(item_ref[[#This Row],[Account]],acct_ref[AccountName],acct_ref[AcctNo],"missing",0)</f>
        <v>2006</v>
      </c>
      <c r="V16" t="str">
        <f>_xlfn.CONCAT(item_ref[[#This Row],[Trans_Type]],item_ref[[#This Row],[Fix/Flex]],item_ref[[#This Row],[PRIO]],"-")</f>
        <v>-</v>
      </c>
      <c r="W16" t="str">
        <f>_xlfn.CONCAT(item_ref[[#This Row],[DesID_1]])</f>
        <v>-</v>
      </c>
      <c r="X16"/>
      <c r="AJ16" t="str">
        <v>sub chatGPT</v>
      </c>
      <c r="AM16" t="str">
        <v>Capital</v>
      </c>
      <c r="AR16" t="str">
        <v>RRSP</v>
      </c>
      <c r="AT16" t="str">
        <v>Account Payable - School</v>
      </c>
      <c r="AV16" t="str">
        <v>Revenue Other</v>
      </c>
      <c r="AW16" t="str">
        <v>Utilities Expense</v>
      </c>
    </row>
    <row r="17" spans="1:49" x14ac:dyDescent="0.25">
      <c r="A17">
        <v>16</v>
      </c>
      <c r="C17" t="s">
        <v>31</v>
      </c>
      <c r="D17" t="s">
        <v>5</v>
      </c>
      <c r="E17">
        <v>1005</v>
      </c>
      <c r="F17">
        <f>_xlfn.XLOOKUP(acct_ref[[#This Row],[AcctType]],acct_type_ref[AcctType],acct_type_ref[BalanceID],"Check Spelling",0)</f>
        <v>1</v>
      </c>
      <c r="J17" t="s">
        <v>3</v>
      </c>
      <c r="K17">
        <v>1</v>
      </c>
      <c r="N17" t="s">
        <v>147</v>
      </c>
      <c r="O17" t="s">
        <v>478</v>
      </c>
      <c r="P17">
        <f>_xlfn.XLOOKUP(item_ref[[#This Row],[Account]],acct_ref[AccountName],acct_ref[AcctNo],"missing",0)</f>
        <v>2006</v>
      </c>
      <c r="V17" t="str">
        <f>_xlfn.CONCAT(item_ref[[#This Row],[Trans_Type]],item_ref[[#This Row],[Fix/Flex]],item_ref[[#This Row],[PRIO]],"-")</f>
        <v>-</v>
      </c>
      <c r="W17" t="str">
        <f>_xlfn.CONCAT(item_ref[[#This Row],[DesID_1]])</f>
        <v>-</v>
      </c>
      <c r="X17"/>
      <c r="AJ17" t="str">
        <v>sub creative fabrica</v>
      </c>
      <c r="AM17" t="str">
        <v>Revenue</v>
      </c>
      <c r="AR17" t="str">
        <v>Accounts Receiveable- Personal</v>
      </c>
      <c r="AT17" t="str">
        <v>Loans - OSAP</v>
      </c>
      <c r="AV17" t="str">
        <v>Unknown Revenue</v>
      </c>
      <c r="AW17" t="str">
        <v>Life Insurance Expense</v>
      </c>
    </row>
    <row r="18" spans="1:49" x14ac:dyDescent="0.25">
      <c r="A18">
        <v>17</v>
      </c>
      <c r="C18" t="s">
        <v>33</v>
      </c>
      <c r="D18" t="s">
        <v>5</v>
      </c>
      <c r="E18">
        <v>1006</v>
      </c>
      <c r="F18">
        <f>_xlfn.XLOOKUP(acct_ref[[#This Row],[AcctType]],acct_type_ref[AcctType],acct_type_ref[BalanceID],"Check Spelling",0)</f>
        <v>1</v>
      </c>
      <c r="G18">
        <v>4</v>
      </c>
      <c r="N18" t="s">
        <v>345</v>
      </c>
      <c r="O18" t="s">
        <v>323</v>
      </c>
      <c r="P18">
        <f>_xlfn.XLOOKUP(item_ref[[#This Row],[Account]],acct_ref[AccountName],acct_ref[AcctNo],"missing",0)</f>
        <v>1004</v>
      </c>
      <c r="Q18">
        <v>1</v>
      </c>
      <c r="V18" t="str">
        <f>_xlfn.CONCAT(item_ref[[#This Row],[Trans_Type]],item_ref[[#This Row],[Fix/Flex]],item_ref[[#This Row],[PRIO]],"-")</f>
        <v>-</v>
      </c>
      <c r="W18" t="str">
        <f>_xlfn.CONCAT(item_ref[[#This Row],[DesID_1]])</f>
        <v>-</v>
      </c>
      <c r="X18"/>
      <c r="AJ18" t="str">
        <v>sub disney+</v>
      </c>
      <c r="AM18" t="str">
        <v>Expense</v>
      </c>
      <c r="AR18" t="str">
        <v>Salary Over/Under</v>
      </c>
      <c r="AT18" t="str">
        <v>Account Payable - Home Depot</v>
      </c>
      <c r="AV18" t="str">
        <v>Purchase Returns</v>
      </c>
      <c r="AW18" t="str">
        <v>Phone Expense</v>
      </c>
    </row>
    <row r="19" spans="1:49" x14ac:dyDescent="0.25">
      <c r="A19">
        <v>18</v>
      </c>
      <c r="C19" t="s">
        <v>30</v>
      </c>
      <c r="D19" t="s">
        <v>5</v>
      </c>
      <c r="E19">
        <v>1007</v>
      </c>
      <c r="F19">
        <f>_xlfn.XLOOKUP(acct_ref[[#This Row],[AcctType]],acct_type_ref[AcctType],acct_type_ref[BalanceID],"Check Spelling",0)</f>
        <v>1</v>
      </c>
      <c r="G19">
        <v>3</v>
      </c>
      <c r="J19" s="179" t="s">
        <v>411</v>
      </c>
      <c r="K19" s="179"/>
      <c r="L19" s="9"/>
      <c r="N19" t="s">
        <v>339</v>
      </c>
      <c r="O19" t="s">
        <v>323</v>
      </c>
      <c r="P19">
        <f>_xlfn.XLOOKUP(item_ref[[#This Row],[Account]],acct_ref[AccountName],acct_ref[AcctNo],"missing",0)</f>
        <v>1004</v>
      </c>
      <c r="Q19">
        <v>1</v>
      </c>
      <c r="V19" t="str">
        <f>_xlfn.CONCAT(item_ref[[#This Row],[Trans_Type]],item_ref[[#This Row],[Fix/Flex]],item_ref[[#This Row],[PRIO]],"-")</f>
        <v>-</v>
      </c>
      <c r="W19" t="str">
        <f>_xlfn.CONCAT(item_ref[[#This Row],[DesID_1]])</f>
        <v>-</v>
      </c>
      <c r="X19"/>
      <c r="AJ19" t="str">
        <v>sub dropout TV</v>
      </c>
      <c r="AR19" t="str">
        <v>Gift Card - Amazon</v>
      </c>
      <c r="AW19" t="str">
        <v>TV/Internet Expense</v>
      </c>
    </row>
    <row r="20" spans="1:49" x14ac:dyDescent="0.25">
      <c r="A20">
        <v>19</v>
      </c>
      <c r="C20" t="s">
        <v>29</v>
      </c>
      <c r="D20" t="s">
        <v>5</v>
      </c>
      <c r="E20">
        <v>1008</v>
      </c>
      <c r="F20">
        <f>_xlfn.XLOOKUP(acct_ref[[#This Row],[AcctType]],acct_type_ref[AcctType],acct_type_ref[BalanceID],"Check Spelling",0)</f>
        <v>1</v>
      </c>
      <c r="G20">
        <v>4</v>
      </c>
      <c r="N20" t="s">
        <v>200</v>
      </c>
      <c r="O20" t="s">
        <v>8</v>
      </c>
      <c r="P20">
        <f>_xlfn.XLOOKUP(item_ref[[#This Row],[Account]],acct_ref[AccountName],acct_ref[AcctNo],"missing",0)</f>
        <v>5009</v>
      </c>
      <c r="Q20">
        <v>1</v>
      </c>
      <c r="R20">
        <v>1</v>
      </c>
      <c r="V20" t="str">
        <f>_xlfn.CONCAT(item_ref[[#This Row],[Trans_Type]],item_ref[[#This Row],[Fix/Flex]],item_ref[[#This Row],[PRIO]],"-")</f>
        <v>-</v>
      </c>
      <c r="W20" t="str">
        <f>_xlfn.CONCAT(item_ref[[#This Row],[DesID_1]])</f>
        <v>-</v>
      </c>
      <c r="X20"/>
      <c r="AJ20" t="str">
        <v>sub Github</v>
      </c>
      <c r="AR20" t="str">
        <v>Home</v>
      </c>
      <c r="AW20" t="str">
        <v>Transportation Expense</v>
      </c>
    </row>
    <row r="21" spans="1:49" x14ac:dyDescent="0.25">
      <c r="A21">
        <v>20</v>
      </c>
      <c r="C21" t="s">
        <v>46</v>
      </c>
      <c r="D21" t="s">
        <v>5</v>
      </c>
      <c r="E21">
        <v>1009</v>
      </c>
      <c r="F21">
        <f>_xlfn.XLOOKUP(acct_ref[[#This Row],[AcctType]],acct_type_ref[AcctType],acct_type_ref[BalanceID],"Check Spelling",0)</f>
        <v>1</v>
      </c>
      <c r="G21">
        <v>4</v>
      </c>
      <c r="J21" t="s">
        <v>395</v>
      </c>
      <c r="K21" t="s">
        <v>9</v>
      </c>
      <c r="L21" t="s">
        <v>315</v>
      </c>
      <c r="N21" t="s">
        <v>476</v>
      </c>
      <c r="O21" t="s">
        <v>2</v>
      </c>
      <c r="P21">
        <f>_xlfn.XLOOKUP(item_ref[[#This Row],[Account]],acct_ref[AccountName],acct_ref[AcctNo],"missing",0)</f>
        <v>1001</v>
      </c>
      <c r="V21" t="str">
        <f>_xlfn.CONCAT(item_ref[[#This Row],[Trans_Type]],item_ref[[#This Row],[Fix/Flex]],item_ref[[#This Row],[PRIO]],"-")</f>
        <v>-</v>
      </c>
      <c r="W21" t="str">
        <f>_xlfn.CONCAT(item_ref[[#This Row],[DesID_1]])</f>
        <v>-</v>
      </c>
      <c r="X21"/>
      <c r="AJ21" t="str">
        <v>sub iobit mix</v>
      </c>
      <c r="AR21" t="str">
        <v>Asset - Computer</v>
      </c>
      <c r="AW21" t="str">
        <v>Medical Expense</v>
      </c>
    </row>
    <row r="22" spans="1:49" x14ac:dyDescent="0.25">
      <c r="A22">
        <v>21</v>
      </c>
      <c r="C22" t="s">
        <v>45</v>
      </c>
      <c r="D22" t="s">
        <v>5</v>
      </c>
      <c r="E22">
        <v>1010</v>
      </c>
      <c r="F22">
        <f>_xlfn.XLOOKUP(acct_ref[[#This Row],[AcctType]],acct_type_ref[AcctType],acct_type_ref[BalanceID],"Check Spelling",0)</f>
        <v>1</v>
      </c>
      <c r="G22">
        <v>4</v>
      </c>
      <c r="J22" t="s">
        <v>359</v>
      </c>
      <c r="K22" t="s">
        <v>5</v>
      </c>
      <c r="L22">
        <v>1</v>
      </c>
      <c r="N22" t="s">
        <v>470</v>
      </c>
      <c r="O22" t="s">
        <v>27</v>
      </c>
      <c r="P22">
        <f>_xlfn.XLOOKUP(item_ref[[#This Row],[Account]],acct_ref[AccountName],acct_ref[AcctNo],"missing",0)</f>
        <v>1002</v>
      </c>
      <c r="V22" t="str">
        <f>_xlfn.CONCAT(item_ref[[#This Row],[Trans_Type]],item_ref[[#This Row],[Fix/Flex]],item_ref[[#This Row],[PRIO]],"-")</f>
        <v>-</v>
      </c>
      <c r="W22" t="str">
        <f>_xlfn.CONCAT(item_ref[[#This Row],[DesID_1]])</f>
        <v>-</v>
      </c>
      <c r="X22"/>
      <c r="Y22" t="str" cm="1">
        <f t="array" ref="Y22:Y29">_xlfn._xlws.FILTER(acct_ref[AccountName],acct_ref[AggActDash]=_xlfn.XLOOKUP("Home Expenses",agg_acct_dash[AggAcctName],agg_acct_dash[ID]),"")</f>
        <v>Home Expense</v>
      </c>
      <c r="Z22" t="str" cm="1">
        <f t="array" ref="Z22:Z25">ListRevenueOther</f>
        <v>Government Revenue</v>
      </c>
      <c r="AA22" t="str" cm="1">
        <f t="array" ref="AA22">_xlfn._xlws.FILTER(acct_ref[AccountName],acct_ref[AggActDash]=_xlfn.XLOOKUP("Transportation Expenses",agg_acct_dash[AggAcctName],agg_acct_dash[ID]),"")</f>
        <v>Transportation Expense</v>
      </c>
      <c r="AB22" t="str" cm="1">
        <f t="array" ref="AB22">_xlfn._xlws.FILTER(acct_ref[AccountName],acct_ref[AggActDash]=_xlfn.XLOOKUP("Act Out Expenses",agg_acct_dash[AggAcctName],agg_acct_dash[ID]),"")</f>
        <v>Act Out Expense</v>
      </c>
      <c r="AC22" t="str" cm="1">
        <f t="array" ref="AC22">ListDebtLong</f>
        <v>Loans - OSAP</v>
      </c>
      <c r="AJ22" t="str">
        <v>sub kindle</v>
      </c>
      <c r="AR22" t="str">
        <v>Asset - Office</v>
      </c>
      <c r="AW22" t="str">
        <v>Act Out Expense</v>
      </c>
    </row>
    <row r="23" spans="1:49" x14ac:dyDescent="0.25">
      <c r="A23">
        <v>22</v>
      </c>
      <c r="C23" t="s">
        <v>32</v>
      </c>
      <c r="D23" t="s">
        <v>5</v>
      </c>
      <c r="E23">
        <v>1011</v>
      </c>
      <c r="F23">
        <f>_xlfn.XLOOKUP(acct_ref[[#This Row],[AcctType]],acct_type_ref[AcctType],acct_type_ref[BalanceID],"Check Spelling",0)</f>
        <v>1</v>
      </c>
      <c r="G23">
        <v>4</v>
      </c>
      <c r="J23" t="s">
        <v>369</v>
      </c>
      <c r="K23" t="s">
        <v>5</v>
      </c>
      <c r="L23">
        <v>2</v>
      </c>
      <c r="N23" t="s">
        <v>485</v>
      </c>
      <c r="O23" t="s">
        <v>27</v>
      </c>
      <c r="P23">
        <f>_xlfn.XLOOKUP(item_ref[[#This Row],[Account]],acct_ref[AccountName],acct_ref[AcctNo],"missing",0)</f>
        <v>1002</v>
      </c>
      <c r="V23" t="str">
        <f>_xlfn.CONCAT(item_ref[[#This Row],[Trans_Type]],item_ref[[#This Row],[Fix/Flex]],item_ref[[#This Row],[PRIO]],"-")</f>
        <v>-</v>
      </c>
      <c r="W23" t="str">
        <f>_xlfn.CONCAT(item_ref[[#This Row],[DesID_1]])</f>
        <v>-</v>
      </c>
      <c r="X23"/>
      <c r="Y23" t="str">
        <v>Rent Expense</v>
      </c>
      <c r="Z23" t="str">
        <v>Gift Revenue</v>
      </c>
      <c r="AJ23" t="str">
        <v>sub office 365</v>
      </c>
      <c r="AR23" t="str">
        <v>Asset - Shop Tools</v>
      </c>
      <c r="AW23" t="str">
        <v>Nutrition Expense</v>
      </c>
    </row>
    <row r="24" spans="1:49" x14ac:dyDescent="0.25">
      <c r="A24">
        <v>23</v>
      </c>
      <c r="C24" t="s">
        <v>90</v>
      </c>
      <c r="D24" t="s">
        <v>5</v>
      </c>
      <c r="E24">
        <v>1012</v>
      </c>
      <c r="F24">
        <f>_xlfn.XLOOKUP(acct_ref[[#This Row],[AcctType]],acct_type_ref[AcctType],acct_type_ref[BalanceID],"Check Spelling",0)</f>
        <v>1</v>
      </c>
      <c r="G24">
        <v>4</v>
      </c>
      <c r="J24" t="s">
        <v>406</v>
      </c>
      <c r="K24" t="s">
        <v>5</v>
      </c>
      <c r="L24">
        <v>3</v>
      </c>
      <c r="N24" t="s">
        <v>240</v>
      </c>
      <c r="O24" t="s">
        <v>27</v>
      </c>
      <c r="P24">
        <f>_xlfn.XLOOKUP(item_ref[[#This Row],[Account]],acct_ref[AccountName],acct_ref[AcctNo],"missing",0)</f>
        <v>1002</v>
      </c>
      <c r="Q24">
        <v>1</v>
      </c>
      <c r="S24">
        <v>0</v>
      </c>
      <c r="T24">
        <v>0</v>
      </c>
      <c r="U24">
        <v>1</v>
      </c>
      <c r="V24" t="str">
        <f>_xlfn.CONCAT(item_ref[[#This Row],[Trans_Type]],item_ref[[#This Row],[Fix/Flex]],item_ref[[#This Row],[PRIO]],"-")</f>
        <v>001-</v>
      </c>
      <c r="W24" t="str">
        <f>_xlfn.CONCAT(item_ref[[#This Row],[DesID_1]])</f>
        <v>001-</v>
      </c>
      <c r="X24"/>
      <c r="Y24" t="str">
        <v>Utilities Expense</v>
      </c>
      <c r="Z24" t="str">
        <v>Revenue Other</v>
      </c>
      <c r="AJ24" t="str">
        <v>sub prime</v>
      </c>
      <c r="AR24" t="str">
        <v>Prepaid Expense - Life Insurance</v>
      </c>
      <c r="AW24" t="str">
        <v>Shop Expense</v>
      </c>
    </row>
    <row r="25" spans="1:49" x14ac:dyDescent="0.25">
      <c r="A25">
        <v>24</v>
      </c>
      <c r="C25" t="s">
        <v>92</v>
      </c>
      <c r="D25" t="s">
        <v>5</v>
      </c>
      <c r="E25">
        <v>1013</v>
      </c>
      <c r="F25">
        <f>_xlfn.XLOOKUP(acct_ref[[#This Row],[AcctType]],acct_type_ref[AcctType],acct_type_ref[BalanceID],"Check Spelling",0)</f>
        <v>1</v>
      </c>
      <c r="G25">
        <v>4</v>
      </c>
      <c r="J25" t="s">
        <v>322</v>
      </c>
      <c r="K25" t="s">
        <v>5</v>
      </c>
      <c r="L25">
        <v>4</v>
      </c>
      <c r="N25" t="s">
        <v>191</v>
      </c>
      <c r="O25" t="s">
        <v>27</v>
      </c>
      <c r="P25">
        <f>_xlfn.XLOOKUP(item_ref[[#This Row],[Account]],acct_ref[AccountName],acct_ref[AcctNo],"missing",0)</f>
        <v>1002</v>
      </c>
      <c r="Q25">
        <v>1</v>
      </c>
      <c r="V25" t="str">
        <f>_xlfn.CONCAT(item_ref[[#This Row],[Trans_Type]],item_ref[[#This Row],[Fix/Flex]],item_ref[[#This Row],[PRIO]],"-")</f>
        <v>-</v>
      </c>
      <c r="W25" t="str">
        <f>_xlfn.CONCAT(item_ref[[#This Row],[DesID_1]])</f>
        <v>-</v>
      </c>
      <c r="X25"/>
      <c r="Y25" t="str">
        <v>Life Insurance Expense</v>
      </c>
      <c r="Z25" t="str">
        <v>Purchase Returns</v>
      </c>
      <c r="AJ25" t="str">
        <v>sub prime video ad-free</v>
      </c>
      <c r="AR25" t="str">
        <v>Prepaid Expense - Self-Care</v>
      </c>
      <c r="AW25" t="str">
        <v>Office &amp; Computer Expense</v>
      </c>
    </row>
    <row r="26" spans="1:49" x14ac:dyDescent="0.25">
      <c r="A26">
        <v>25</v>
      </c>
      <c r="C26" t="s">
        <v>102</v>
      </c>
      <c r="D26" t="s">
        <v>5</v>
      </c>
      <c r="E26">
        <v>1014</v>
      </c>
      <c r="F26">
        <f>_xlfn.XLOOKUP(acct_ref[[#This Row],[AcctType]],acct_type_ref[AcctType],acct_type_ref[BalanceID],"Check Spelling",0)</f>
        <v>1</v>
      </c>
      <c r="G26">
        <v>4</v>
      </c>
      <c r="J26" t="s">
        <v>416</v>
      </c>
      <c r="K26" t="s">
        <v>4</v>
      </c>
      <c r="L26">
        <v>10</v>
      </c>
      <c r="N26" t="s">
        <v>500</v>
      </c>
      <c r="O26" t="s">
        <v>27</v>
      </c>
      <c r="P26">
        <f>_xlfn.XLOOKUP(item_ref[[#This Row],[Account]],acct_ref[AccountName],acct_ref[AcctNo],"missing",0)</f>
        <v>1002</v>
      </c>
      <c r="V26" t="str">
        <f>_xlfn.CONCAT(item_ref[[#This Row],[Trans_Type]],item_ref[[#This Row],[Fix/Flex]],item_ref[[#This Row],[PRIO]],"-")</f>
        <v>-</v>
      </c>
      <c r="W26" t="str">
        <f>_xlfn.CONCAT(item_ref[[#This Row],[DesID_1]])</f>
        <v>-</v>
      </c>
      <c r="X26"/>
      <c r="Y26" t="str">
        <v>Phone Expense</v>
      </c>
      <c r="AJ26" t="str">
        <v>sub spotify</v>
      </c>
      <c r="AR26" t="str">
        <v xml:space="preserve">Prepaid Expense - Office </v>
      </c>
      <c r="AW26" t="str">
        <v>Self-Care Expense</v>
      </c>
    </row>
    <row r="27" spans="1:49" x14ac:dyDescent="0.25">
      <c r="A27">
        <v>26</v>
      </c>
      <c r="C27" t="s">
        <v>104</v>
      </c>
      <c r="D27" t="s">
        <v>5</v>
      </c>
      <c r="E27">
        <v>1016</v>
      </c>
      <c r="F27">
        <f>_xlfn.XLOOKUP(acct_ref[[#This Row],[AcctType]],acct_type_ref[AcctType],acct_type_ref[BalanceID],"Check Spelling",0)</f>
        <v>1</v>
      </c>
      <c r="G27">
        <v>2</v>
      </c>
      <c r="J27" t="s">
        <v>415</v>
      </c>
      <c r="K27" t="s">
        <v>4</v>
      </c>
      <c r="L27">
        <v>11</v>
      </c>
      <c r="N27" t="s">
        <v>252</v>
      </c>
      <c r="O27" t="s">
        <v>27</v>
      </c>
      <c r="P27">
        <f>_xlfn.XLOOKUP(item_ref[[#This Row],[Account]],acct_ref[AccountName],acct_ref[AcctNo],"missing",0)</f>
        <v>1002</v>
      </c>
      <c r="Q27">
        <v>1</v>
      </c>
      <c r="V27" t="str">
        <f>_xlfn.CONCAT(item_ref[[#This Row],[Trans_Type]],item_ref[[#This Row],[Fix/Flex]],item_ref[[#This Row],[PRIO]],"-")</f>
        <v>-</v>
      </c>
      <c r="W27" t="str">
        <f>_xlfn.CONCAT(item_ref[[#This Row],[DesID_1]])</f>
        <v>-</v>
      </c>
      <c r="X27"/>
      <c r="Y27" t="str">
        <v>TV/Internet Expense</v>
      </c>
      <c r="AJ27" t="str">
        <v>sub stack tv</v>
      </c>
      <c r="AR27" t="str">
        <v>Prepaid Expense - Transportation</v>
      </c>
      <c r="AW27" t="str">
        <v>Travel Expense</v>
      </c>
    </row>
    <row r="28" spans="1:49" x14ac:dyDescent="0.25">
      <c r="A28">
        <v>27</v>
      </c>
      <c r="C28" t="s">
        <v>182</v>
      </c>
      <c r="D28" t="s">
        <v>5</v>
      </c>
      <c r="E28">
        <v>1017</v>
      </c>
      <c r="F28">
        <f>_xlfn.XLOOKUP(acct_ref[[#This Row],[AcctType]],acct_type_ref[AcctType],acct_type_ref[BalanceID],"Check Spelling",0)</f>
        <v>1</v>
      </c>
      <c r="G28">
        <v>4</v>
      </c>
      <c r="J28" t="s">
        <v>407</v>
      </c>
      <c r="K28" t="s">
        <v>4</v>
      </c>
      <c r="L28">
        <v>12</v>
      </c>
      <c r="N28" t="s">
        <v>186</v>
      </c>
      <c r="O28" t="s">
        <v>212</v>
      </c>
      <c r="P28">
        <f>_xlfn.XLOOKUP(item_ref[[#This Row],[Account]],acct_ref[AccountName],acct_ref[AcctNo],"missing",0)</f>
        <v>5018</v>
      </c>
      <c r="Q28">
        <v>1</v>
      </c>
      <c r="V28" t="str">
        <f>_xlfn.CONCAT(item_ref[[#This Row],[Trans_Type]],item_ref[[#This Row],[Fix/Flex]],item_ref[[#This Row],[PRIO]],"-")</f>
        <v>-</v>
      </c>
      <c r="W28" t="str">
        <f>_xlfn.CONCAT(item_ref[[#This Row],[DesID_1]])</f>
        <v>-</v>
      </c>
      <c r="X28"/>
      <c r="Y28" t="str">
        <v>Shop Expense</v>
      </c>
      <c r="AJ28" t="str">
        <v>sub yt premium</v>
      </c>
      <c r="AR28" t="str">
        <v>TFSA Investia</v>
      </c>
      <c r="AW28" t="str">
        <v>Education Expense</v>
      </c>
    </row>
    <row r="29" spans="1:49" x14ac:dyDescent="0.25">
      <c r="A29">
        <v>28</v>
      </c>
      <c r="C29" t="s">
        <v>11</v>
      </c>
      <c r="D29" t="s">
        <v>4</v>
      </c>
      <c r="E29">
        <v>2001</v>
      </c>
      <c r="F29">
        <f>_xlfn.XLOOKUP(acct_ref[[#This Row],[AcctType]],acct_type_ref[AcctType],acct_type_ref[BalanceID],"Check Spelling",0)</f>
        <v>2</v>
      </c>
      <c r="G29">
        <v>10</v>
      </c>
      <c r="J29" t="s">
        <v>363</v>
      </c>
      <c r="K29" t="s">
        <v>16</v>
      </c>
      <c r="L29">
        <v>20</v>
      </c>
      <c r="N29" t="s">
        <v>213</v>
      </c>
      <c r="O29" t="s">
        <v>212</v>
      </c>
      <c r="P29">
        <f>_xlfn.XLOOKUP(item_ref[[#This Row],[Account]],acct_ref[AccountName],acct_ref[AcctNo],"missing",0)</f>
        <v>5018</v>
      </c>
      <c r="Q29">
        <v>1</v>
      </c>
      <c r="V29" t="str">
        <f>_xlfn.CONCAT(item_ref[[#This Row],[Trans_Type]],item_ref[[#This Row],[Fix/Flex]],item_ref[[#This Row],[PRIO]],"-")</f>
        <v>-</v>
      </c>
      <c r="W29" t="str">
        <f>_xlfn.CONCAT(item_ref[[#This Row],[DesID_1]])</f>
        <v>-</v>
      </c>
      <c r="X29"/>
      <c r="Y29" t="str">
        <v>Office &amp; Computer Expense</v>
      </c>
      <c r="AR29" t="str">
        <v>Prepaid Expense - Rent</v>
      </c>
      <c r="AW29" t="str">
        <v>Connect Expense</v>
      </c>
    </row>
    <row r="30" spans="1:49" x14ac:dyDescent="0.25">
      <c r="A30">
        <v>29</v>
      </c>
      <c r="C30" t="s">
        <v>7</v>
      </c>
      <c r="D30" t="s">
        <v>4</v>
      </c>
      <c r="E30">
        <v>2002</v>
      </c>
      <c r="F30">
        <f>_xlfn.XLOOKUP(acct_ref[[#This Row],[AcctType]],acct_type_ref[AcctType],acct_type_ref[BalanceID],"Check Spelling",0)</f>
        <v>2</v>
      </c>
      <c r="G30">
        <v>10</v>
      </c>
      <c r="J30" t="s">
        <v>364</v>
      </c>
      <c r="K30" t="s">
        <v>16</v>
      </c>
      <c r="L30">
        <v>21</v>
      </c>
      <c r="N30" t="s">
        <v>469</v>
      </c>
      <c r="O30" t="s">
        <v>212</v>
      </c>
      <c r="P30">
        <f>_xlfn.XLOOKUP(item_ref[[#This Row],[Account]],acct_ref[AccountName],acct_ref[AcctNo],"missing",0)</f>
        <v>5018</v>
      </c>
      <c r="V30" t="str">
        <f>_xlfn.CONCAT(item_ref[[#This Row],[Trans_Type]],item_ref[[#This Row],[Fix/Flex]],item_ref[[#This Row],[PRIO]],"-")</f>
        <v>-</v>
      </c>
      <c r="W30" t="str">
        <f>_xlfn.CONCAT(item_ref[[#This Row],[DesID_1]])</f>
        <v>-</v>
      </c>
      <c r="X30"/>
      <c r="AW30" t="str">
        <v>Tax Sales</v>
      </c>
    </row>
    <row r="31" spans="1:49" x14ac:dyDescent="0.25">
      <c r="A31">
        <v>30</v>
      </c>
      <c r="C31" t="s">
        <v>105</v>
      </c>
      <c r="D31" t="s">
        <v>4</v>
      </c>
      <c r="E31">
        <v>2003</v>
      </c>
      <c r="F31">
        <f>_xlfn.XLOOKUP(acct_ref[[#This Row],[AcctType]],acct_type_ref[AcctType],acct_type_ref[BalanceID],"Check Spelling",0)</f>
        <v>2</v>
      </c>
      <c r="G31">
        <v>11</v>
      </c>
      <c r="J31" t="s">
        <v>318</v>
      </c>
      <c r="K31" t="s">
        <v>3</v>
      </c>
      <c r="L31">
        <v>30</v>
      </c>
      <c r="N31" t="s">
        <v>217</v>
      </c>
      <c r="O31" t="s">
        <v>53</v>
      </c>
      <c r="P31">
        <f>_xlfn.XLOOKUP(item_ref[[#This Row],[Account]],acct_ref[AccountName],acct_ref[AcctNo],"missing",0)</f>
        <v>5017</v>
      </c>
      <c r="Q31">
        <v>1</v>
      </c>
      <c r="V31" t="str">
        <f>_xlfn.CONCAT(item_ref[[#This Row],[Trans_Type]],item_ref[[#This Row],[Fix/Flex]],item_ref[[#This Row],[PRIO]],"-")</f>
        <v>-</v>
      </c>
      <c r="W31" t="str">
        <f>_xlfn.CONCAT(item_ref[[#This Row],[DesID_1]])</f>
        <v>-</v>
      </c>
      <c r="X31"/>
      <c r="AW31" t="str">
        <v>Receivable Expense</v>
      </c>
    </row>
    <row r="32" spans="1:49" x14ac:dyDescent="0.25">
      <c r="A32">
        <v>31</v>
      </c>
      <c r="C32" t="s">
        <v>478</v>
      </c>
      <c r="D32" t="s">
        <v>4</v>
      </c>
      <c r="E32">
        <v>2006</v>
      </c>
      <c r="F32">
        <f>_xlfn.XLOOKUP(acct_ref[[#This Row],[AcctType]],acct_type_ref[AcctType],acct_type_ref[BalanceID],"Check Spelling",0)</f>
        <v>2</v>
      </c>
      <c r="G32">
        <v>11</v>
      </c>
      <c r="J32" t="s">
        <v>410</v>
      </c>
      <c r="K32" t="s">
        <v>3</v>
      </c>
      <c r="L32">
        <v>31</v>
      </c>
      <c r="N32" t="s">
        <v>319</v>
      </c>
      <c r="O32" t="s">
        <v>53</v>
      </c>
      <c r="P32">
        <f>_xlfn.XLOOKUP(item_ref[[#This Row],[Account]],acct_ref[AccountName],acct_ref[AcctNo],"missing",0)</f>
        <v>5017</v>
      </c>
      <c r="Q32">
        <v>1</v>
      </c>
      <c r="R32">
        <v>2</v>
      </c>
      <c r="S32">
        <v>0</v>
      </c>
      <c r="T32">
        <v>1</v>
      </c>
      <c r="U32">
        <v>4</v>
      </c>
      <c r="V32" t="str">
        <f>_xlfn.CONCAT(item_ref[[#This Row],[Trans_Type]],item_ref[[#This Row],[Fix/Flex]],item_ref[[#This Row],[PRIO]],"-")</f>
        <v>014-</v>
      </c>
      <c r="W32" t="str">
        <f>_xlfn.CONCAT(item_ref[[#This Row],[DesID_1]])</f>
        <v>014-</v>
      </c>
      <c r="X32"/>
      <c r="AW32" t="str">
        <v>Misc Expense</v>
      </c>
    </row>
    <row r="33" spans="1:41" x14ac:dyDescent="0.25">
      <c r="A33">
        <v>32</v>
      </c>
      <c r="C33" t="s">
        <v>47</v>
      </c>
      <c r="D33" t="s">
        <v>4</v>
      </c>
      <c r="E33">
        <v>2004</v>
      </c>
      <c r="F33">
        <f>_xlfn.XLOOKUP(acct_ref[[#This Row],[AcctType]],acct_type_ref[AcctType],acct_type_ref[BalanceID],"Check Spelling",0)</f>
        <v>2</v>
      </c>
      <c r="G33">
        <v>12</v>
      </c>
      <c r="J33" t="s">
        <v>408</v>
      </c>
      <c r="K33" t="s">
        <v>3</v>
      </c>
      <c r="L33">
        <v>32</v>
      </c>
      <c r="N33" t="s">
        <v>189</v>
      </c>
      <c r="O33" t="s">
        <v>53</v>
      </c>
      <c r="P33">
        <f>_xlfn.XLOOKUP(item_ref[[#This Row],[Account]],acct_ref[AccountName],acct_ref[AcctNo],"missing",0)</f>
        <v>5017</v>
      </c>
      <c r="Q33">
        <v>1</v>
      </c>
      <c r="V33" t="str">
        <f>_xlfn.CONCAT(item_ref[[#This Row],[Trans_Type]],item_ref[[#This Row],[Fix/Flex]],item_ref[[#This Row],[PRIO]],"-")</f>
        <v>-</v>
      </c>
      <c r="W33" t="str">
        <f>_xlfn.CONCAT(item_ref[[#This Row],[DesID_1]])</f>
        <v>-</v>
      </c>
      <c r="X33"/>
    </row>
    <row r="34" spans="1:41" x14ac:dyDescent="0.25">
      <c r="A34">
        <v>33</v>
      </c>
      <c r="C34" t="s">
        <v>361</v>
      </c>
      <c r="D34" t="s">
        <v>4</v>
      </c>
      <c r="E34">
        <v>2005</v>
      </c>
      <c r="F34">
        <f>_xlfn.XLOOKUP(acct_ref[[#This Row],[AcctType]],acct_type_ref[AcctType],acct_type_ref[BalanceID],"Check Spelling",0)</f>
        <v>2</v>
      </c>
      <c r="G34">
        <v>10</v>
      </c>
      <c r="J34" t="s">
        <v>409</v>
      </c>
      <c r="K34" t="s">
        <v>3</v>
      </c>
      <c r="L34">
        <v>33</v>
      </c>
      <c r="N34" t="s">
        <v>371</v>
      </c>
      <c r="O34" t="s">
        <v>53</v>
      </c>
      <c r="P34">
        <f>_xlfn.XLOOKUP(item_ref[[#This Row],[Account]],acct_ref[AccountName],acct_ref[AcctNo],"missing",0)</f>
        <v>5017</v>
      </c>
      <c r="Q34">
        <v>0</v>
      </c>
      <c r="R34">
        <v>2</v>
      </c>
      <c r="V34" t="str">
        <f>_xlfn.CONCAT(item_ref[[#This Row],[Trans_Type]],item_ref[[#This Row],[Fix/Flex]],item_ref[[#This Row],[PRIO]],"-")</f>
        <v>-</v>
      </c>
      <c r="W34" t="str">
        <f>_xlfn.CONCAT(item_ref[[#This Row],[DesID_1]])</f>
        <v>-</v>
      </c>
      <c r="X34"/>
    </row>
    <row r="35" spans="1:41" x14ac:dyDescent="0.25">
      <c r="A35">
        <v>34</v>
      </c>
      <c r="C35" t="s">
        <v>55</v>
      </c>
      <c r="D35" t="s">
        <v>15</v>
      </c>
      <c r="E35">
        <v>3001</v>
      </c>
      <c r="F35">
        <f>_xlfn.XLOOKUP(acct_ref[[#This Row],[AcctType]],acct_type_ref[AcctType],acct_type_ref[BalanceID],"Check Spelling",0)</f>
        <v>2</v>
      </c>
      <c r="J35" t="s">
        <v>417</v>
      </c>
      <c r="K35" t="s">
        <v>3</v>
      </c>
      <c r="L35">
        <v>39</v>
      </c>
      <c r="N35" t="s">
        <v>134</v>
      </c>
      <c r="O35" t="s">
        <v>53</v>
      </c>
      <c r="P35">
        <f>_xlfn.XLOOKUP(item_ref[[#This Row],[Account]],acct_ref[AccountName],acct_ref[AcctNo],"missing",0)</f>
        <v>5017</v>
      </c>
      <c r="Q35">
        <v>0</v>
      </c>
      <c r="R35">
        <v>2</v>
      </c>
      <c r="S35">
        <v>4</v>
      </c>
      <c r="T35">
        <v>1</v>
      </c>
      <c r="U35">
        <v>4</v>
      </c>
      <c r="V35" t="str">
        <f>_xlfn.CONCAT(item_ref[[#This Row],[Trans_Type]],item_ref[[#This Row],[Fix/Flex]],item_ref[[#This Row],[PRIO]],"-")</f>
        <v>414-</v>
      </c>
      <c r="W35" t="str">
        <f>_xlfn.CONCAT(item_ref[[#This Row],[DesID_1]])</f>
        <v>414-</v>
      </c>
      <c r="X35"/>
      <c r="Y35" t="str" cm="1">
        <f t="array" ref="Y35:Y38">_xlfn._xlws.FILTER(item_ref[Item],item_ref[AggItemID]=_xlfn.XLOOKUP("Key Indicators",AggItems[AggItem],AggItems[ID],"",0),"")</f>
        <v>act out food</v>
      </c>
      <c r="Z35" t="str" cm="1">
        <f t="array" ref="Z35:Z38">ListKPI</f>
        <v>act out food</v>
      </c>
    </row>
    <row r="36" spans="1:41" x14ac:dyDescent="0.25">
      <c r="A36">
        <v>35</v>
      </c>
      <c r="C36" t="s">
        <v>57</v>
      </c>
      <c r="D36" t="s">
        <v>15</v>
      </c>
      <c r="E36">
        <v>3002</v>
      </c>
      <c r="F36">
        <f>_xlfn.XLOOKUP(acct_ref[[#This Row],[AcctType]],acct_type_ref[AcctType],acct_type_ref[BalanceID],"Check Spelling",0)</f>
        <v>2</v>
      </c>
      <c r="J36" t="s">
        <v>499</v>
      </c>
      <c r="K36" t="s">
        <v>3</v>
      </c>
      <c r="L36">
        <v>40</v>
      </c>
      <c r="N36" t="s">
        <v>229</v>
      </c>
      <c r="O36" t="s">
        <v>53</v>
      </c>
      <c r="P36">
        <f>_xlfn.XLOOKUP(item_ref[[#This Row],[Account]],acct_ref[AccountName],acct_ref[AcctNo],"missing",0)</f>
        <v>5017</v>
      </c>
      <c r="Q36">
        <v>1</v>
      </c>
      <c r="V36" t="str">
        <f>_xlfn.CONCAT(item_ref[[#This Row],[Trans_Type]],item_ref[[#This Row],[Fix/Flex]],item_ref[[#This Row],[PRIO]],"-")</f>
        <v>-</v>
      </c>
      <c r="W36" t="str">
        <f>_xlfn.CONCAT(item_ref[[#This Row],[DesID_1]])</f>
        <v>-</v>
      </c>
      <c r="X36"/>
      <c r="Y36" t="str">
        <v>groceries</v>
      </c>
      <c r="Z36" t="str">
        <v>groceries</v>
      </c>
    </row>
    <row r="37" spans="1:41" x14ac:dyDescent="0.25">
      <c r="A37">
        <v>36</v>
      </c>
      <c r="C37" t="s">
        <v>214</v>
      </c>
      <c r="D37" t="s">
        <v>16</v>
      </c>
      <c r="E37">
        <v>4001</v>
      </c>
      <c r="F37">
        <f>_xlfn.XLOOKUP(acct_ref[[#This Row],[AcctType]],acct_type_ref[AcctType],acct_type_ref[BalanceID],"Check Spelling",0)</f>
        <v>2</v>
      </c>
      <c r="G37">
        <v>20</v>
      </c>
      <c r="N37" t="s">
        <v>147</v>
      </c>
      <c r="O37" t="s">
        <v>53</v>
      </c>
      <c r="P37">
        <f>_xlfn.XLOOKUP(item_ref[[#This Row],[Account]],acct_ref[AccountName],acct_ref[AcctNo],"missing",0)</f>
        <v>5017</v>
      </c>
      <c r="Q37">
        <v>1</v>
      </c>
      <c r="S37">
        <v>0</v>
      </c>
      <c r="T37">
        <v>1</v>
      </c>
      <c r="U37">
        <v>2</v>
      </c>
      <c r="V37" t="str">
        <f>_xlfn.CONCAT(item_ref[[#This Row],[Trans_Type]],item_ref[[#This Row],[Fix/Flex]],item_ref[[#This Row],[PRIO]],"-")</f>
        <v>012-</v>
      </c>
      <c r="W37" t="str">
        <f>_xlfn.CONCAT(item_ref[[#This Row],[DesID_1]])</f>
        <v>012-</v>
      </c>
      <c r="X37"/>
      <c r="Y37" t="str">
        <v>takeout/restaurant</v>
      </c>
      <c r="Z37" t="str">
        <v>takeout/restaurant</v>
      </c>
    </row>
    <row r="38" spans="1:41" x14ac:dyDescent="0.25">
      <c r="A38">
        <v>37</v>
      </c>
      <c r="C38" t="s">
        <v>215</v>
      </c>
      <c r="D38" t="s">
        <v>16</v>
      </c>
      <c r="E38">
        <v>4002</v>
      </c>
      <c r="F38">
        <f>_xlfn.XLOOKUP(acct_ref[[#This Row],[AcctType]],acct_type_ref[AcctType],acct_type_ref[BalanceID],"Check Spelling",0)</f>
        <v>2</v>
      </c>
      <c r="G38">
        <v>21</v>
      </c>
      <c r="N38" t="s">
        <v>194</v>
      </c>
      <c r="O38" t="s">
        <v>53</v>
      </c>
      <c r="P38">
        <f>_xlfn.XLOOKUP(item_ref[[#This Row],[Account]],acct_ref[AccountName],acct_ref[AcctNo],"missing",0)</f>
        <v>5017</v>
      </c>
      <c r="Q38">
        <v>1</v>
      </c>
      <c r="V38" t="str">
        <f>_xlfn.CONCAT(item_ref[[#This Row],[Trans_Type]],item_ref[[#This Row],[Fix/Flex]],item_ref[[#This Row],[PRIO]],"-")</f>
        <v>-</v>
      </c>
      <c r="W38" t="str">
        <f>_xlfn.CONCAT(item_ref[[#This Row],[DesID_1]])</f>
        <v>-</v>
      </c>
      <c r="X38"/>
      <c r="Y38" t="str">
        <v>salary qch</v>
      </c>
      <c r="Z38" t="str">
        <v>salary qch</v>
      </c>
    </row>
    <row r="39" spans="1:41" x14ac:dyDescent="0.25">
      <c r="A39">
        <v>38</v>
      </c>
      <c r="C39" t="s">
        <v>58</v>
      </c>
      <c r="D39" t="s">
        <v>16</v>
      </c>
      <c r="E39">
        <v>4003</v>
      </c>
      <c r="F39">
        <f>_xlfn.XLOOKUP(acct_ref[[#This Row],[AcctType]],acct_type_ref[AcctType],acct_type_ref[BalanceID],"Check Spelling",0)</f>
        <v>2</v>
      </c>
      <c r="G39">
        <v>21</v>
      </c>
      <c r="N39" t="s">
        <v>239</v>
      </c>
      <c r="O39" t="s">
        <v>58</v>
      </c>
      <c r="P39">
        <f>_xlfn.XLOOKUP(item_ref[[#This Row],[Account]],acct_ref[AccountName],acct_ref[AcctNo],"missing",0)</f>
        <v>4003</v>
      </c>
      <c r="Q39">
        <v>1</v>
      </c>
      <c r="V39" t="str">
        <f>_xlfn.CONCAT(item_ref[[#This Row],[Trans_Type]],item_ref[[#This Row],[Fix/Flex]],item_ref[[#This Row],[PRIO]],"-")</f>
        <v>-</v>
      </c>
      <c r="W39" t="str">
        <f>_xlfn.CONCAT(item_ref[[#This Row],[DesID_1]])</f>
        <v>-</v>
      </c>
      <c r="X39"/>
      <c r="AN39" t="s">
        <v>5</v>
      </c>
      <c r="AO39" t="s">
        <v>3</v>
      </c>
    </row>
    <row r="40" spans="1:41" x14ac:dyDescent="0.25">
      <c r="A40">
        <v>39</v>
      </c>
      <c r="C40" t="s">
        <v>87</v>
      </c>
      <c r="D40" t="s">
        <v>16</v>
      </c>
      <c r="E40">
        <v>4004</v>
      </c>
      <c r="F40">
        <f>_xlfn.XLOOKUP(acct_ref[[#This Row],[AcctType]],acct_type_ref[AcctType],acct_type_ref[BalanceID],"Check Spelling",0)</f>
        <v>2</v>
      </c>
      <c r="G40">
        <v>21</v>
      </c>
      <c r="N40" t="s">
        <v>348</v>
      </c>
      <c r="O40" t="s">
        <v>58</v>
      </c>
      <c r="P40">
        <f>_xlfn.XLOOKUP(item_ref[[#This Row],[Account]],acct_ref[AccountName],acct_ref[AcctNo],"missing",0)</f>
        <v>4003</v>
      </c>
      <c r="Q40">
        <v>1</v>
      </c>
      <c r="V40" t="str">
        <f>_xlfn.CONCAT(item_ref[[#This Row],[Trans_Type]],item_ref[[#This Row],[Fix/Flex]],item_ref[[#This Row],[PRIO]],"-")</f>
        <v>-</v>
      </c>
      <c r="W40" t="str">
        <f>_xlfn.CONCAT(item_ref[[#This Row],[DesID_1]])</f>
        <v>-</v>
      </c>
      <c r="X40"/>
    </row>
    <row r="41" spans="1:41" x14ac:dyDescent="0.25">
      <c r="A41">
        <v>40</v>
      </c>
      <c r="C41" t="s">
        <v>486</v>
      </c>
      <c r="D41" t="s">
        <v>16</v>
      </c>
      <c r="E41">
        <v>4006</v>
      </c>
      <c r="F41">
        <f>_xlfn.XLOOKUP(acct_ref[[#This Row],[AcctType]],acct_type_ref[AcctType],acct_type_ref[BalanceID],"Check Spelling",0)</f>
        <v>2</v>
      </c>
      <c r="N41" t="s">
        <v>487</v>
      </c>
      <c r="O41" t="s">
        <v>215</v>
      </c>
      <c r="P41">
        <f>_xlfn.XLOOKUP(item_ref[[#This Row],[Account]],acct_ref[AccountName],acct_ref[AcctNo],"missing",0)</f>
        <v>4002</v>
      </c>
      <c r="V41" t="str">
        <f>_xlfn.CONCAT(item_ref[[#This Row],[Trans_Type]],item_ref[[#This Row],[Fix/Flex]],item_ref[[#This Row],[PRIO]],"-")</f>
        <v>-</v>
      </c>
      <c r="W41" t="str">
        <f>_xlfn.CONCAT(item_ref[[#This Row],[DesID_1]])</f>
        <v>-</v>
      </c>
      <c r="X41"/>
    </row>
    <row r="42" spans="1:41" x14ac:dyDescent="0.25">
      <c r="A42">
        <v>41</v>
      </c>
      <c r="C42" t="s">
        <v>91</v>
      </c>
      <c r="D42" t="s">
        <v>16</v>
      </c>
      <c r="E42">
        <v>4005</v>
      </c>
      <c r="F42">
        <f>_xlfn.XLOOKUP(acct_ref[[#This Row],[AcctType]],acct_type_ref[AcctType],acct_type_ref[BalanceID],"Check Spelling",0)</f>
        <v>2</v>
      </c>
      <c r="G42">
        <v>21</v>
      </c>
      <c r="J42" s="179" t="s">
        <v>414</v>
      </c>
      <c r="K42" s="179"/>
      <c r="L42" s="9"/>
      <c r="N42" t="s">
        <v>203</v>
      </c>
      <c r="O42" t="s">
        <v>215</v>
      </c>
      <c r="P42">
        <f>_xlfn.XLOOKUP(item_ref[[#This Row],[Account]],acct_ref[AccountName],acct_ref[AcctNo],"missing",0)</f>
        <v>4002</v>
      </c>
      <c r="Q42">
        <v>1</v>
      </c>
      <c r="V42" t="str">
        <f>_xlfn.CONCAT(item_ref[[#This Row],[Trans_Type]],item_ref[[#This Row],[Fix/Flex]],item_ref[[#This Row],[PRIO]],"-")</f>
        <v>-</v>
      </c>
      <c r="W42" t="str">
        <f>_xlfn.CONCAT(item_ref[[#This Row],[DesID_1]])</f>
        <v>-</v>
      </c>
      <c r="X42"/>
    </row>
    <row r="43" spans="1:41" x14ac:dyDescent="0.25">
      <c r="A43">
        <v>42</v>
      </c>
      <c r="C43" t="s">
        <v>88</v>
      </c>
      <c r="D43" t="s">
        <v>3</v>
      </c>
      <c r="E43">
        <v>5000</v>
      </c>
      <c r="F43">
        <f>_xlfn.XLOOKUP(acct_ref[[#This Row],[AcctType]],acct_type_ref[AcctType],acct_type_ref[BalanceID],"Check Spelling",0)</f>
        <v>1</v>
      </c>
      <c r="G43">
        <v>39</v>
      </c>
      <c r="N43" t="s">
        <v>262</v>
      </c>
      <c r="O43" t="s">
        <v>215</v>
      </c>
      <c r="P43">
        <f>_xlfn.XLOOKUP(item_ref[[#This Row],[Account]],acct_ref[AccountName],acct_ref[AcctNo],"missing",0)</f>
        <v>4002</v>
      </c>
      <c r="Q43">
        <v>1</v>
      </c>
      <c r="V43" t="str">
        <f>_xlfn.CONCAT(item_ref[[#This Row],[Trans_Type]],item_ref[[#This Row],[Fix/Flex]],item_ref[[#This Row],[PRIO]],"-")</f>
        <v>-</v>
      </c>
      <c r="W43" t="str">
        <f>_xlfn.CONCAT(item_ref[[#This Row],[DesID_1]])</f>
        <v>-</v>
      </c>
      <c r="X43"/>
    </row>
    <row r="44" spans="1:41" x14ac:dyDescent="0.25">
      <c r="A44">
        <v>43</v>
      </c>
      <c r="C44" t="s">
        <v>48</v>
      </c>
      <c r="D44" t="s">
        <v>3</v>
      </c>
      <c r="E44">
        <v>5001</v>
      </c>
      <c r="F44">
        <f>_xlfn.XLOOKUP(acct_ref[[#This Row],[AcctType]],acct_type_ref[AcctType],acct_type_ref[BalanceID],"Check Spelling",0)</f>
        <v>1</v>
      </c>
      <c r="G44">
        <v>30</v>
      </c>
      <c r="J44" t="s">
        <v>405</v>
      </c>
      <c r="K44" t="s">
        <v>315</v>
      </c>
      <c r="N44" t="s">
        <v>398</v>
      </c>
      <c r="O44" t="s">
        <v>30</v>
      </c>
      <c r="P44">
        <f>_xlfn.XLOOKUP(item_ref[[#This Row],[Account]],acct_ref[AccountName],acct_ref[AcctNo],"missing",0)</f>
        <v>1007</v>
      </c>
      <c r="Q44">
        <v>1</v>
      </c>
      <c r="V44" t="str">
        <f>_xlfn.CONCAT(item_ref[[#This Row],[Trans_Type]],item_ref[[#This Row],[Fix/Flex]],item_ref[[#This Row],[PRIO]],"-")</f>
        <v>-</v>
      </c>
      <c r="W44" t="str">
        <f>_xlfn.CONCAT(item_ref[[#This Row],[DesID_1]])</f>
        <v>-</v>
      </c>
      <c r="X44"/>
    </row>
    <row r="45" spans="1:41" x14ac:dyDescent="0.25">
      <c r="A45">
        <v>44</v>
      </c>
      <c r="C45" t="s">
        <v>34</v>
      </c>
      <c r="D45" t="s">
        <v>3</v>
      </c>
      <c r="E45">
        <v>5002</v>
      </c>
      <c r="F45">
        <f>_xlfn.XLOOKUP(acct_ref[[#This Row],[AcctType]],acct_type_ref[AcctType],acct_type_ref[BalanceID],"Check Spelling",0)</f>
        <v>1</v>
      </c>
      <c r="G45">
        <v>30</v>
      </c>
      <c r="J45" t="s">
        <v>359</v>
      </c>
      <c r="N45" t="s">
        <v>220</v>
      </c>
      <c r="O45" t="s">
        <v>48</v>
      </c>
      <c r="P45">
        <f>_xlfn.XLOOKUP(item_ref[[#This Row],[Account]],acct_ref[AccountName],acct_ref[AcctNo],"missing",0)</f>
        <v>5001</v>
      </c>
      <c r="Q45">
        <v>1</v>
      </c>
      <c r="V45" t="str">
        <f>_xlfn.CONCAT(item_ref[[#This Row],[Trans_Type]],item_ref[[#This Row],[Fix/Flex]],item_ref[[#This Row],[PRIO]],"-")</f>
        <v>-</v>
      </c>
      <c r="W45" t="str">
        <f>_xlfn.CONCAT(item_ref[[#This Row],[DesID_1]])</f>
        <v>-</v>
      </c>
      <c r="X45"/>
    </row>
    <row r="46" spans="1:41" x14ac:dyDescent="0.25">
      <c r="A46">
        <v>45</v>
      </c>
      <c r="C46" t="s">
        <v>49</v>
      </c>
      <c r="D46" t="s">
        <v>3</v>
      </c>
      <c r="E46">
        <v>5003</v>
      </c>
      <c r="F46">
        <f>_xlfn.XLOOKUP(acct_ref[[#This Row],[AcctType]],acct_type_ref[AcctType],acct_type_ref[BalanceID],"Check Spelling",0)</f>
        <v>1</v>
      </c>
      <c r="G46">
        <v>30</v>
      </c>
      <c r="J46" t="s">
        <v>369</v>
      </c>
      <c r="N46" t="s">
        <v>256</v>
      </c>
      <c r="O46" t="s">
        <v>48</v>
      </c>
      <c r="P46">
        <f>_xlfn.XLOOKUP(item_ref[[#This Row],[Account]],acct_ref[AccountName],acct_ref[AcctNo],"missing",0)</f>
        <v>5001</v>
      </c>
      <c r="Q46">
        <v>1</v>
      </c>
      <c r="V46" t="str">
        <f>_xlfn.CONCAT(item_ref[[#This Row],[Trans_Type]],item_ref[[#This Row],[Fix/Flex]],item_ref[[#This Row],[PRIO]],"-")</f>
        <v>-</v>
      </c>
      <c r="W46" t="str">
        <f>_xlfn.CONCAT(item_ref[[#This Row],[DesID_1]])</f>
        <v>-</v>
      </c>
      <c r="X46"/>
    </row>
    <row r="47" spans="1:41" x14ac:dyDescent="0.25">
      <c r="A47">
        <v>46</v>
      </c>
      <c r="C47" t="s">
        <v>35</v>
      </c>
      <c r="D47" t="s">
        <v>3</v>
      </c>
      <c r="E47">
        <v>5004</v>
      </c>
      <c r="F47">
        <f>_xlfn.XLOOKUP(acct_ref[[#This Row],[AcctType]],acct_type_ref[AcctType],acct_type_ref[BalanceID],"Check Spelling",0)</f>
        <v>1</v>
      </c>
      <c r="G47">
        <v>30</v>
      </c>
      <c r="J47" t="s">
        <v>406</v>
      </c>
      <c r="N47" t="s">
        <v>197</v>
      </c>
      <c r="O47" t="s">
        <v>48</v>
      </c>
      <c r="P47">
        <f>_xlfn.XLOOKUP(item_ref[[#This Row],[Account]],acct_ref[AccountName],acct_ref[AcctNo],"missing",0)</f>
        <v>5001</v>
      </c>
      <c r="Q47">
        <v>1</v>
      </c>
      <c r="V47" t="str">
        <f>_xlfn.CONCAT(item_ref[[#This Row],[Trans_Type]],item_ref[[#This Row],[Fix/Flex]],item_ref[[#This Row],[PRIO]],"-")</f>
        <v>-</v>
      </c>
      <c r="W47" t="str">
        <f>_xlfn.CONCAT(item_ref[[#This Row],[DesID_1]])</f>
        <v>-</v>
      </c>
      <c r="X47"/>
    </row>
    <row r="48" spans="1:41" x14ac:dyDescent="0.25">
      <c r="A48">
        <v>47</v>
      </c>
      <c r="C48" t="s">
        <v>36</v>
      </c>
      <c r="D48" t="s">
        <v>3</v>
      </c>
      <c r="E48">
        <v>5005</v>
      </c>
      <c r="F48">
        <f>_xlfn.XLOOKUP(acct_ref[[#This Row],[AcctType]],acct_type_ref[AcctType],acct_type_ref[BalanceID],"Check Spelling",0)</f>
        <v>1</v>
      </c>
      <c r="G48">
        <v>30</v>
      </c>
      <c r="J48" t="s">
        <v>322</v>
      </c>
      <c r="N48" t="s">
        <v>196</v>
      </c>
      <c r="O48" t="s">
        <v>48</v>
      </c>
      <c r="P48">
        <f>_xlfn.XLOOKUP(item_ref[[#This Row],[Account]],acct_ref[AccountName],acct_ref[AcctNo],"missing",0)</f>
        <v>5001</v>
      </c>
      <c r="Q48">
        <v>1</v>
      </c>
      <c r="V48" t="str">
        <f>_xlfn.CONCAT(item_ref[[#This Row],[Trans_Type]],item_ref[[#This Row],[Fix/Flex]],item_ref[[#This Row],[PRIO]],"-")</f>
        <v>-</v>
      </c>
      <c r="W48" t="str">
        <f>_xlfn.CONCAT(item_ref[[#This Row],[DesID_1]])</f>
        <v>-</v>
      </c>
      <c r="X48"/>
    </row>
    <row r="49" spans="1:24" x14ac:dyDescent="0.25">
      <c r="A49">
        <v>48</v>
      </c>
      <c r="C49" t="s">
        <v>37</v>
      </c>
      <c r="D49" t="s">
        <v>3</v>
      </c>
      <c r="E49">
        <v>5006</v>
      </c>
      <c r="F49">
        <f>_xlfn.XLOOKUP(acct_ref[[#This Row],[AcctType]],acct_type_ref[AcctType],acct_type_ref[BalanceID],"Check Spelling",0)</f>
        <v>1</v>
      </c>
      <c r="G49">
        <v>30</v>
      </c>
      <c r="J49" t="s">
        <v>360</v>
      </c>
      <c r="N49" t="s">
        <v>221</v>
      </c>
      <c r="O49" t="s">
        <v>48</v>
      </c>
      <c r="P49">
        <f>_xlfn.XLOOKUP(item_ref[[#This Row],[Account]],acct_ref[AccountName],acct_ref[AcctNo],"missing",0)</f>
        <v>5001</v>
      </c>
      <c r="Q49">
        <v>1</v>
      </c>
      <c r="V49" t="str">
        <f>_xlfn.CONCAT(item_ref[[#This Row],[Trans_Type]],item_ref[[#This Row],[Fix/Flex]],item_ref[[#This Row],[PRIO]],"-")</f>
        <v>-</v>
      </c>
      <c r="W49" t="str">
        <f>_xlfn.CONCAT(item_ref[[#This Row],[DesID_1]])</f>
        <v>-</v>
      </c>
      <c r="X49"/>
    </row>
    <row r="50" spans="1:24" x14ac:dyDescent="0.25">
      <c r="A50">
        <v>49</v>
      </c>
      <c r="C50" t="s">
        <v>50</v>
      </c>
      <c r="D50" t="s">
        <v>3</v>
      </c>
      <c r="E50">
        <v>5007</v>
      </c>
      <c r="F50">
        <f>_xlfn.XLOOKUP(acct_ref[[#This Row],[AcctType]],acct_type_ref[AcctType],acct_type_ref[BalanceID],"Check Spelling",0)</f>
        <v>1</v>
      </c>
      <c r="G50">
        <v>32</v>
      </c>
      <c r="J50" t="s">
        <v>407</v>
      </c>
      <c r="N50" t="s">
        <v>218</v>
      </c>
      <c r="O50" t="s">
        <v>48</v>
      </c>
      <c r="P50">
        <f>_xlfn.XLOOKUP(item_ref[[#This Row],[Account]],acct_ref[AccountName],acct_ref[AcctNo],"missing",0)</f>
        <v>5001</v>
      </c>
      <c r="Q50">
        <v>1</v>
      </c>
      <c r="V50" t="str">
        <f>_xlfn.CONCAT(item_ref[[#This Row],[Trans_Type]],item_ref[[#This Row],[Fix/Flex]],item_ref[[#This Row],[PRIO]],"-")</f>
        <v>-</v>
      </c>
      <c r="W50" t="str">
        <f>_xlfn.CONCAT(item_ref[[#This Row],[DesID_1]])</f>
        <v>-</v>
      </c>
      <c r="X50"/>
    </row>
    <row r="51" spans="1:24" x14ac:dyDescent="0.25">
      <c r="A51">
        <v>50</v>
      </c>
      <c r="C51" t="s">
        <v>51</v>
      </c>
      <c r="D51" t="s">
        <v>3</v>
      </c>
      <c r="E51">
        <v>5008</v>
      </c>
      <c r="F51">
        <f>_xlfn.XLOOKUP(acct_ref[[#This Row],[AcctType]],acct_type_ref[AcctType],acct_type_ref[BalanceID],"Check Spelling",0)</f>
        <v>1</v>
      </c>
      <c r="G51">
        <v>31</v>
      </c>
      <c r="J51" t="s">
        <v>363</v>
      </c>
      <c r="N51" t="s">
        <v>245</v>
      </c>
      <c r="O51" t="s">
        <v>48</v>
      </c>
      <c r="P51">
        <f>_xlfn.XLOOKUP(item_ref[[#This Row],[Account]],acct_ref[AccountName],acct_ref[AcctNo],"missing",0)</f>
        <v>5001</v>
      </c>
      <c r="Q51">
        <v>1</v>
      </c>
      <c r="V51" t="str">
        <f>_xlfn.CONCAT(item_ref[[#This Row],[Trans_Type]],item_ref[[#This Row],[Fix/Flex]],item_ref[[#This Row],[PRIO]],"-")</f>
        <v>-</v>
      </c>
      <c r="W51" t="str">
        <f>_xlfn.CONCAT(item_ref[[#This Row],[DesID_1]])</f>
        <v>-</v>
      </c>
      <c r="X51"/>
    </row>
    <row r="52" spans="1:24" x14ac:dyDescent="0.25">
      <c r="A52">
        <v>51</v>
      </c>
      <c r="C52" t="s">
        <v>8</v>
      </c>
      <c r="D52" t="s">
        <v>3</v>
      </c>
      <c r="E52">
        <v>5009</v>
      </c>
      <c r="F52">
        <f>_xlfn.XLOOKUP(acct_ref[[#This Row],[AcctType]],acct_type_ref[AcctType],acct_type_ref[BalanceID],"Check Spelling",0)</f>
        <v>1</v>
      </c>
      <c r="G52">
        <v>33</v>
      </c>
      <c r="J52" t="s">
        <v>364</v>
      </c>
      <c r="N52" t="s">
        <v>251</v>
      </c>
      <c r="O52" t="s">
        <v>48</v>
      </c>
      <c r="P52">
        <f>_xlfn.XLOOKUP(item_ref[[#This Row],[Account]],acct_ref[AccountName],acct_ref[AcctNo],"missing",0)</f>
        <v>5001</v>
      </c>
      <c r="Q52">
        <v>1</v>
      </c>
      <c r="V52" t="str">
        <f>_xlfn.CONCAT(item_ref[[#This Row],[Trans_Type]],item_ref[[#This Row],[Fix/Flex]],item_ref[[#This Row],[PRIO]],"-")</f>
        <v>-</v>
      </c>
      <c r="W52" t="str">
        <f>_xlfn.CONCAT(item_ref[[#This Row],[DesID_1]])</f>
        <v>-</v>
      </c>
      <c r="X52"/>
    </row>
    <row r="53" spans="1:24" x14ac:dyDescent="0.25">
      <c r="A53">
        <v>52</v>
      </c>
      <c r="C53" t="s">
        <v>211</v>
      </c>
      <c r="D53" t="s">
        <v>3</v>
      </c>
      <c r="E53">
        <v>5010</v>
      </c>
      <c r="F53">
        <f>_xlfn.XLOOKUP(acct_ref[[#This Row],[AcctType]],acct_type_ref[AcctType],acct_type_ref[BalanceID],"Check Spelling",0)</f>
        <v>1</v>
      </c>
      <c r="G53">
        <v>31</v>
      </c>
      <c r="J53" t="s">
        <v>318</v>
      </c>
      <c r="N53" t="s">
        <v>465</v>
      </c>
      <c r="O53" t="s">
        <v>48</v>
      </c>
      <c r="P53">
        <f>_xlfn.XLOOKUP(item_ref[[#This Row],[Account]],acct_ref[AccountName],acct_ref[AcctNo],"missing",0)</f>
        <v>5001</v>
      </c>
      <c r="V53" t="str">
        <f>_xlfn.CONCAT(item_ref[[#This Row],[Trans_Type]],item_ref[[#This Row],[Fix/Flex]],item_ref[[#This Row],[PRIO]],"-")</f>
        <v>-</v>
      </c>
      <c r="W53" t="str">
        <f>_xlfn.CONCAT(item_ref[[#This Row],[DesID_1]])</f>
        <v>-</v>
      </c>
      <c r="X53"/>
    </row>
    <row r="54" spans="1:24" x14ac:dyDescent="0.25">
      <c r="A54">
        <v>53</v>
      </c>
      <c r="C54" t="s">
        <v>52</v>
      </c>
      <c r="D54" t="s">
        <v>3</v>
      </c>
      <c r="E54">
        <v>5013</v>
      </c>
      <c r="F54">
        <f>_xlfn.XLOOKUP(acct_ref[[#This Row],[AcctType]],acct_type_ref[AcctType],acct_type_ref[BalanceID],"Check Spelling",0)</f>
        <v>1</v>
      </c>
      <c r="G54">
        <v>30</v>
      </c>
      <c r="J54" t="s">
        <v>408</v>
      </c>
      <c r="N54" t="s">
        <v>321</v>
      </c>
      <c r="O54" t="s">
        <v>35</v>
      </c>
      <c r="P54">
        <f>_xlfn.XLOOKUP(item_ref[[#This Row],[Account]],acct_ref[AccountName],acct_ref[AcctNo],"missing",0)</f>
        <v>5004</v>
      </c>
      <c r="Q54">
        <v>1</v>
      </c>
      <c r="V54" t="str">
        <f>_xlfn.CONCAT(item_ref[[#This Row],[Trans_Type]],item_ref[[#This Row],[Fix/Flex]],item_ref[[#This Row],[PRIO]],"-")</f>
        <v>-</v>
      </c>
      <c r="W54" t="str">
        <f>_xlfn.CONCAT(item_ref[[#This Row],[DesID_1]])</f>
        <v>-</v>
      </c>
      <c r="X54"/>
    </row>
    <row r="55" spans="1:24" x14ac:dyDescent="0.25">
      <c r="A55">
        <v>54</v>
      </c>
      <c r="C55" t="s">
        <v>129</v>
      </c>
      <c r="D55" t="s">
        <v>3</v>
      </c>
      <c r="E55">
        <v>5014</v>
      </c>
      <c r="F55">
        <f>_xlfn.XLOOKUP(acct_ref[[#This Row],[AcctType]],acct_type_ref[AcctType],acct_type_ref[BalanceID],"Check Spelling",0)</f>
        <v>1</v>
      </c>
      <c r="G55">
        <v>30</v>
      </c>
      <c r="J55" t="s">
        <v>410</v>
      </c>
      <c r="N55" t="s">
        <v>343</v>
      </c>
      <c r="O55" t="s">
        <v>47</v>
      </c>
      <c r="P55">
        <f>_xlfn.XLOOKUP(item_ref[[#This Row],[Account]],acct_ref[AccountName],acct_ref[AcctNo],"missing",0)</f>
        <v>2004</v>
      </c>
      <c r="Q55">
        <v>1</v>
      </c>
      <c r="V55" t="str">
        <f>_xlfn.CONCAT(item_ref[[#This Row],[Trans_Type]],item_ref[[#This Row],[Fix/Flex]],item_ref[[#This Row],[PRIO]],"-")</f>
        <v>-</v>
      </c>
      <c r="W55" t="str">
        <f>_xlfn.CONCAT(item_ref[[#This Row],[DesID_1]])</f>
        <v>-</v>
      </c>
      <c r="X55"/>
    </row>
    <row r="56" spans="1:24" x14ac:dyDescent="0.25">
      <c r="A56">
        <v>55</v>
      </c>
      <c r="C56" t="s">
        <v>54</v>
      </c>
      <c r="D56" t="s">
        <v>3</v>
      </c>
      <c r="E56">
        <v>5015</v>
      </c>
      <c r="F56">
        <f>_xlfn.XLOOKUP(acct_ref[[#This Row],[AcctType]],acct_type_ref[AcctType],acct_type_ref[BalanceID],"Check Spelling",0)</f>
        <v>1</v>
      </c>
      <c r="G56">
        <v>31</v>
      </c>
      <c r="J56" t="s">
        <v>409</v>
      </c>
      <c r="N56" t="s">
        <v>247</v>
      </c>
      <c r="O56" t="s">
        <v>51</v>
      </c>
      <c r="P56">
        <f>_xlfn.XLOOKUP(item_ref[[#This Row],[Account]],acct_ref[AccountName],acct_ref[AcctNo],"missing",0)</f>
        <v>5008</v>
      </c>
      <c r="Q56">
        <v>1</v>
      </c>
      <c r="V56" t="str">
        <f>_xlfn.CONCAT(item_ref[[#This Row],[Trans_Type]],item_ref[[#This Row],[Fix/Flex]],item_ref[[#This Row],[PRIO]],"-")</f>
        <v>-</v>
      </c>
      <c r="W56" t="str">
        <f>_xlfn.CONCAT(item_ref[[#This Row],[DesID_1]])</f>
        <v>-</v>
      </c>
      <c r="X56"/>
    </row>
    <row r="57" spans="1:24" x14ac:dyDescent="0.25">
      <c r="A57">
        <v>56</v>
      </c>
      <c r="C57" t="s">
        <v>64</v>
      </c>
      <c r="D57" t="s">
        <v>3</v>
      </c>
      <c r="E57">
        <v>5016</v>
      </c>
      <c r="F57">
        <f>_xlfn.XLOOKUP(acct_ref[[#This Row],[AcctType]],acct_type_ref[AcctType],acct_type_ref[BalanceID],"Check Spelling",0)</f>
        <v>1</v>
      </c>
      <c r="G57">
        <v>31</v>
      </c>
      <c r="N57" t="s">
        <v>460</v>
      </c>
      <c r="O57" t="s">
        <v>51</v>
      </c>
      <c r="P57">
        <f>_xlfn.XLOOKUP(item_ref[[#This Row],[Account]],acct_ref[AccountName],acct_ref[AcctNo],"missing",0)</f>
        <v>5008</v>
      </c>
      <c r="V57" t="str">
        <f>_xlfn.CONCAT(item_ref[[#This Row],[Trans_Type]],item_ref[[#This Row],[Fix/Flex]],item_ref[[#This Row],[PRIO]],"-")</f>
        <v>-</v>
      </c>
      <c r="W57" t="str">
        <f>_xlfn.CONCAT(item_ref[[#This Row],[DesID_1]])</f>
        <v>-</v>
      </c>
      <c r="X57"/>
    </row>
    <row r="58" spans="1:24" x14ac:dyDescent="0.25">
      <c r="A58">
        <v>57</v>
      </c>
      <c r="C58" t="s">
        <v>53</v>
      </c>
      <c r="D58" t="s">
        <v>3</v>
      </c>
      <c r="E58">
        <v>5017</v>
      </c>
      <c r="F58">
        <f>_xlfn.XLOOKUP(acct_ref[[#This Row],[AcctType]],acct_type_ref[AcctType],acct_type_ref[BalanceID],"Check Spelling",0)</f>
        <v>1</v>
      </c>
      <c r="G58">
        <v>31</v>
      </c>
      <c r="J58" t="s">
        <v>315</v>
      </c>
      <c r="K58" t="s">
        <v>590</v>
      </c>
      <c r="N58" t="s">
        <v>206</v>
      </c>
      <c r="O58" t="s">
        <v>51</v>
      </c>
      <c r="P58">
        <f>_xlfn.XLOOKUP(item_ref[[#This Row],[Account]],acct_ref[AccountName],acct_ref[AcctNo],"missing",0)</f>
        <v>5008</v>
      </c>
      <c r="Q58">
        <v>1</v>
      </c>
      <c r="V58" t="str">
        <f>_xlfn.CONCAT(item_ref[[#This Row],[Trans_Type]],item_ref[[#This Row],[Fix/Flex]],item_ref[[#This Row],[PRIO]],"-")</f>
        <v>-</v>
      </c>
      <c r="W58" t="str">
        <f>_xlfn.CONCAT(item_ref[[#This Row],[DesID_1]])</f>
        <v>-</v>
      </c>
      <c r="X58"/>
    </row>
    <row r="59" spans="1:24" x14ac:dyDescent="0.25">
      <c r="A59">
        <v>58</v>
      </c>
      <c r="C59" t="s">
        <v>212</v>
      </c>
      <c r="D59" t="s">
        <v>3</v>
      </c>
      <c r="E59">
        <v>5018</v>
      </c>
      <c r="F59">
        <f>_xlfn.XLOOKUP(acct_ref[[#This Row],[AcctType]],acct_type_ref[AcctType],acct_type_ref[BalanceID],"Check Spelling",0)</f>
        <v>1</v>
      </c>
      <c r="G59">
        <v>31</v>
      </c>
      <c r="J59">
        <v>1</v>
      </c>
      <c r="K59" t="s">
        <v>591</v>
      </c>
      <c r="N59" t="s">
        <v>143</v>
      </c>
      <c r="O59" t="s">
        <v>51</v>
      </c>
      <c r="P59">
        <f>_xlfn.XLOOKUP(item_ref[[#This Row],[Account]],acct_ref[AccountName],acct_ref[AcctNo],"missing",0)</f>
        <v>5008</v>
      </c>
      <c r="Q59">
        <v>1</v>
      </c>
      <c r="S59">
        <v>0</v>
      </c>
      <c r="T59">
        <v>0</v>
      </c>
      <c r="U59">
        <v>2</v>
      </c>
      <c r="V59" t="str">
        <f>_xlfn.CONCAT(item_ref[[#This Row],[Trans_Type]],item_ref[[#This Row],[Fix/Flex]],item_ref[[#This Row],[PRIO]],"-")</f>
        <v>002-</v>
      </c>
      <c r="W59" t="str">
        <f>_xlfn.CONCAT(item_ref[[#This Row],[DesID_1]])</f>
        <v>002-</v>
      </c>
      <c r="X59"/>
    </row>
    <row r="60" spans="1:24" x14ac:dyDescent="0.25">
      <c r="A60">
        <v>59</v>
      </c>
      <c r="C60" t="s">
        <v>120</v>
      </c>
      <c r="D60" t="s">
        <v>3</v>
      </c>
      <c r="E60">
        <v>5025</v>
      </c>
      <c r="F60">
        <f>_xlfn.XLOOKUP(acct_ref[[#This Row],[AcctType]],acct_type_ref[AcctType],acct_type_ref[BalanceID],"Check Spelling",0)</f>
        <v>1</v>
      </c>
      <c r="G60">
        <v>39</v>
      </c>
      <c r="J60">
        <v>2</v>
      </c>
      <c r="K60" t="s">
        <v>592</v>
      </c>
      <c r="N60" t="s">
        <v>253</v>
      </c>
      <c r="O60" t="s">
        <v>503</v>
      </c>
      <c r="P60">
        <f>_xlfn.XLOOKUP(item_ref[[#This Row],[Account]],acct_ref[AccountName],acct_ref[AcctNo],"missing",0)</f>
        <v>5050</v>
      </c>
      <c r="Q60">
        <v>1</v>
      </c>
      <c r="V60" t="str">
        <f>_xlfn.CONCAT(item_ref[[#This Row],[Trans_Type]],item_ref[[#This Row],[Fix/Flex]],item_ref[[#This Row],[PRIO]],"-")</f>
        <v>-</v>
      </c>
      <c r="W60" t="str">
        <f>_xlfn.CONCAT(item_ref[[#This Row],[DesID_1]])</f>
        <v>-</v>
      </c>
      <c r="X60"/>
    </row>
    <row r="61" spans="1:24" x14ac:dyDescent="0.25">
      <c r="A61">
        <v>60</v>
      </c>
      <c r="C61" t="s">
        <v>501</v>
      </c>
      <c r="D61" t="s">
        <v>3</v>
      </c>
      <c r="E61">
        <v>5019</v>
      </c>
      <c r="F61">
        <f>_xlfn.XLOOKUP(acct_ref[[#This Row],[AcctType]],acct_type_ref[AcctType],acct_type_ref[BalanceID],"Check Spelling",0)</f>
        <v>1</v>
      </c>
      <c r="G61">
        <v>40</v>
      </c>
      <c r="N61" t="s">
        <v>467</v>
      </c>
      <c r="O61" t="s">
        <v>211</v>
      </c>
      <c r="P61">
        <f>_xlfn.XLOOKUP(item_ref[[#This Row],[Account]],acct_ref[AccountName],acct_ref[AcctNo],"missing",0)</f>
        <v>5010</v>
      </c>
      <c r="V61" t="str">
        <f>_xlfn.CONCAT(item_ref[[#This Row],[Trans_Type]],item_ref[[#This Row],[Fix/Flex]],item_ref[[#This Row],[PRIO]],"-")</f>
        <v>-</v>
      </c>
      <c r="W61" t="str">
        <f>_xlfn.CONCAT(item_ref[[#This Row],[DesID_1]])</f>
        <v>-</v>
      </c>
      <c r="X61"/>
    </row>
    <row r="62" spans="1:24" x14ac:dyDescent="0.25">
      <c r="A62">
        <v>61</v>
      </c>
      <c r="C62" t="s">
        <v>503</v>
      </c>
      <c r="D62" t="s">
        <v>3</v>
      </c>
      <c r="E62">
        <v>5050</v>
      </c>
      <c r="F62">
        <f>_xlfn.XLOOKUP(acct_ref[[#This Row],[AcctType]],acct_type_ref[AcctType],acct_type_ref[BalanceID],"Check Spelling",0)</f>
        <v>1</v>
      </c>
      <c r="N62" t="s">
        <v>185</v>
      </c>
      <c r="O62" t="s">
        <v>211</v>
      </c>
      <c r="P62">
        <f>_xlfn.XLOOKUP(item_ref[[#This Row],[Account]],acct_ref[AccountName],acct_ref[AcctNo],"missing",0)</f>
        <v>5010</v>
      </c>
      <c r="Q62">
        <v>1</v>
      </c>
      <c r="R62">
        <v>1</v>
      </c>
      <c r="V62" t="str">
        <f>_xlfn.CONCAT(item_ref[[#This Row],[Trans_Type]],item_ref[[#This Row],[Fix/Flex]],item_ref[[#This Row],[PRIO]],"-")</f>
        <v>-</v>
      </c>
      <c r="W62" t="str">
        <f>_xlfn.CONCAT(item_ref[[#This Row],[DesID_1]])</f>
        <v>-</v>
      </c>
      <c r="X62"/>
    </row>
    <row r="63" spans="1:24" x14ac:dyDescent="0.25">
      <c r="A63">
        <v>62</v>
      </c>
      <c r="F63" s="2"/>
      <c r="J63" t="s">
        <v>65</v>
      </c>
      <c r="K63" t="s">
        <v>66</v>
      </c>
      <c r="N63" t="s">
        <v>490</v>
      </c>
      <c r="O63" t="s">
        <v>211</v>
      </c>
      <c r="P63">
        <f>_xlfn.XLOOKUP(item_ref[[#This Row],[Account]],acct_ref[AccountName],acct_ref[AcctNo],"missing",0)</f>
        <v>5010</v>
      </c>
      <c r="V63" t="str">
        <f>_xlfn.CONCAT(item_ref[[#This Row],[Trans_Type]],item_ref[[#This Row],[Fix/Flex]],item_ref[[#This Row],[PRIO]],"-")</f>
        <v>-</v>
      </c>
      <c r="W63" t="str">
        <f>_xlfn.CONCAT(item_ref[[#This Row],[DesID_1]])</f>
        <v>-</v>
      </c>
      <c r="X63"/>
    </row>
    <row r="64" spans="1:24" x14ac:dyDescent="0.25">
      <c r="A64">
        <v>63</v>
      </c>
      <c r="F64" s="2"/>
      <c r="J64" t="s">
        <v>40</v>
      </c>
      <c r="K64" s="24"/>
      <c r="N64" t="s">
        <v>235</v>
      </c>
      <c r="O64" t="s">
        <v>211</v>
      </c>
      <c r="P64">
        <f>_xlfn.XLOOKUP(item_ref[[#This Row],[Account]],acct_ref[AccountName],acct_ref[AcctNo],"missing",0)</f>
        <v>5010</v>
      </c>
      <c r="Q64">
        <v>1</v>
      </c>
      <c r="R64">
        <v>1</v>
      </c>
      <c r="V64" t="str">
        <f>_xlfn.CONCAT(item_ref[[#This Row],[Trans_Type]],item_ref[[#This Row],[Fix/Flex]],item_ref[[#This Row],[PRIO]],"-")</f>
        <v>-</v>
      </c>
      <c r="W64" t="str">
        <f>_xlfn.CONCAT(item_ref[[#This Row],[DesID_1]])</f>
        <v>-</v>
      </c>
      <c r="X64"/>
    </row>
    <row r="65" spans="1:24" x14ac:dyDescent="0.25">
      <c r="A65">
        <v>64</v>
      </c>
      <c r="F65" s="2"/>
      <c r="J65" t="s">
        <v>42</v>
      </c>
      <c r="K65" s="25"/>
      <c r="N65" t="s">
        <v>198</v>
      </c>
      <c r="O65" t="s">
        <v>129</v>
      </c>
      <c r="P65">
        <f>_xlfn.XLOOKUP(item_ref[[#This Row],[Account]],acct_ref[AccountName],acct_ref[AcctNo],"missing",0)</f>
        <v>5014</v>
      </c>
      <c r="Q65">
        <v>1</v>
      </c>
      <c r="V65" t="str">
        <f>_xlfn.CONCAT(item_ref[[#This Row],[Trans_Type]],item_ref[[#This Row],[Fix/Flex]],item_ref[[#This Row],[PRIO]],"-")</f>
        <v>-</v>
      </c>
      <c r="W65" t="str">
        <f>_xlfn.CONCAT(item_ref[[#This Row],[DesID_1]])</f>
        <v>-</v>
      </c>
      <c r="X65"/>
    </row>
    <row r="66" spans="1:24" x14ac:dyDescent="0.25">
      <c r="A66">
        <v>65</v>
      </c>
      <c r="F66" s="2"/>
      <c r="J66" t="s">
        <v>20</v>
      </c>
      <c r="K66" s="26"/>
      <c r="N66" t="s">
        <v>209</v>
      </c>
      <c r="O66" t="s">
        <v>129</v>
      </c>
      <c r="P66">
        <f>_xlfn.XLOOKUP(item_ref[[#This Row],[Account]],acct_ref[AccountName],acct_ref[AcctNo],"missing",0)</f>
        <v>5014</v>
      </c>
      <c r="Q66">
        <v>1</v>
      </c>
      <c r="V66" t="str">
        <f>_xlfn.CONCAT(item_ref[[#This Row],[Trans_Type]],item_ref[[#This Row],[Fix/Flex]],item_ref[[#This Row],[PRIO]],"-")</f>
        <v>-</v>
      </c>
      <c r="W66" t="str">
        <f>_xlfn.CONCAT(item_ref[[#This Row],[DesID_1]])</f>
        <v>-</v>
      </c>
      <c r="X66"/>
    </row>
    <row r="67" spans="1:24" x14ac:dyDescent="0.25">
      <c r="A67">
        <v>66</v>
      </c>
      <c r="F67" s="2"/>
      <c r="J67" t="s">
        <v>67</v>
      </c>
      <c r="N67" t="s">
        <v>236</v>
      </c>
      <c r="O67" t="s">
        <v>129</v>
      </c>
      <c r="P67">
        <f>_xlfn.XLOOKUP(item_ref[[#This Row],[Account]],acct_ref[AccountName],acct_ref[AcctNo],"missing",0)</f>
        <v>5014</v>
      </c>
      <c r="Q67">
        <v>1</v>
      </c>
      <c r="V67" t="str">
        <f>_xlfn.CONCAT(item_ref[[#This Row],[Trans_Type]],item_ref[[#This Row],[Fix/Flex]],item_ref[[#This Row],[PRIO]],"-")</f>
        <v>-</v>
      </c>
      <c r="W67" t="str">
        <f>_xlfn.CONCAT(item_ref[[#This Row],[DesID_1]])</f>
        <v>-</v>
      </c>
      <c r="X67"/>
    </row>
    <row r="68" spans="1:24" x14ac:dyDescent="0.25">
      <c r="A68">
        <v>67</v>
      </c>
      <c r="F68" s="2"/>
      <c r="J68" t="s">
        <v>68</v>
      </c>
      <c r="K68" s="27"/>
      <c r="N68" t="s">
        <v>230</v>
      </c>
      <c r="O68" t="s">
        <v>129</v>
      </c>
      <c r="P68">
        <f>_xlfn.XLOOKUP(item_ref[[#This Row],[Account]],acct_ref[AccountName],acct_ref[AcctNo],"missing",0)</f>
        <v>5014</v>
      </c>
      <c r="Q68">
        <v>1</v>
      </c>
      <c r="V68" t="str">
        <f>_xlfn.CONCAT(item_ref[[#This Row],[Trans_Type]],item_ref[[#This Row],[Fix/Flex]],item_ref[[#This Row],[PRIO]],"-")</f>
        <v>-</v>
      </c>
      <c r="W68" t="str">
        <f>_xlfn.CONCAT(item_ref[[#This Row],[DesID_1]])</f>
        <v>-</v>
      </c>
      <c r="X68"/>
    </row>
    <row r="69" spans="1:24" x14ac:dyDescent="0.25">
      <c r="A69">
        <v>68</v>
      </c>
      <c r="F69" s="2"/>
      <c r="J69" t="s">
        <v>69</v>
      </c>
      <c r="K69" s="28"/>
      <c r="N69" t="s">
        <v>227</v>
      </c>
      <c r="O69" t="s">
        <v>129</v>
      </c>
      <c r="P69">
        <f>_xlfn.XLOOKUP(item_ref[[#This Row],[Account]],acct_ref[AccountName],acct_ref[AcctNo],"missing",0)</f>
        <v>5014</v>
      </c>
      <c r="Q69">
        <v>1</v>
      </c>
      <c r="V69" t="str">
        <f>_xlfn.CONCAT(item_ref[[#This Row],[Trans_Type]],item_ref[[#This Row],[Fix/Flex]],item_ref[[#This Row],[PRIO]],"-")</f>
        <v>-</v>
      </c>
      <c r="W69" t="str">
        <f>_xlfn.CONCAT(item_ref[[#This Row],[DesID_1]])</f>
        <v>-</v>
      </c>
      <c r="X69"/>
    </row>
    <row r="70" spans="1:24" x14ac:dyDescent="0.25">
      <c r="A70">
        <v>69</v>
      </c>
      <c r="F70" s="2"/>
      <c r="J70" t="s">
        <v>70</v>
      </c>
      <c r="K70" s="29"/>
      <c r="N70" t="s">
        <v>141</v>
      </c>
      <c r="O70" t="s">
        <v>129</v>
      </c>
      <c r="P70">
        <f>_xlfn.XLOOKUP(item_ref[[#This Row],[Account]],acct_ref[AccountName],acct_ref[AcctNo],"missing",0)</f>
        <v>5014</v>
      </c>
      <c r="Q70">
        <v>1</v>
      </c>
      <c r="R70">
        <v>2</v>
      </c>
      <c r="S70">
        <v>4</v>
      </c>
      <c r="T70">
        <v>1</v>
      </c>
      <c r="U70">
        <v>2</v>
      </c>
      <c r="V70" t="str">
        <f>_xlfn.CONCAT(item_ref[[#This Row],[Trans_Type]],item_ref[[#This Row],[Fix/Flex]],item_ref[[#This Row],[PRIO]],"-")</f>
        <v>412-</v>
      </c>
      <c r="W70" t="str">
        <f>_xlfn.CONCAT(item_ref[[#This Row],[DesID_1]])</f>
        <v>412-</v>
      </c>
      <c r="X70"/>
    </row>
    <row r="71" spans="1:24" x14ac:dyDescent="0.25">
      <c r="A71">
        <v>70</v>
      </c>
      <c r="F71" s="2"/>
      <c r="J71" t="s">
        <v>71</v>
      </c>
      <c r="K71" s="30"/>
      <c r="N71" t="s">
        <v>498</v>
      </c>
      <c r="O71" t="s">
        <v>129</v>
      </c>
      <c r="P71">
        <f>_xlfn.XLOOKUP(item_ref[[#This Row],[Account]],acct_ref[AccountName],acct_ref[AcctNo],"missing",0)</f>
        <v>5014</v>
      </c>
      <c r="V71" t="str">
        <f>_xlfn.CONCAT(item_ref[[#This Row],[Trans_Type]],item_ref[[#This Row],[Fix/Flex]],item_ref[[#This Row],[PRIO]],"-")</f>
        <v>-</v>
      </c>
      <c r="W71" t="str">
        <f>_xlfn.CONCAT(item_ref[[#This Row],[DesID_1]])</f>
        <v>-</v>
      </c>
      <c r="X71"/>
    </row>
    <row r="72" spans="1:24" x14ac:dyDescent="0.25">
      <c r="A72">
        <v>71</v>
      </c>
      <c r="F72" s="2"/>
      <c r="J72" t="s">
        <v>72</v>
      </c>
      <c r="K72" s="31"/>
      <c r="N72" t="s">
        <v>334</v>
      </c>
      <c r="O72" t="s">
        <v>129</v>
      </c>
      <c r="P72">
        <f>_xlfn.XLOOKUP(item_ref[[#This Row],[Account]],acct_ref[AccountName],acct_ref[AcctNo],"missing",0)</f>
        <v>5014</v>
      </c>
      <c r="Q72">
        <v>1</v>
      </c>
      <c r="R72">
        <v>2</v>
      </c>
      <c r="S72">
        <v>4</v>
      </c>
      <c r="T72">
        <v>1</v>
      </c>
      <c r="U72">
        <v>3</v>
      </c>
      <c r="V72" t="str">
        <f>_xlfn.CONCAT(item_ref[[#This Row],[Trans_Type]],item_ref[[#This Row],[Fix/Flex]],item_ref[[#This Row],[PRIO]],"-")</f>
        <v>413-</v>
      </c>
      <c r="W72" t="str">
        <f>_xlfn.CONCAT(item_ref[[#This Row],[DesID_1]])</f>
        <v>413-</v>
      </c>
      <c r="X72"/>
    </row>
    <row r="73" spans="1:24" x14ac:dyDescent="0.25">
      <c r="A73">
        <v>72</v>
      </c>
      <c r="F73" s="2"/>
      <c r="J73" t="s">
        <v>73</v>
      </c>
      <c r="N73" t="s">
        <v>152</v>
      </c>
      <c r="O73" t="s">
        <v>129</v>
      </c>
      <c r="P73">
        <f>_xlfn.XLOOKUP(item_ref[[#This Row],[Account]],acct_ref[AccountName],acct_ref[AcctNo],"missing",0)</f>
        <v>5014</v>
      </c>
      <c r="Q73">
        <v>1</v>
      </c>
      <c r="R73">
        <v>2</v>
      </c>
      <c r="S73">
        <v>4</v>
      </c>
      <c r="T73">
        <v>1</v>
      </c>
      <c r="U73">
        <v>3</v>
      </c>
      <c r="V73" t="str">
        <f>_xlfn.CONCAT(item_ref[[#This Row],[Trans_Type]],item_ref[[#This Row],[Fix/Flex]],item_ref[[#This Row],[PRIO]],"-")</f>
        <v>413-</v>
      </c>
      <c r="W73" t="str">
        <f>_xlfn.CONCAT(item_ref[[#This Row],[DesID_1]])</f>
        <v>413-</v>
      </c>
      <c r="X73"/>
    </row>
    <row r="74" spans="1:24" x14ac:dyDescent="0.25">
      <c r="A74">
        <v>73</v>
      </c>
      <c r="F74" s="2"/>
      <c r="J74" t="s">
        <v>74</v>
      </c>
      <c r="K74" s="32"/>
      <c r="N74" t="s">
        <v>138</v>
      </c>
      <c r="O74" t="s">
        <v>129</v>
      </c>
      <c r="P74">
        <f>_xlfn.XLOOKUP(item_ref[[#This Row],[Account]],acct_ref[AccountName],acct_ref[AcctNo],"missing",0)</f>
        <v>5014</v>
      </c>
      <c r="Q74">
        <v>0</v>
      </c>
      <c r="R74">
        <v>2</v>
      </c>
      <c r="S74">
        <v>4</v>
      </c>
      <c r="T74">
        <v>1</v>
      </c>
      <c r="U74">
        <v>3</v>
      </c>
      <c r="V74" t="str">
        <f>_xlfn.CONCAT(item_ref[[#This Row],[Trans_Type]],item_ref[[#This Row],[Fix/Flex]],item_ref[[#This Row],[PRIO]],"-")</f>
        <v>413-</v>
      </c>
      <c r="W74" t="str">
        <f>_xlfn.CONCAT(item_ref[[#This Row],[DesID_1]])</f>
        <v>413-</v>
      </c>
      <c r="X74"/>
    </row>
    <row r="75" spans="1:24" x14ac:dyDescent="0.25">
      <c r="A75">
        <v>74</v>
      </c>
      <c r="J75" t="s">
        <v>75</v>
      </c>
      <c r="K75" s="33"/>
      <c r="N75" t="s">
        <v>237</v>
      </c>
      <c r="O75" t="s">
        <v>129</v>
      </c>
      <c r="P75">
        <f>_xlfn.XLOOKUP(item_ref[[#This Row],[Account]],acct_ref[AccountName],acct_ref[AcctNo],"missing",0)</f>
        <v>5014</v>
      </c>
      <c r="Q75">
        <v>1</v>
      </c>
      <c r="R75">
        <v>2</v>
      </c>
      <c r="V75" t="str">
        <f>_xlfn.CONCAT(item_ref[[#This Row],[Trans_Type]],item_ref[[#This Row],[Fix/Flex]],item_ref[[#This Row],[PRIO]],"-")</f>
        <v>-</v>
      </c>
      <c r="W75" t="str">
        <f>_xlfn.CONCAT(item_ref[[#This Row],[DesID_1]])</f>
        <v>-</v>
      </c>
      <c r="X75"/>
    </row>
    <row r="76" spans="1:24" x14ac:dyDescent="0.25">
      <c r="A76">
        <v>75</v>
      </c>
      <c r="J76" t="s">
        <v>76</v>
      </c>
      <c r="K76" s="34"/>
      <c r="N76" t="s">
        <v>139</v>
      </c>
      <c r="O76" t="s">
        <v>129</v>
      </c>
      <c r="P76">
        <f>_xlfn.XLOOKUP(item_ref[[#This Row],[Account]],acct_ref[AccountName],acct_ref[AcctNo],"missing",0)</f>
        <v>5014</v>
      </c>
      <c r="Q76">
        <v>0</v>
      </c>
      <c r="R76">
        <v>2</v>
      </c>
      <c r="S76">
        <v>4</v>
      </c>
      <c r="T76">
        <v>1</v>
      </c>
      <c r="U76">
        <v>3</v>
      </c>
      <c r="V76" t="str">
        <f>_xlfn.CONCAT(item_ref[[#This Row],[Trans_Type]],item_ref[[#This Row],[Fix/Flex]],item_ref[[#This Row],[PRIO]],"-")</f>
        <v>413-</v>
      </c>
      <c r="W76" t="str">
        <f>_xlfn.CONCAT(item_ref[[#This Row],[DesID_1]])</f>
        <v>413-</v>
      </c>
      <c r="X76"/>
    </row>
    <row r="77" spans="1:24" x14ac:dyDescent="0.25">
      <c r="A77">
        <v>76</v>
      </c>
      <c r="J77" t="s">
        <v>77</v>
      </c>
      <c r="K77" s="35"/>
      <c r="N77" t="s">
        <v>137</v>
      </c>
      <c r="O77" t="s">
        <v>129</v>
      </c>
      <c r="P77">
        <f>_xlfn.XLOOKUP(item_ref[[#This Row],[Account]],acct_ref[AccountName],acct_ref[AcctNo],"missing",0)</f>
        <v>5014</v>
      </c>
      <c r="Q77">
        <v>0</v>
      </c>
      <c r="R77">
        <v>2</v>
      </c>
      <c r="S77">
        <v>4</v>
      </c>
      <c r="T77">
        <v>1</v>
      </c>
      <c r="U77">
        <v>2</v>
      </c>
      <c r="V77" t="str">
        <f>_xlfn.CONCAT(item_ref[[#This Row],[Trans_Type]],item_ref[[#This Row],[Fix/Flex]],item_ref[[#This Row],[PRIO]],"-")</f>
        <v>412-</v>
      </c>
      <c r="W77" t="str">
        <f>_xlfn.CONCAT(item_ref[[#This Row],[DesID_1]])</f>
        <v>412-</v>
      </c>
      <c r="X77"/>
    </row>
    <row r="78" spans="1:24" x14ac:dyDescent="0.25">
      <c r="A78">
        <v>77</v>
      </c>
      <c r="J78" t="s">
        <v>78</v>
      </c>
      <c r="K78" s="36"/>
      <c r="N78" t="s">
        <v>144</v>
      </c>
      <c r="O78" t="s">
        <v>129</v>
      </c>
      <c r="P78">
        <f>_xlfn.XLOOKUP(item_ref[[#This Row],[Account]],acct_ref[AccountName],acct_ref[AcctNo],"missing",0)</f>
        <v>5014</v>
      </c>
      <c r="Q78">
        <v>1</v>
      </c>
      <c r="R78">
        <v>2</v>
      </c>
      <c r="S78">
        <v>4</v>
      </c>
      <c r="T78">
        <v>1</v>
      </c>
      <c r="U78">
        <v>2</v>
      </c>
      <c r="V78" t="str">
        <f>_xlfn.CONCAT(item_ref[[#This Row],[Trans_Type]],item_ref[[#This Row],[Fix/Flex]],item_ref[[#This Row],[PRIO]],"-")</f>
        <v>412-</v>
      </c>
      <c r="W78" t="str">
        <f>_xlfn.CONCAT(item_ref[[#This Row],[DesID_1]])</f>
        <v>412-</v>
      </c>
      <c r="X78"/>
    </row>
    <row r="79" spans="1:24" x14ac:dyDescent="0.25">
      <c r="A79">
        <v>78</v>
      </c>
      <c r="J79" t="s">
        <v>15</v>
      </c>
      <c r="K79" s="37"/>
      <c r="L79" s="1"/>
      <c r="N79" t="s">
        <v>131</v>
      </c>
      <c r="O79" t="s">
        <v>36</v>
      </c>
      <c r="P79">
        <f>_xlfn.XLOOKUP(item_ref[[#This Row],[Account]],acct_ref[AccountName],acct_ref[AcctNo],"missing",0)</f>
        <v>5005</v>
      </c>
      <c r="Q79">
        <v>1</v>
      </c>
      <c r="S79">
        <v>5</v>
      </c>
      <c r="T79">
        <v>0</v>
      </c>
      <c r="U79">
        <v>1</v>
      </c>
      <c r="V79" t="str">
        <f>_xlfn.CONCAT(item_ref[[#This Row],[Trans_Type]],item_ref[[#This Row],[Fix/Flex]],item_ref[[#This Row],[PRIO]],"-")</f>
        <v>501-</v>
      </c>
      <c r="W79" t="str">
        <f>_xlfn.CONCAT(item_ref[[#This Row],[DesID_1]])</f>
        <v>501-</v>
      </c>
      <c r="X79"/>
    </row>
    <row r="80" spans="1:24" x14ac:dyDescent="0.25">
      <c r="A80">
        <v>79</v>
      </c>
      <c r="J80" t="s">
        <v>79</v>
      </c>
      <c r="K80" s="38"/>
      <c r="N80" t="s">
        <v>219</v>
      </c>
      <c r="O80" t="s">
        <v>36</v>
      </c>
      <c r="P80">
        <f>_xlfn.XLOOKUP(item_ref[[#This Row],[Account]],acct_ref[AccountName],acct_ref[AcctNo],"missing",0)</f>
        <v>5005</v>
      </c>
      <c r="Q80">
        <v>1</v>
      </c>
      <c r="V80" t="str">
        <f>_xlfn.CONCAT(item_ref[[#This Row],[Trans_Type]],item_ref[[#This Row],[Fix/Flex]],item_ref[[#This Row],[PRIO]],"-")</f>
        <v>-</v>
      </c>
      <c r="W80" t="str">
        <f>_xlfn.CONCAT(item_ref[[#This Row],[DesID_1]])</f>
        <v>-</v>
      </c>
      <c r="X80"/>
    </row>
    <row r="81" spans="1:24" x14ac:dyDescent="0.25">
      <c r="A81">
        <v>80</v>
      </c>
      <c r="J81" t="s">
        <v>80</v>
      </c>
      <c r="K81" s="38"/>
      <c r="N81" t="s">
        <v>468</v>
      </c>
      <c r="O81" t="s">
        <v>36</v>
      </c>
      <c r="P81">
        <f>_xlfn.XLOOKUP(item_ref[[#This Row],[Account]],acct_ref[AccountName],acct_ref[AcctNo],"missing",0)</f>
        <v>5005</v>
      </c>
      <c r="V81" t="str">
        <f>_xlfn.CONCAT(item_ref[[#This Row],[Trans_Type]],item_ref[[#This Row],[Fix/Flex]],item_ref[[#This Row],[PRIO]],"-")</f>
        <v>-</v>
      </c>
      <c r="W81" t="str">
        <f>_xlfn.CONCAT(item_ref[[#This Row],[DesID_1]])</f>
        <v>-</v>
      </c>
      <c r="X81"/>
    </row>
    <row r="82" spans="1:24" x14ac:dyDescent="0.25">
      <c r="A82">
        <v>81</v>
      </c>
      <c r="J82" t="s">
        <v>81</v>
      </c>
      <c r="K82" s="38"/>
      <c r="N82" t="s">
        <v>233</v>
      </c>
      <c r="O82" t="s">
        <v>91</v>
      </c>
      <c r="P82">
        <f>_xlfn.XLOOKUP(item_ref[[#This Row],[Account]],acct_ref[AccountName],acct_ref[AcctNo],"missing",0)</f>
        <v>4005</v>
      </c>
      <c r="Q82">
        <v>1</v>
      </c>
      <c r="V82" t="str">
        <f>_xlfn.CONCAT(item_ref[[#This Row],[Trans_Type]],item_ref[[#This Row],[Fix/Flex]],item_ref[[#This Row],[PRIO]],"-")</f>
        <v>-</v>
      </c>
      <c r="W82" t="str">
        <f>_xlfn.CONCAT(item_ref[[#This Row],[DesID_1]])</f>
        <v>-</v>
      </c>
      <c r="X82"/>
    </row>
    <row r="83" spans="1:24" x14ac:dyDescent="0.25">
      <c r="A83">
        <v>82</v>
      </c>
      <c r="J83" t="s">
        <v>82</v>
      </c>
      <c r="K83" s="38"/>
      <c r="N83" t="s">
        <v>132</v>
      </c>
      <c r="O83" t="s">
        <v>34</v>
      </c>
      <c r="P83">
        <f>_xlfn.XLOOKUP(item_ref[[#This Row],[Account]],acct_ref[AccountName],acct_ref[AcctNo],"missing",0)</f>
        <v>5002</v>
      </c>
      <c r="Q83">
        <v>1</v>
      </c>
      <c r="S83">
        <v>4</v>
      </c>
      <c r="T83">
        <v>1</v>
      </c>
      <c r="U83">
        <v>1</v>
      </c>
      <c r="V83" t="str">
        <f>_xlfn.CONCAT(item_ref[[#This Row],[Trans_Type]],item_ref[[#This Row],[Fix/Flex]],item_ref[[#This Row],[PRIO]],"-")</f>
        <v>411-</v>
      </c>
      <c r="W83" t="str">
        <f>_xlfn.CONCAT(item_ref[[#This Row],[DesID_1]])</f>
        <v>411-</v>
      </c>
      <c r="X83"/>
    </row>
    <row r="84" spans="1:24" x14ac:dyDescent="0.25">
      <c r="A84">
        <v>83</v>
      </c>
      <c r="N84" t="s">
        <v>231</v>
      </c>
      <c r="O84" t="s">
        <v>34</v>
      </c>
      <c r="P84">
        <f>_xlfn.XLOOKUP(item_ref[[#This Row],[Account]],acct_ref[AccountName],acct_ref[AcctNo],"missing",0)</f>
        <v>5002</v>
      </c>
      <c r="Q84">
        <v>1</v>
      </c>
      <c r="V84" t="str">
        <f>_xlfn.CONCAT(item_ref[[#This Row],[Trans_Type]],item_ref[[#This Row],[Fix/Flex]],item_ref[[#This Row],[PRIO]],"-")</f>
        <v>-</v>
      </c>
      <c r="W84" t="str">
        <f>_xlfn.CONCAT(item_ref[[#This Row],[DesID_1]])</f>
        <v>-</v>
      </c>
      <c r="X84"/>
    </row>
    <row r="85" spans="1:24" x14ac:dyDescent="0.25">
      <c r="A85">
        <v>84</v>
      </c>
      <c r="N85" t="s">
        <v>202</v>
      </c>
      <c r="O85" t="s">
        <v>87</v>
      </c>
      <c r="P85">
        <f>_xlfn.XLOOKUP(item_ref[[#This Row],[Account]],acct_ref[AccountName],acct_ref[AcctNo],"missing",0)</f>
        <v>4004</v>
      </c>
      <c r="Q85">
        <v>1</v>
      </c>
      <c r="V85" t="str">
        <f>_xlfn.CONCAT(item_ref[[#This Row],[Trans_Type]],item_ref[[#This Row],[Fix/Flex]],item_ref[[#This Row],[PRIO]],"-")</f>
        <v>-</v>
      </c>
      <c r="W85" t="str">
        <f>_xlfn.CONCAT(item_ref[[#This Row],[DesID_1]])</f>
        <v>-</v>
      </c>
      <c r="X85"/>
    </row>
    <row r="86" spans="1:24" x14ac:dyDescent="0.25">
      <c r="A86">
        <v>85</v>
      </c>
      <c r="J86" t="s">
        <v>612</v>
      </c>
      <c r="L86" s="45"/>
      <c r="N86" t="s">
        <v>183</v>
      </c>
      <c r="O86" t="s">
        <v>87</v>
      </c>
      <c r="P86">
        <f>_xlfn.XLOOKUP(item_ref[[#This Row],[Account]],acct_ref[AccountName],acct_ref[AcctNo],"missing",0)</f>
        <v>4004</v>
      </c>
      <c r="Q86">
        <v>1</v>
      </c>
      <c r="S86">
        <v>0</v>
      </c>
      <c r="T86">
        <v>0</v>
      </c>
      <c r="U86">
        <v>1</v>
      </c>
      <c r="V86" t="str">
        <f>_xlfn.CONCAT(item_ref[[#This Row],[Trans_Type]],item_ref[[#This Row],[Fix/Flex]],item_ref[[#This Row],[PRIO]],"-")</f>
        <v>001-</v>
      </c>
      <c r="W86" t="str">
        <f>_xlfn.CONCAT(item_ref[[#This Row],[DesID_1]])</f>
        <v>001-</v>
      </c>
      <c r="X86"/>
    </row>
    <row r="87" spans="1:24" x14ac:dyDescent="0.25">
      <c r="A87">
        <v>86</v>
      </c>
      <c r="J87" t="s">
        <v>606</v>
      </c>
      <c r="N87" t="s">
        <v>195</v>
      </c>
      <c r="O87" t="s">
        <v>87</v>
      </c>
      <c r="P87">
        <f>_xlfn.XLOOKUP(item_ref[[#This Row],[Account]],acct_ref[AccountName],acct_ref[AcctNo],"missing",0)</f>
        <v>4004</v>
      </c>
      <c r="Q87">
        <v>1</v>
      </c>
      <c r="V87" t="str">
        <f>_xlfn.CONCAT(item_ref[[#This Row],[Trans_Type]],item_ref[[#This Row],[Fix/Flex]],item_ref[[#This Row],[PRIO]],"-")</f>
        <v>-</v>
      </c>
      <c r="W87" t="str">
        <f>_xlfn.CONCAT(item_ref[[#This Row],[DesID_1]])</f>
        <v>-</v>
      </c>
      <c r="X87"/>
    </row>
    <row r="88" spans="1:24" x14ac:dyDescent="0.25">
      <c r="A88">
        <v>87</v>
      </c>
      <c r="J88" t="s">
        <v>610</v>
      </c>
      <c r="L88" s="45"/>
      <c r="N88" t="s">
        <v>447</v>
      </c>
      <c r="O88" t="s">
        <v>87</v>
      </c>
      <c r="P88">
        <f>_xlfn.XLOOKUP(item_ref[[#This Row],[Account]],acct_ref[AccountName],acct_ref[AcctNo],"missing",0)</f>
        <v>4004</v>
      </c>
      <c r="V88" t="str">
        <f>_xlfn.CONCAT(item_ref[[#This Row],[Trans_Type]],item_ref[[#This Row],[Fix/Flex]],item_ref[[#This Row],[PRIO]],"-")</f>
        <v>-</v>
      </c>
      <c r="W88" t="str">
        <f>_xlfn.CONCAT(item_ref[[#This Row],[DesID_1]])</f>
        <v>-</v>
      </c>
      <c r="X88"/>
    </row>
    <row r="89" spans="1:24" x14ac:dyDescent="0.25">
      <c r="A89">
        <v>88</v>
      </c>
      <c r="J89" t="s">
        <v>607</v>
      </c>
      <c r="L89" s="45"/>
      <c r="N89" t="s">
        <v>473</v>
      </c>
      <c r="O89" t="s">
        <v>87</v>
      </c>
      <c r="P89">
        <f>_xlfn.XLOOKUP(item_ref[[#This Row],[Account]],acct_ref[AccountName],acct_ref[AcctNo],"missing",0)</f>
        <v>4004</v>
      </c>
      <c r="V89" t="str">
        <f>_xlfn.CONCAT(item_ref[[#This Row],[Trans_Type]],item_ref[[#This Row],[Fix/Flex]],item_ref[[#This Row],[PRIO]],"-")</f>
        <v>-</v>
      </c>
      <c r="W89" t="str">
        <f>_xlfn.CONCAT(item_ref[[#This Row],[DesID_1]])</f>
        <v>-</v>
      </c>
      <c r="X89"/>
    </row>
    <row r="90" spans="1:24" x14ac:dyDescent="0.25">
      <c r="A90">
        <v>89</v>
      </c>
      <c r="J90" t="s">
        <v>608</v>
      </c>
      <c r="N90" t="s">
        <v>504</v>
      </c>
      <c r="O90" t="s">
        <v>87</v>
      </c>
      <c r="P90">
        <f>_xlfn.XLOOKUP(item_ref[[#This Row],[Account]],acct_ref[AccountName],acct_ref[AcctNo],"missing",0)</f>
        <v>4004</v>
      </c>
      <c r="V90" t="str">
        <f>_xlfn.CONCAT(item_ref[[#This Row],[Trans_Type]],item_ref[[#This Row],[Fix/Flex]],item_ref[[#This Row],[PRIO]],"-")</f>
        <v>-</v>
      </c>
      <c r="W90" t="str">
        <f>_xlfn.CONCAT(item_ref[[#This Row],[DesID_1]])</f>
        <v>-</v>
      </c>
      <c r="X90"/>
    </row>
    <row r="91" spans="1:24" x14ac:dyDescent="0.25">
      <c r="A91">
        <v>90</v>
      </c>
      <c r="J91" t="s">
        <v>609</v>
      </c>
      <c r="N91" t="s">
        <v>446</v>
      </c>
      <c r="O91" t="s">
        <v>87</v>
      </c>
      <c r="P91">
        <f>_xlfn.XLOOKUP(item_ref[[#This Row],[Account]],acct_ref[AccountName],acct_ref[AcctNo],"missing",0)</f>
        <v>4004</v>
      </c>
      <c r="V91" t="str">
        <f>_xlfn.CONCAT(item_ref[[#This Row],[Trans_Type]],item_ref[[#This Row],[Fix/Flex]],item_ref[[#This Row],[PRIO]],"-")</f>
        <v>-</v>
      </c>
      <c r="W91" t="str">
        <f>_xlfn.CONCAT(item_ref[[#This Row],[DesID_1]])</f>
        <v>-</v>
      </c>
      <c r="X91"/>
    </row>
    <row r="92" spans="1:24" x14ac:dyDescent="0.25">
      <c r="A92">
        <v>91</v>
      </c>
      <c r="J92" t="s">
        <v>613</v>
      </c>
      <c r="N92" t="s">
        <v>193</v>
      </c>
      <c r="O92" t="s">
        <v>214</v>
      </c>
      <c r="P92">
        <f>_xlfn.XLOOKUP(item_ref[[#This Row],[Account]],acct_ref[AccountName],acct_ref[AcctNo],"missing",0)</f>
        <v>4001</v>
      </c>
      <c r="Q92">
        <v>1</v>
      </c>
      <c r="R92">
        <v>1</v>
      </c>
      <c r="V92" t="str">
        <f>_xlfn.CONCAT(item_ref[[#This Row],[Trans_Type]],item_ref[[#This Row],[Fix/Flex]],item_ref[[#This Row],[PRIO]],"-")</f>
        <v>-</v>
      </c>
      <c r="W92" t="str">
        <f>_xlfn.CONCAT(item_ref[[#This Row],[DesID_1]])</f>
        <v>-</v>
      </c>
      <c r="X92"/>
    </row>
    <row r="93" spans="1:24" x14ac:dyDescent="0.25">
      <c r="A93">
        <v>92</v>
      </c>
      <c r="N93" t="s">
        <v>204</v>
      </c>
      <c r="O93" t="s">
        <v>54</v>
      </c>
      <c r="P93">
        <f>_xlfn.XLOOKUP(item_ref[[#This Row],[Account]],acct_ref[AccountName],acct_ref[AcctNo],"missing",0)</f>
        <v>5015</v>
      </c>
      <c r="Q93">
        <v>1</v>
      </c>
      <c r="V93" t="str">
        <f>_xlfn.CONCAT(item_ref[[#This Row],[Trans_Type]],item_ref[[#This Row],[Fix/Flex]],item_ref[[#This Row],[PRIO]],"-")</f>
        <v>-</v>
      </c>
      <c r="W93" t="str">
        <f>_xlfn.CONCAT(item_ref[[#This Row],[DesID_1]])</f>
        <v>-</v>
      </c>
      <c r="X93"/>
    </row>
    <row r="94" spans="1:24" x14ac:dyDescent="0.25">
      <c r="A94">
        <v>93</v>
      </c>
      <c r="N94" t="s">
        <v>188</v>
      </c>
      <c r="O94" t="s">
        <v>54</v>
      </c>
      <c r="P94">
        <f>_xlfn.XLOOKUP(item_ref[[#This Row],[Account]],acct_ref[AccountName],acct_ref[AcctNo],"missing",0)</f>
        <v>5015</v>
      </c>
      <c r="Q94">
        <v>1</v>
      </c>
      <c r="V94" t="str">
        <f>_xlfn.CONCAT(item_ref[[#This Row],[Trans_Type]],item_ref[[#This Row],[Fix/Flex]],item_ref[[#This Row],[PRIO]],"-")</f>
        <v>-</v>
      </c>
      <c r="W94" t="str">
        <f>_xlfn.CONCAT(item_ref[[#This Row],[DesID_1]])</f>
        <v>-</v>
      </c>
      <c r="X94"/>
    </row>
    <row r="95" spans="1:24" x14ac:dyDescent="0.25">
      <c r="A95">
        <v>94</v>
      </c>
      <c r="N95" t="s">
        <v>205</v>
      </c>
      <c r="O95" t="s">
        <v>54</v>
      </c>
      <c r="P95">
        <f>_xlfn.XLOOKUP(item_ref[[#This Row],[Account]],acct_ref[AccountName],acct_ref[AcctNo],"missing",0)</f>
        <v>5015</v>
      </c>
      <c r="Q95">
        <v>1</v>
      </c>
      <c r="V95" t="str">
        <f>_xlfn.CONCAT(item_ref[[#This Row],[Trans_Type]],item_ref[[#This Row],[Fix/Flex]],item_ref[[#This Row],[PRIO]],"-")</f>
        <v>-</v>
      </c>
      <c r="W95" t="str">
        <f>_xlfn.CONCAT(item_ref[[#This Row],[DesID_1]])</f>
        <v>-</v>
      </c>
      <c r="X95"/>
    </row>
    <row r="96" spans="1:24" x14ac:dyDescent="0.25">
      <c r="A96">
        <v>95</v>
      </c>
      <c r="N96" t="s">
        <v>199</v>
      </c>
      <c r="O96" t="s">
        <v>54</v>
      </c>
      <c r="P96">
        <f>_xlfn.XLOOKUP(item_ref[[#This Row],[Account]],acct_ref[AccountName],acct_ref[AcctNo],"missing",0)</f>
        <v>5015</v>
      </c>
      <c r="Q96">
        <v>1</v>
      </c>
      <c r="V96" t="str">
        <f>_xlfn.CONCAT(item_ref[[#This Row],[Trans_Type]],item_ref[[#This Row],[Fix/Flex]],item_ref[[#This Row],[PRIO]],"-")</f>
        <v>-</v>
      </c>
      <c r="W96" t="str">
        <f>_xlfn.CONCAT(item_ref[[#This Row],[DesID_1]])</f>
        <v>-</v>
      </c>
      <c r="X96"/>
    </row>
    <row r="97" spans="1:24" x14ac:dyDescent="0.25">
      <c r="A97">
        <v>96</v>
      </c>
      <c r="N97" t="s">
        <v>320</v>
      </c>
      <c r="O97" t="s">
        <v>54</v>
      </c>
      <c r="P97">
        <f>_xlfn.XLOOKUP(item_ref[[#This Row],[Account]],acct_ref[AccountName],acct_ref[AcctNo],"missing",0)</f>
        <v>5015</v>
      </c>
      <c r="Q97">
        <v>1</v>
      </c>
      <c r="R97">
        <v>2</v>
      </c>
      <c r="S97">
        <v>0</v>
      </c>
      <c r="T97">
        <v>1</v>
      </c>
      <c r="U97">
        <v>2</v>
      </c>
      <c r="V97" t="str">
        <f>_xlfn.CONCAT(item_ref[[#This Row],[Trans_Type]],item_ref[[#This Row],[Fix/Flex]],item_ref[[#This Row],[PRIO]],"-")</f>
        <v>012-</v>
      </c>
      <c r="W97" t="str">
        <f>_xlfn.CONCAT(item_ref[[#This Row],[DesID_1]])</f>
        <v>012-</v>
      </c>
      <c r="X97"/>
    </row>
    <row r="98" spans="1:24" x14ac:dyDescent="0.25">
      <c r="A98">
        <v>97</v>
      </c>
      <c r="N98" t="s">
        <v>257</v>
      </c>
      <c r="O98" t="s">
        <v>54</v>
      </c>
      <c r="P98">
        <f>_xlfn.XLOOKUP(item_ref[[#This Row],[Account]],acct_ref[AccountName],acct_ref[AcctNo],"missing",0)</f>
        <v>5015</v>
      </c>
      <c r="Q98">
        <v>1</v>
      </c>
      <c r="V98" t="str">
        <f>_xlfn.CONCAT(item_ref[[#This Row],[Trans_Type]],item_ref[[#This Row],[Fix/Flex]],item_ref[[#This Row],[PRIO]],"-")</f>
        <v>-</v>
      </c>
      <c r="W98" t="str">
        <f>_xlfn.CONCAT(item_ref[[#This Row],[DesID_1]])</f>
        <v>-</v>
      </c>
      <c r="X98"/>
    </row>
    <row r="99" spans="1:24" x14ac:dyDescent="0.25">
      <c r="A99">
        <v>98</v>
      </c>
      <c r="N99" t="s">
        <v>208</v>
      </c>
      <c r="O99" t="s">
        <v>54</v>
      </c>
      <c r="P99">
        <f>_xlfn.XLOOKUP(item_ref[[#This Row],[Account]],acct_ref[AccountName],acct_ref[AcctNo],"missing",0)</f>
        <v>5015</v>
      </c>
      <c r="Q99">
        <v>1</v>
      </c>
      <c r="V99" t="str">
        <f>_xlfn.CONCAT(item_ref[[#This Row],[Trans_Type]],item_ref[[#This Row],[Fix/Flex]],item_ref[[#This Row],[PRIO]],"-")</f>
        <v>-</v>
      </c>
      <c r="W99" t="str">
        <f>_xlfn.CONCAT(item_ref[[#This Row],[DesID_1]])</f>
        <v>-</v>
      </c>
      <c r="X99"/>
    </row>
    <row r="100" spans="1:24" x14ac:dyDescent="0.25">
      <c r="A100">
        <v>99</v>
      </c>
      <c r="N100" t="s">
        <v>190</v>
      </c>
      <c r="O100" t="s">
        <v>54</v>
      </c>
      <c r="P100">
        <f>_xlfn.XLOOKUP(item_ref[[#This Row],[Account]],acct_ref[AccountName],acct_ref[AcctNo],"missing",0)</f>
        <v>5015</v>
      </c>
      <c r="Q100">
        <v>1</v>
      </c>
      <c r="V100" t="str">
        <f>_xlfn.CONCAT(item_ref[[#This Row],[Trans_Type]],item_ref[[#This Row],[Fix/Flex]],item_ref[[#This Row],[PRIO]],"-")</f>
        <v>-</v>
      </c>
      <c r="W100" t="str">
        <f>_xlfn.CONCAT(item_ref[[#This Row],[DesID_1]])</f>
        <v>-</v>
      </c>
      <c r="X100"/>
    </row>
    <row r="101" spans="1:24" x14ac:dyDescent="0.25">
      <c r="A101">
        <v>100</v>
      </c>
      <c r="N101" t="s">
        <v>496</v>
      </c>
      <c r="O101" t="s">
        <v>54</v>
      </c>
      <c r="P101">
        <f>_xlfn.XLOOKUP(item_ref[[#This Row],[Account]],acct_ref[AccountName],acct_ref[AcctNo],"missing",0)</f>
        <v>5015</v>
      </c>
      <c r="V101" t="str">
        <f>_xlfn.CONCAT(item_ref[[#This Row],[Trans_Type]],item_ref[[#This Row],[Fix/Flex]],item_ref[[#This Row],[PRIO]],"-")</f>
        <v>-</v>
      </c>
      <c r="W101" t="str">
        <f>_xlfn.CONCAT(item_ref[[#This Row],[DesID_1]])</f>
        <v>-</v>
      </c>
      <c r="X101"/>
    </row>
    <row r="102" spans="1:24" x14ac:dyDescent="0.25">
      <c r="N102" t="s">
        <v>249</v>
      </c>
      <c r="O102" t="s">
        <v>54</v>
      </c>
      <c r="P102">
        <f>_xlfn.XLOOKUP(item_ref[[#This Row],[Account]],acct_ref[AccountName],acct_ref[AcctNo],"missing",0)</f>
        <v>5015</v>
      </c>
      <c r="Q102">
        <v>1</v>
      </c>
      <c r="V102" t="str">
        <f>_xlfn.CONCAT(item_ref[[#This Row],[Trans_Type]],item_ref[[#This Row],[Fix/Flex]],item_ref[[#This Row],[PRIO]],"-")</f>
        <v>-</v>
      </c>
      <c r="W102" t="str">
        <f>_xlfn.CONCAT(item_ref[[#This Row],[DesID_1]])</f>
        <v>-</v>
      </c>
      <c r="X102"/>
    </row>
    <row r="103" spans="1:24" x14ac:dyDescent="0.25">
      <c r="N103" t="s">
        <v>222</v>
      </c>
      <c r="O103" t="s">
        <v>54</v>
      </c>
      <c r="P103">
        <f>_xlfn.XLOOKUP(item_ref[[#This Row],[Account]],acct_ref[AccountName],acct_ref[AcctNo],"missing",0)</f>
        <v>5015</v>
      </c>
      <c r="Q103">
        <v>1</v>
      </c>
      <c r="V103" t="str">
        <f>_xlfn.CONCAT(item_ref[[#This Row],[Trans_Type]],item_ref[[#This Row],[Fix/Flex]],item_ref[[#This Row],[PRIO]],"-")</f>
        <v>-</v>
      </c>
      <c r="W103" t="str">
        <f>_xlfn.CONCAT(item_ref[[#This Row],[DesID_1]])</f>
        <v>-</v>
      </c>
      <c r="X103"/>
    </row>
    <row r="104" spans="1:24" x14ac:dyDescent="0.25">
      <c r="N104" t="s">
        <v>232</v>
      </c>
      <c r="O104" t="s">
        <v>54</v>
      </c>
      <c r="P104">
        <f>_xlfn.XLOOKUP(item_ref[[#This Row],[Account]],acct_ref[AccountName],acct_ref[AcctNo],"missing",0)</f>
        <v>5015</v>
      </c>
      <c r="Q104">
        <v>1</v>
      </c>
      <c r="R104">
        <v>2</v>
      </c>
      <c r="V104" t="str">
        <f>_xlfn.CONCAT(item_ref[[#This Row],[Trans_Type]],item_ref[[#This Row],[Fix/Flex]],item_ref[[#This Row],[PRIO]],"-")</f>
        <v>-</v>
      </c>
      <c r="W104" t="str">
        <f>_xlfn.CONCAT(item_ref[[#This Row],[DesID_1]])</f>
        <v>-</v>
      </c>
      <c r="X104"/>
    </row>
    <row r="105" spans="1:24" x14ac:dyDescent="0.25">
      <c r="N105" t="s">
        <v>241</v>
      </c>
      <c r="O105" t="s">
        <v>54</v>
      </c>
      <c r="P105">
        <f>_xlfn.XLOOKUP(item_ref[[#This Row],[Account]],acct_ref[AccountName],acct_ref[AcctNo],"missing",0)</f>
        <v>5015</v>
      </c>
      <c r="Q105">
        <v>1</v>
      </c>
      <c r="V105" t="str">
        <f>_xlfn.CONCAT(item_ref[[#This Row],[Trans_Type]],item_ref[[#This Row],[Fix/Flex]],item_ref[[#This Row],[PRIO]],"-")</f>
        <v>-</v>
      </c>
      <c r="W105" t="str">
        <f>_xlfn.CONCAT(item_ref[[#This Row],[DesID_1]])</f>
        <v>-</v>
      </c>
      <c r="X105"/>
    </row>
    <row r="106" spans="1:24" x14ac:dyDescent="0.25">
      <c r="N106" t="s">
        <v>133</v>
      </c>
      <c r="O106" t="s">
        <v>54</v>
      </c>
      <c r="P106">
        <f>_xlfn.XLOOKUP(item_ref[[#This Row],[Account]],acct_ref[AccountName],acct_ref[AcctNo],"missing",0)</f>
        <v>5015</v>
      </c>
      <c r="Q106">
        <v>0</v>
      </c>
      <c r="R106">
        <v>2</v>
      </c>
      <c r="S106">
        <v>4</v>
      </c>
      <c r="T106">
        <v>1</v>
      </c>
      <c r="U106">
        <v>4</v>
      </c>
      <c r="V106" t="str">
        <f>_xlfn.CONCAT(item_ref[[#This Row],[Trans_Type]],item_ref[[#This Row],[Fix/Flex]],item_ref[[#This Row],[PRIO]],"-")</f>
        <v>414-</v>
      </c>
      <c r="W106" t="str">
        <f>_xlfn.CONCAT(item_ref[[#This Row],[DesID_1]])</f>
        <v>414-</v>
      </c>
      <c r="X106"/>
    </row>
    <row r="107" spans="1:24" x14ac:dyDescent="0.25">
      <c r="N107" t="s">
        <v>529</v>
      </c>
      <c r="O107" t="s">
        <v>54</v>
      </c>
      <c r="P107">
        <f>_xlfn.XLOOKUP(item_ref[[#This Row],[Account]],acct_ref[AccountName],acct_ref[AcctNo],"missing",0)</f>
        <v>5015</v>
      </c>
      <c r="Q107">
        <v>1</v>
      </c>
      <c r="V107" t="str">
        <f>_xlfn.CONCAT(item_ref[[#This Row],[Trans_Type]],item_ref[[#This Row],[Fix/Flex]],item_ref[[#This Row],[PRIO]],"-")</f>
        <v>-</v>
      </c>
      <c r="W107" t="str">
        <f>_xlfn.CONCAT(item_ref[[#This Row],[DesID_1]])</f>
        <v>-</v>
      </c>
      <c r="X107"/>
    </row>
    <row r="108" spans="1:24" x14ac:dyDescent="0.25">
      <c r="N108" t="s">
        <v>153</v>
      </c>
      <c r="O108" t="s">
        <v>54</v>
      </c>
      <c r="P108">
        <f>_xlfn.XLOOKUP(item_ref[[#This Row],[Account]],acct_ref[AccountName],acct_ref[AcctNo],"missing",0)</f>
        <v>5015</v>
      </c>
      <c r="Q108">
        <v>1</v>
      </c>
      <c r="R108">
        <v>2</v>
      </c>
      <c r="S108">
        <v>4</v>
      </c>
      <c r="T108">
        <v>1</v>
      </c>
      <c r="U108">
        <v>3</v>
      </c>
      <c r="V108" t="str">
        <f>_xlfn.CONCAT(item_ref[[#This Row],[Trans_Type]],item_ref[[#This Row],[Fix/Flex]],item_ref[[#This Row],[PRIO]],"-")</f>
        <v>413-</v>
      </c>
      <c r="W108" t="str">
        <f>_xlfn.CONCAT(item_ref[[#This Row],[DesID_1]])</f>
        <v>413-</v>
      </c>
      <c r="X108"/>
    </row>
    <row r="109" spans="1:24" x14ac:dyDescent="0.25">
      <c r="N109" t="s">
        <v>148</v>
      </c>
      <c r="O109" t="s">
        <v>54</v>
      </c>
      <c r="P109">
        <f>_xlfn.XLOOKUP(item_ref[[#This Row],[Account]],acct_ref[AccountName],acct_ref[AcctNo],"missing",0)</f>
        <v>5015</v>
      </c>
      <c r="Q109">
        <v>0</v>
      </c>
      <c r="R109">
        <v>2</v>
      </c>
      <c r="S109">
        <v>4</v>
      </c>
      <c r="T109">
        <v>1</v>
      </c>
      <c r="U109">
        <v>4</v>
      </c>
      <c r="V109" t="str">
        <f>_xlfn.CONCAT(item_ref[[#This Row],[Trans_Type]],item_ref[[#This Row],[Fix/Flex]],item_ref[[#This Row],[PRIO]],"-")</f>
        <v>414-</v>
      </c>
      <c r="W109" t="str">
        <f>_xlfn.CONCAT(item_ref[[#This Row],[DesID_1]])</f>
        <v>414-</v>
      </c>
      <c r="X109"/>
    </row>
    <row r="110" spans="1:24" x14ac:dyDescent="0.25">
      <c r="N110" t="s">
        <v>497</v>
      </c>
      <c r="O110" t="s">
        <v>54</v>
      </c>
      <c r="P110">
        <f>_xlfn.XLOOKUP(item_ref[[#This Row],[Account]],acct_ref[AccountName],acct_ref[AcctNo],"missing",0)</f>
        <v>5015</v>
      </c>
      <c r="Q110">
        <v>1</v>
      </c>
      <c r="V110" t="str">
        <f>_xlfn.CONCAT(item_ref[[#This Row],[Trans_Type]],item_ref[[#This Row],[Fix/Flex]],item_ref[[#This Row],[PRIO]],"-")</f>
        <v>-</v>
      </c>
      <c r="W110" t="str">
        <f>_xlfn.CONCAT(item_ref[[#This Row],[DesID_1]])</f>
        <v>-</v>
      </c>
      <c r="X110"/>
    </row>
    <row r="111" spans="1:24" x14ac:dyDescent="0.25">
      <c r="N111" t="s">
        <v>149</v>
      </c>
      <c r="O111" t="s">
        <v>54</v>
      </c>
      <c r="P111">
        <f>_xlfn.XLOOKUP(item_ref[[#This Row],[Account]],acct_ref[AccountName],acct_ref[AcctNo],"missing",0)</f>
        <v>5015</v>
      </c>
      <c r="Q111">
        <v>1</v>
      </c>
      <c r="R111">
        <v>2</v>
      </c>
      <c r="S111">
        <v>4</v>
      </c>
      <c r="T111">
        <v>1</v>
      </c>
      <c r="U111">
        <v>4</v>
      </c>
      <c r="V111" t="str">
        <f>_xlfn.CONCAT(item_ref[[#This Row],[Trans_Type]],item_ref[[#This Row],[Fix/Flex]],item_ref[[#This Row],[PRIO]],"-")</f>
        <v>414-</v>
      </c>
      <c r="W111" t="str">
        <f>_xlfn.CONCAT(item_ref[[#This Row],[DesID_1]])</f>
        <v>414-</v>
      </c>
      <c r="X111"/>
    </row>
    <row r="112" spans="1:24" x14ac:dyDescent="0.25">
      <c r="N112" t="s">
        <v>135</v>
      </c>
      <c r="O112" t="s">
        <v>54</v>
      </c>
      <c r="P112">
        <f>_xlfn.XLOOKUP(item_ref[[#This Row],[Account]],acct_ref[AccountName],acct_ref[AcctNo],"missing",0)</f>
        <v>5015</v>
      </c>
      <c r="Q112">
        <v>0</v>
      </c>
      <c r="R112">
        <v>2</v>
      </c>
      <c r="V112" t="str">
        <f>_xlfn.CONCAT(item_ref[[#This Row],[Trans_Type]],item_ref[[#This Row],[Fix/Flex]],item_ref[[#This Row],[PRIO]],"-")</f>
        <v>-</v>
      </c>
      <c r="W112" t="str">
        <f>_xlfn.CONCAT(item_ref[[#This Row],[DesID_1]])</f>
        <v>-</v>
      </c>
      <c r="X112"/>
    </row>
    <row r="113" spans="14:24" x14ac:dyDescent="0.25">
      <c r="N113" t="s">
        <v>142</v>
      </c>
      <c r="O113" t="s">
        <v>54</v>
      </c>
      <c r="P113">
        <f>_xlfn.XLOOKUP(item_ref[[#This Row],[Account]],acct_ref[AccountName],acct_ref[AcctNo],"missing",0)</f>
        <v>5015</v>
      </c>
      <c r="Q113">
        <v>1</v>
      </c>
      <c r="R113">
        <v>2</v>
      </c>
      <c r="S113">
        <v>4</v>
      </c>
      <c r="T113">
        <v>1</v>
      </c>
      <c r="U113">
        <v>3</v>
      </c>
      <c r="V113" t="str">
        <f>_xlfn.CONCAT(item_ref[[#This Row],[Trans_Type]],item_ref[[#This Row],[Fix/Flex]],item_ref[[#This Row],[PRIO]],"-")</f>
        <v>413-</v>
      </c>
      <c r="W113" t="str">
        <f>_xlfn.CONCAT(item_ref[[#This Row],[DesID_1]])</f>
        <v>413-</v>
      </c>
      <c r="X113"/>
    </row>
    <row r="114" spans="14:24" x14ac:dyDescent="0.25">
      <c r="N114" t="s">
        <v>150</v>
      </c>
      <c r="O114" t="s">
        <v>54</v>
      </c>
      <c r="P114">
        <f>_xlfn.XLOOKUP(item_ref[[#This Row],[Account]],acct_ref[AccountName],acct_ref[AcctNo],"missing",0)</f>
        <v>5015</v>
      </c>
      <c r="Q114">
        <v>0</v>
      </c>
      <c r="R114">
        <v>2</v>
      </c>
      <c r="S114">
        <v>4</v>
      </c>
      <c r="T114">
        <v>1</v>
      </c>
      <c r="U114">
        <v>4</v>
      </c>
      <c r="V114" t="str">
        <f>_xlfn.CONCAT(item_ref[[#This Row],[Trans_Type]],item_ref[[#This Row],[Fix/Flex]],item_ref[[#This Row],[PRIO]],"-")</f>
        <v>414-</v>
      </c>
      <c r="W114" t="str">
        <f>_xlfn.CONCAT(item_ref[[#This Row],[DesID_1]])</f>
        <v>414-</v>
      </c>
      <c r="X114"/>
    </row>
    <row r="115" spans="14:24" x14ac:dyDescent="0.25">
      <c r="N115" t="s">
        <v>347</v>
      </c>
      <c r="O115" t="s">
        <v>54</v>
      </c>
      <c r="P115">
        <f>_xlfn.XLOOKUP(item_ref[[#This Row],[Account]],acct_ref[AccountName],acct_ref[AcctNo],"missing",0)</f>
        <v>5015</v>
      </c>
      <c r="Q115">
        <v>0</v>
      </c>
      <c r="R115">
        <v>2</v>
      </c>
      <c r="V115" t="str">
        <f>_xlfn.CONCAT(item_ref[[#This Row],[Trans_Type]],item_ref[[#This Row],[Fix/Flex]],item_ref[[#This Row],[PRIO]],"-")</f>
        <v>-</v>
      </c>
      <c r="W115" t="str">
        <f>_xlfn.CONCAT(item_ref[[#This Row],[DesID_1]])</f>
        <v>-</v>
      </c>
      <c r="X115"/>
    </row>
    <row r="116" spans="14:24" x14ac:dyDescent="0.25">
      <c r="N116" t="s">
        <v>140</v>
      </c>
      <c r="O116" t="s">
        <v>54</v>
      </c>
      <c r="P116">
        <f>_xlfn.XLOOKUP(item_ref[[#This Row],[Account]],acct_ref[AccountName],acct_ref[AcctNo],"missing",0)</f>
        <v>5015</v>
      </c>
      <c r="Q116">
        <v>1</v>
      </c>
      <c r="R116">
        <v>2</v>
      </c>
      <c r="S116">
        <v>4</v>
      </c>
      <c r="T116">
        <v>1</v>
      </c>
      <c r="U116">
        <v>3</v>
      </c>
      <c r="V116" t="str">
        <f>_xlfn.CONCAT(item_ref[[#This Row],[Trans_Type]],item_ref[[#This Row],[Fix/Flex]],item_ref[[#This Row],[PRIO]],"-")</f>
        <v>413-</v>
      </c>
      <c r="W116" t="str">
        <f>_xlfn.CONCAT(item_ref[[#This Row],[DesID_1]])</f>
        <v>413-</v>
      </c>
      <c r="X116"/>
    </row>
    <row r="117" spans="14:24" x14ac:dyDescent="0.25">
      <c r="N117" t="s">
        <v>246</v>
      </c>
      <c r="O117" t="s">
        <v>54</v>
      </c>
      <c r="P117">
        <f>_xlfn.XLOOKUP(item_ref[[#This Row],[Account]],acct_ref[AccountName],acct_ref[AcctNo],"missing",0)</f>
        <v>5015</v>
      </c>
      <c r="Q117">
        <v>1</v>
      </c>
      <c r="R117">
        <v>2</v>
      </c>
      <c r="S117">
        <v>4</v>
      </c>
      <c r="T117">
        <v>1</v>
      </c>
      <c r="U117">
        <v>4</v>
      </c>
      <c r="V117" t="str">
        <f>_xlfn.CONCAT(item_ref[[#This Row],[Trans_Type]],item_ref[[#This Row],[Fix/Flex]],item_ref[[#This Row],[PRIO]],"-")</f>
        <v>414-</v>
      </c>
      <c r="W117" t="str">
        <f>_xlfn.CONCAT(item_ref[[#This Row],[DesID_1]])</f>
        <v>414-</v>
      </c>
      <c r="X117"/>
    </row>
    <row r="118" spans="14:24" x14ac:dyDescent="0.25">
      <c r="N118" t="s">
        <v>238</v>
      </c>
      <c r="O118" t="s">
        <v>54</v>
      </c>
      <c r="P118">
        <f>_xlfn.XLOOKUP(item_ref[[#This Row],[Account]],acct_ref[AccountName],acct_ref[AcctNo],"missing",0)</f>
        <v>5015</v>
      </c>
      <c r="Q118">
        <v>0</v>
      </c>
      <c r="R118">
        <v>2</v>
      </c>
      <c r="V118" t="str">
        <f>_xlfn.CONCAT(item_ref[[#This Row],[Trans_Type]],item_ref[[#This Row],[Fix/Flex]],item_ref[[#This Row],[PRIO]],"-")</f>
        <v>-</v>
      </c>
      <c r="W118" t="str">
        <f>_xlfn.CONCAT(item_ref[[#This Row],[DesID_1]])</f>
        <v>-</v>
      </c>
      <c r="X118"/>
    </row>
    <row r="119" spans="14:24" x14ac:dyDescent="0.25">
      <c r="N119" t="s">
        <v>155</v>
      </c>
      <c r="O119" t="s">
        <v>54</v>
      </c>
      <c r="P119">
        <f>_xlfn.XLOOKUP(item_ref[[#This Row],[Account]],acct_ref[AccountName],acct_ref[AcctNo],"missing",0)</f>
        <v>5015</v>
      </c>
      <c r="Q119">
        <v>1</v>
      </c>
      <c r="R119">
        <v>2</v>
      </c>
      <c r="S119">
        <v>4</v>
      </c>
      <c r="T119">
        <v>1</v>
      </c>
      <c r="U119">
        <v>4</v>
      </c>
      <c r="V119" t="str">
        <f>_xlfn.CONCAT(item_ref[[#This Row],[Trans_Type]],item_ref[[#This Row],[Fix/Flex]],item_ref[[#This Row],[PRIO]],"-")</f>
        <v>414-</v>
      </c>
      <c r="W119" t="str">
        <f>_xlfn.CONCAT(item_ref[[#This Row],[DesID_1]])</f>
        <v>414-</v>
      </c>
      <c r="X119"/>
    </row>
    <row r="120" spans="14:24" x14ac:dyDescent="0.25">
      <c r="N120" t="s">
        <v>181</v>
      </c>
      <c r="O120" t="s">
        <v>54</v>
      </c>
      <c r="P120">
        <f>_xlfn.XLOOKUP(item_ref[[#This Row],[Account]],acct_ref[AccountName],acct_ref[AcctNo],"missing",0)</f>
        <v>5015</v>
      </c>
      <c r="Q120">
        <v>1</v>
      </c>
      <c r="R120">
        <v>2</v>
      </c>
      <c r="S120">
        <v>4</v>
      </c>
      <c r="T120">
        <v>1</v>
      </c>
      <c r="U120">
        <v>4</v>
      </c>
      <c r="V120" t="str">
        <f>_xlfn.CONCAT(item_ref[[#This Row],[Trans_Type]],item_ref[[#This Row],[Fix/Flex]],item_ref[[#This Row],[PRIO]],"-")</f>
        <v>414-</v>
      </c>
      <c r="W120" t="str">
        <f>_xlfn.CONCAT(item_ref[[#This Row],[DesID_1]])</f>
        <v>414-</v>
      </c>
      <c r="X120"/>
    </row>
    <row r="121" spans="14:24" x14ac:dyDescent="0.25">
      <c r="N121" t="s">
        <v>136</v>
      </c>
      <c r="O121" t="s">
        <v>54</v>
      </c>
      <c r="P121">
        <f>_xlfn.XLOOKUP(item_ref[[#This Row],[Account]],acct_ref[AccountName],acct_ref[AcctNo],"missing",0)</f>
        <v>5015</v>
      </c>
      <c r="Q121">
        <v>1</v>
      </c>
      <c r="R121">
        <v>2</v>
      </c>
      <c r="S121">
        <v>4</v>
      </c>
      <c r="T121">
        <v>1</v>
      </c>
      <c r="U121">
        <v>4</v>
      </c>
      <c r="V121" t="str">
        <f>_xlfn.CONCAT(item_ref[[#This Row],[Trans_Type]],item_ref[[#This Row],[Fix/Flex]],item_ref[[#This Row],[PRIO]],"-")</f>
        <v>414-</v>
      </c>
      <c r="W121" t="str">
        <f>_xlfn.CONCAT(item_ref[[#This Row],[DesID_1]])</f>
        <v>414-</v>
      </c>
      <c r="X121"/>
    </row>
    <row r="122" spans="14:24" x14ac:dyDescent="0.25">
      <c r="N122" t="s">
        <v>234</v>
      </c>
      <c r="O122" t="s">
        <v>54</v>
      </c>
      <c r="P122">
        <f>_xlfn.XLOOKUP(item_ref[[#This Row],[Account]],acct_ref[AccountName],acct_ref[AcctNo],"missing",0)</f>
        <v>5015</v>
      </c>
      <c r="Q122">
        <v>1</v>
      </c>
      <c r="V122" t="str">
        <f>_xlfn.CONCAT(item_ref[[#This Row],[Trans_Type]],item_ref[[#This Row],[Fix/Flex]],item_ref[[#This Row],[PRIO]],"-")</f>
        <v>-</v>
      </c>
      <c r="W122" t="str">
        <f>_xlfn.CONCAT(item_ref[[#This Row],[DesID_1]])</f>
        <v>-</v>
      </c>
    </row>
    <row r="123" spans="14:24" x14ac:dyDescent="0.25">
      <c r="N123" t="s">
        <v>187</v>
      </c>
      <c r="O123" t="s">
        <v>54</v>
      </c>
      <c r="P123">
        <f>_xlfn.XLOOKUP(item_ref[[#This Row],[Account]],acct_ref[AccountName],acct_ref[AcctNo],"missing",0)</f>
        <v>5015</v>
      </c>
      <c r="Q123">
        <v>1</v>
      </c>
      <c r="V123" t="str">
        <f>_xlfn.CONCAT(item_ref[[#This Row],[Trans_Type]],item_ref[[#This Row],[Fix/Flex]],item_ref[[#This Row],[PRIO]],"-")</f>
        <v>-</v>
      </c>
      <c r="W123" t="str">
        <f>_xlfn.CONCAT(item_ref[[#This Row],[DesID_1]])</f>
        <v>-</v>
      </c>
    </row>
    <row r="124" spans="14:24" x14ac:dyDescent="0.25">
      <c r="N124" t="s">
        <v>210</v>
      </c>
      <c r="O124" t="s">
        <v>52</v>
      </c>
      <c r="P124">
        <f>_xlfn.XLOOKUP(item_ref[[#This Row],[Account]],acct_ref[AccountName],acct_ref[AcctNo],"missing",0)</f>
        <v>5013</v>
      </c>
      <c r="Q124">
        <v>1</v>
      </c>
      <c r="V124" t="str">
        <f>_xlfn.CONCAT(item_ref[[#This Row],[Trans_Type]],item_ref[[#This Row],[Fix/Flex]],item_ref[[#This Row],[PRIO]],"-")</f>
        <v>-</v>
      </c>
      <c r="W124" t="str">
        <f>_xlfn.CONCAT(item_ref[[#This Row],[DesID_1]])</f>
        <v>-</v>
      </c>
    </row>
    <row r="125" spans="14:24" x14ac:dyDescent="0.25">
      <c r="N125" t="s">
        <v>216</v>
      </c>
      <c r="O125" t="s">
        <v>52</v>
      </c>
      <c r="P125">
        <f>_xlfn.XLOOKUP(item_ref[[#This Row],[Account]],acct_ref[AccountName],acct_ref[AcctNo],"missing",0)</f>
        <v>5013</v>
      </c>
      <c r="Q125">
        <v>1</v>
      </c>
      <c r="V125" t="str">
        <f>_xlfn.CONCAT(item_ref[[#This Row],[Trans_Type]],item_ref[[#This Row],[Fix/Flex]],item_ref[[#This Row],[PRIO]],"-")</f>
        <v>-</v>
      </c>
      <c r="W125" t="str">
        <f>_xlfn.CONCAT(item_ref[[#This Row],[DesID_1]])</f>
        <v>-</v>
      </c>
    </row>
    <row r="126" spans="14:24" x14ac:dyDescent="0.25">
      <c r="N126" t="s">
        <v>226</v>
      </c>
      <c r="O126" t="s">
        <v>50</v>
      </c>
      <c r="P126">
        <f>_xlfn.XLOOKUP(item_ref[[#This Row],[Account]],acct_ref[AccountName],acct_ref[AcctNo],"missing",0)</f>
        <v>5007</v>
      </c>
      <c r="Q126">
        <v>1</v>
      </c>
      <c r="V126" t="str">
        <f>_xlfn.CONCAT(item_ref[[#This Row],[Trans_Type]],item_ref[[#This Row],[Fix/Flex]],item_ref[[#This Row],[PRIO]],"-")</f>
        <v>-</v>
      </c>
      <c r="W126" t="str">
        <f>_xlfn.CONCAT(item_ref[[#This Row],[DesID_1]])</f>
        <v>-</v>
      </c>
    </row>
    <row r="127" spans="14:24" x14ac:dyDescent="0.25">
      <c r="N127" t="s">
        <v>207</v>
      </c>
      <c r="O127" t="s">
        <v>50</v>
      </c>
      <c r="P127">
        <f>_xlfn.XLOOKUP(item_ref[[#This Row],[Account]],acct_ref[AccountName],acct_ref[AcctNo],"missing",0)</f>
        <v>5007</v>
      </c>
      <c r="Q127">
        <v>1</v>
      </c>
      <c r="V127" t="str">
        <f>_xlfn.CONCAT(item_ref[[#This Row],[Trans_Type]],item_ref[[#This Row],[Fix/Flex]],item_ref[[#This Row],[PRIO]],"-")</f>
        <v>-</v>
      </c>
      <c r="W127" t="str">
        <f>_xlfn.CONCAT(item_ref[[#This Row],[DesID_1]])</f>
        <v>-</v>
      </c>
    </row>
    <row r="128" spans="14:24" x14ac:dyDescent="0.25">
      <c r="N128" t="s">
        <v>225</v>
      </c>
      <c r="O128" t="s">
        <v>50</v>
      </c>
      <c r="P128">
        <f>_xlfn.XLOOKUP(item_ref[[#This Row],[Account]],acct_ref[AccountName],acct_ref[AcctNo],"missing",0)</f>
        <v>5007</v>
      </c>
      <c r="Q128">
        <v>1</v>
      </c>
      <c r="V128" t="str">
        <f>_xlfn.CONCAT(item_ref[[#This Row],[Trans_Type]],item_ref[[#This Row],[Fix/Flex]],item_ref[[#This Row],[PRIO]],"-")</f>
        <v>-</v>
      </c>
      <c r="W128" t="str">
        <f>_xlfn.CONCAT(item_ref[[#This Row],[DesID_1]])</f>
        <v>-</v>
      </c>
    </row>
    <row r="129" spans="14:23" x14ac:dyDescent="0.25">
      <c r="N129" t="s">
        <v>115</v>
      </c>
      <c r="O129" t="s">
        <v>50</v>
      </c>
      <c r="P129">
        <f>_xlfn.XLOOKUP(item_ref[[#This Row],[Account]],acct_ref[AccountName],acct_ref[AcctNo],"missing",0)</f>
        <v>5007</v>
      </c>
      <c r="Q129">
        <v>1</v>
      </c>
      <c r="S129">
        <v>4</v>
      </c>
      <c r="T129">
        <v>0</v>
      </c>
      <c r="U129">
        <v>2</v>
      </c>
      <c r="V129" t="str">
        <f>_xlfn.CONCAT(item_ref[[#This Row],[Trans_Type]],item_ref[[#This Row],[Fix/Flex]],item_ref[[#This Row],[PRIO]],"-")</f>
        <v>402-</v>
      </c>
      <c r="W129" t="str">
        <f>_xlfn.CONCAT(item_ref[[#This Row],[DesID_1]])</f>
        <v>402-</v>
      </c>
    </row>
    <row r="130" spans="14:23" x14ac:dyDescent="0.25">
      <c r="N130" t="s">
        <v>526</v>
      </c>
      <c r="O130" t="s">
        <v>50</v>
      </c>
      <c r="P130">
        <f>_xlfn.XLOOKUP(item_ref[[#This Row],[Account]],acct_ref[AccountName],acct_ref[AcctNo],"missing",0)</f>
        <v>5007</v>
      </c>
      <c r="Q130">
        <v>1</v>
      </c>
      <c r="V130" t="str">
        <f>_xlfn.CONCAT(item_ref[[#This Row],[Trans_Type]],item_ref[[#This Row],[Fix/Flex]],item_ref[[#This Row],[PRIO]],"-")</f>
        <v>-</v>
      </c>
      <c r="W130" t="str">
        <f>_xlfn.CONCAT(item_ref[[#This Row],[DesID_1]])</f>
        <v>-</v>
      </c>
    </row>
    <row r="131" spans="14:23" x14ac:dyDescent="0.25">
      <c r="N131" t="s">
        <v>119</v>
      </c>
      <c r="O131" t="s">
        <v>50</v>
      </c>
      <c r="P131">
        <f>_xlfn.XLOOKUP(item_ref[[#This Row],[Account]],acct_ref[AccountName],acct_ref[AcctNo],"missing",0)</f>
        <v>5007</v>
      </c>
      <c r="Q131">
        <v>1</v>
      </c>
      <c r="V131" t="str">
        <f>_xlfn.CONCAT(item_ref[[#This Row],[Trans_Type]],item_ref[[#This Row],[Fix/Flex]],item_ref[[#This Row],[PRIO]],"-")</f>
        <v>-</v>
      </c>
      <c r="W131" t="str">
        <f>_xlfn.CONCAT(item_ref[[#This Row],[DesID_1]])</f>
        <v>-</v>
      </c>
    </row>
    <row r="132" spans="14:23" x14ac:dyDescent="0.25">
      <c r="N132" t="s">
        <v>180</v>
      </c>
      <c r="O132" t="s">
        <v>50</v>
      </c>
      <c r="P132">
        <f>_xlfn.XLOOKUP(item_ref[[#This Row],[Account]],acct_ref[AccountName],acct_ref[AcctNo],"missing",0)</f>
        <v>5007</v>
      </c>
      <c r="Q132">
        <v>1</v>
      </c>
      <c r="S132">
        <v>0</v>
      </c>
      <c r="T132">
        <v>1</v>
      </c>
      <c r="U132">
        <v>1</v>
      </c>
      <c r="V132" t="str">
        <f>_xlfn.CONCAT(item_ref[[#This Row],[Trans_Type]],item_ref[[#This Row],[Fix/Flex]],item_ref[[#This Row],[PRIO]],"-")</f>
        <v>011-</v>
      </c>
      <c r="W132" t="str">
        <f>_xlfn.CONCAT(item_ref[[#This Row],[DesID_1]])</f>
        <v>011-</v>
      </c>
    </row>
    <row r="133" spans="14:23" x14ac:dyDescent="0.25">
      <c r="N133" t="s">
        <v>223</v>
      </c>
      <c r="O133" t="s">
        <v>50</v>
      </c>
      <c r="P133">
        <f>_xlfn.XLOOKUP(item_ref[[#This Row],[Account]],acct_ref[AccountName],acct_ref[AcctNo],"missing",0)</f>
        <v>5007</v>
      </c>
      <c r="Q133">
        <v>1</v>
      </c>
      <c r="V133" t="str">
        <f>_xlfn.CONCAT(item_ref[[#This Row],[Trans_Type]],item_ref[[#This Row],[Fix/Flex]],item_ref[[#This Row],[PRIO]],"-")</f>
        <v>-</v>
      </c>
      <c r="W133" t="str">
        <f>_xlfn.CONCAT(item_ref[[#This Row],[DesID_1]])</f>
        <v>-</v>
      </c>
    </row>
    <row r="134" spans="14:23" x14ac:dyDescent="0.25">
      <c r="N134" t="s">
        <v>224</v>
      </c>
      <c r="O134" t="s">
        <v>50</v>
      </c>
      <c r="P134">
        <f>_xlfn.XLOOKUP(item_ref[[#This Row],[Account]],acct_ref[AccountName],acct_ref[AcctNo],"missing",0)</f>
        <v>5007</v>
      </c>
      <c r="Q134">
        <v>1</v>
      </c>
      <c r="V134" t="str">
        <f>_xlfn.CONCAT(item_ref[[#This Row],[Trans_Type]],item_ref[[#This Row],[Fix/Flex]],item_ref[[#This Row],[PRIO]],"-")</f>
        <v>-</v>
      </c>
      <c r="W134" t="str">
        <f>_xlfn.CONCAT(item_ref[[#This Row],[DesID_1]])</f>
        <v>-</v>
      </c>
    </row>
    <row r="135" spans="14:23" x14ac:dyDescent="0.25">
      <c r="N135" t="s">
        <v>250</v>
      </c>
      <c r="O135" t="s">
        <v>50</v>
      </c>
      <c r="P135">
        <f>_xlfn.XLOOKUP(item_ref[[#This Row],[Account]],acct_ref[AccountName],acct_ref[AcctNo],"missing",0)</f>
        <v>5007</v>
      </c>
      <c r="Q135">
        <v>1</v>
      </c>
      <c r="V135" t="str">
        <f>_xlfn.CONCAT(item_ref[[#This Row],[Trans_Type]],item_ref[[#This Row],[Fix/Flex]],item_ref[[#This Row],[PRIO]],"-")</f>
        <v>-</v>
      </c>
      <c r="W135" t="str">
        <f>_xlfn.CONCAT(item_ref[[#This Row],[DesID_1]])</f>
        <v>-</v>
      </c>
    </row>
    <row r="136" spans="14:23" x14ac:dyDescent="0.25">
      <c r="N136" t="s">
        <v>56</v>
      </c>
      <c r="O136" t="s">
        <v>50</v>
      </c>
      <c r="P136">
        <f>_xlfn.XLOOKUP(item_ref[[#This Row],[Account]],acct_ref[AccountName],acct_ref[AcctNo],"missing",0)</f>
        <v>5007</v>
      </c>
      <c r="Q136">
        <v>1</v>
      </c>
      <c r="V136" t="str">
        <f>_xlfn.CONCAT(item_ref[[#This Row],[Trans_Type]],item_ref[[#This Row],[Fix/Flex]],item_ref[[#This Row],[PRIO]],"-")</f>
        <v>-</v>
      </c>
      <c r="W136" t="str">
        <f>_xlfn.CONCAT(item_ref[[#This Row],[DesID_1]])</f>
        <v>-</v>
      </c>
    </row>
    <row r="137" spans="14:23" x14ac:dyDescent="0.25">
      <c r="N137" t="s">
        <v>146</v>
      </c>
      <c r="O137" t="s">
        <v>37</v>
      </c>
      <c r="P137">
        <f>_xlfn.XLOOKUP(item_ref[[#This Row],[Account]],acct_ref[AccountName],acct_ref[AcctNo],"missing",0)</f>
        <v>5006</v>
      </c>
      <c r="Q137">
        <v>1</v>
      </c>
      <c r="S137">
        <v>5</v>
      </c>
      <c r="T137">
        <v>1</v>
      </c>
      <c r="U137">
        <v>1</v>
      </c>
      <c r="V137" t="str">
        <f>_xlfn.CONCAT(item_ref[[#This Row],[Trans_Type]],item_ref[[#This Row],[Fix/Flex]],item_ref[[#This Row],[PRIO]],"-")</f>
        <v>511-</v>
      </c>
      <c r="W137" t="str">
        <f>_xlfn.CONCAT(item_ref[[#This Row],[DesID_1]])</f>
        <v>511-</v>
      </c>
    </row>
    <row r="138" spans="14:23" x14ac:dyDescent="0.25">
      <c r="N138" t="s">
        <v>421</v>
      </c>
      <c r="O138" t="s">
        <v>88</v>
      </c>
      <c r="P138">
        <f>_xlfn.XLOOKUP(item_ref[[#This Row],[Account]],acct_ref[AccountName],acct_ref[AcctNo],"missing",0)</f>
        <v>5000</v>
      </c>
      <c r="V138" t="str">
        <f>_xlfn.CONCAT(item_ref[[#This Row],[Trans_Type]],item_ref[[#This Row],[Fix/Flex]],item_ref[[#This Row],[PRIO]],"-")</f>
        <v>-</v>
      </c>
      <c r="W138" t="str">
        <f>_xlfn.CONCAT(item_ref[[#This Row],[DesID_1]])</f>
        <v>-</v>
      </c>
    </row>
    <row r="139" spans="14:23" x14ac:dyDescent="0.25">
      <c r="N139" t="s">
        <v>228</v>
      </c>
      <c r="O139" t="s">
        <v>88</v>
      </c>
      <c r="P139">
        <f>_xlfn.XLOOKUP(item_ref[[#This Row],[Account]],acct_ref[AccountName],acct_ref[AcctNo],"missing",0)</f>
        <v>5000</v>
      </c>
      <c r="Q139">
        <v>1</v>
      </c>
      <c r="V139" t="str">
        <f>_xlfn.CONCAT(item_ref[[#This Row],[Trans_Type]],item_ref[[#This Row],[Fix/Flex]],item_ref[[#This Row],[PRIO]],"-")</f>
        <v>-</v>
      </c>
      <c r="W139" t="str">
        <f>_xlfn.CONCAT(item_ref[[#This Row],[DesID_1]])</f>
        <v>-</v>
      </c>
    </row>
    <row r="140" spans="14:23" x14ac:dyDescent="0.25">
      <c r="N140" t="s">
        <v>244</v>
      </c>
      <c r="O140" t="s">
        <v>88</v>
      </c>
      <c r="P140">
        <f>_xlfn.XLOOKUP(item_ref[[#This Row],[Account]],acct_ref[AccountName],acct_ref[AcctNo],"missing",0)</f>
        <v>5000</v>
      </c>
      <c r="Q140">
        <v>1</v>
      </c>
      <c r="V140" t="str">
        <f>_xlfn.CONCAT(item_ref[[#This Row],[Trans_Type]],item_ref[[#This Row],[Fix/Flex]],item_ref[[#This Row],[PRIO]],"-")</f>
        <v>-</v>
      </c>
      <c r="W140" t="str">
        <f>_xlfn.CONCAT(item_ref[[#This Row],[DesID_1]])</f>
        <v>-</v>
      </c>
    </row>
    <row r="141" spans="14:23" x14ac:dyDescent="0.25">
      <c r="N141" t="s">
        <v>248</v>
      </c>
      <c r="O141" t="s">
        <v>486</v>
      </c>
      <c r="P141">
        <f>_xlfn.XLOOKUP(item_ref[[#This Row],[Account]],acct_ref[AccountName],acct_ref[AcctNo],"missing",0)</f>
        <v>4006</v>
      </c>
      <c r="Q141">
        <v>1</v>
      </c>
      <c r="V141" t="str">
        <f>_xlfn.CONCAT(item_ref[[#This Row],[Trans_Type]],item_ref[[#This Row],[Fix/Flex]],item_ref[[#This Row],[PRIO]],"-")</f>
        <v>-</v>
      </c>
      <c r="W141" t="str">
        <f>_xlfn.CONCAT(item_ref[[#This Row],[DesID_1]])</f>
        <v>-</v>
      </c>
    </row>
  </sheetData>
  <phoneticPr fontId="32" type="noConversion"/>
  <conditionalFormatting sqref="G12:G59">
    <cfRule type="cellIs" dxfId="4" priority="1" operator="equal">
      <formula>0</formula>
    </cfRule>
  </conditionalFormatting>
  <dataValidations count="4">
    <dataValidation type="list" allowBlank="1" showInputMessage="1" showErrorMessage="1" sqref="N105" xr:uid="{C7BF131F-B12B-406F-9CBE-29A999968E53}">
      <formula1>INDIRECT("ItemRef[Item]")</formula1>
    </dataValidation>
    <dataValidation type="list" allowBlank="1" showInputMessage="1" showErrorMessage="1" sqref="K22:K36" xr:uid="{A1D8C969-713D-4341-9C4C-379E0AA17B51}">
      <formula1>ListAccountTypes</formula1>
    </dataValidation>
    <dataValidation type="list" allowBlank="1" showInputMessage="1" showErrorMessage="1" sqref="O12:O141" xr:uid="{BCC48EEE-2F06-4AFF-AE12-0950CDF5514B}">
      <formula1>INDIRECT("acct_ref[AccountName]")</formula1>
    </dataValidation>
    <dataValidation type="list" allowBlank="1" showInputMessage="1" showErrorMessage="1" sqref="D12:D62" xr:uid="{FDCBDC9E-AD38-4064-A9EA-500252A468D6}">
      <formula1>INDIRECT("acct_type_ref[AcctType]")</formula1>
    </dataValidation>
  </dataValidations>
  <pageMargins left="0.7" right="0.7" top="0.75" bottom="0.75" header="0.3" footer="0.3"/>
  <pageSetup orientation="portrait" horizontalDpi="0" verticalDpi="0" r:id="rId1"/>
  <drawing r:id="rId2"/>
  <tableParts count="10">
    <tablePart r:id="rId3"/>
    <tablePart r:id="rId4"/>
    <tablePart r:id="rId5"/>
    <tablePart r:id="rId6"/>
    <tablePart r:id="rId7"/>
    <tablePart r:id="rId8"/>
    <tablePart r:id="rId9"/>
    <tablePart r:id="rId10"/>
    <tablePart r:id="rId11"/>
    <tablePart r:id="rId1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6E2D7-09CA-45F3-B606-6C65E58AFBF6}">
  <sheetPr codeName="Sheet20">
    <tabColor theme="0" tint="-0.14999847407452621"/>
  </sheetPr>
  <dimension ref="B2:AE61"/>
  <sheetViews>
    <sheetView showGridLines="0" workbookViewId="0">
      <selection activeCell="G5" sqref="G5"/>
    </sheetView>
  </sheetViews>
  <sheetFormatPr defaultRowHeight="15" outlineLevelCol="1" x14ac:dyDescent="0.25"/>
  <cols>
    <col min="1" max="1" width="5.7109375" customWidth="1"/>
    <col min="2" max="2" width="32.28515625" customWidth="1" outlineLevel="1"/>
    <col min="3" max="3" width="10.28515625" customWidth="1" outlineLevel="1"/>
    <col min="4" max="4" width="7.5703125" customWidth="1" outlineLevel="1"/>
    <col min="5" max="5" width="35.7109375" customWidth="1"/>
    <col min="6" max="6" width="15.7109375" customWidth="1"/>
    <col min="7" max="8" width="20.7109375" customWidth="1"/>
    <col min="9" max="9" width="12.28515625" customWidth="1"/>
    <col min="10" max="10" width="20.7109375" customWidth="1"/>
    <col min="11" max="11" width="16.42578125" customWidth="1"/>
    <col min="13" max="13" width="25.42578125" customWidth="1"/>
    <col min="14" max="14" width="12.28515625" customWidth="1"/>
    <col min="15" max="15" width="13.42578125" customWidth="1"/>
    <col min="20" max="20" width="20.5703125" customWidth="1"/>
    <col min="21" max="21" width="31.140625" customWidth="1"/>
    <col min="22" max="22" width="23.42578125" customWidth="1"/>
    <col min="23" max="23" width="30.85546875" customWidth="1"/>
    <col min="24" max="24" width="22.85546875" customWidth="1"/>
  </cols>
  <sheetData>
    <row r="2" spans="2:31" x14ac:dyDescent="0.25">
      <c r="E2" s="12" t="s">
        <v>43</v>
      </c>
      <c r="J2" s="14" t="s">
        <v>44</v>
      </c>
    </row>
    <row r="4" spans="2:31" x14ac:dyDescent="0.25">
      <c r="E4" s="12" t="s">
        <v>20</v>
      </c>
    </row>
    <row r="5" spans="2:31" ht="21" x14ac:dyDescent="0.35">
      <c r="E5" s="13" t="s">
        <v>89</v>
      </c>
      <c r="F5" s="9"/>
      <c r="G5" s="9"/>
      <c r="H5" s="9"/>
      <c r="I5" s="9"/>
      <c r="J5" s="9"/>
      <c r="K5" s="11"/>
    </row>
    <row r="6" spans="2:31" x14ac:dyDescent="0.25">
      <c r="F6" s="9"/>
      <c r="G6" s="9"/>
      <c r="H6" s="9"/>
      <c r="I6" s="9"/>
      <c r="J6" s="9"/>
      <c r="K6" s="9"/>
    </row>
    <row r="7" spans="2:31" x14ac:dyDescent="0.25">
      <c r="E7" t="s">
        <v>62</v>
      </c>
      <c r="F7" s="41" t="e">
        <f>(ROWS([1]TitlePage!#REF!))/2</f>
        <v>#REF!</v>
      </c>
      <c r="G7" s="9"/>
      <c r="H7" s="9"/>
      <c r="I7" s="9"/>
      <c r="J7" s="9"/>
      <c r="K7" s="9"/>
    </row>
    <row r="8" spans="2:31" x14ac:dyDescent="0.25">
      <c r="E8" t="s">
        <v>86</v>
      </c>
      <c r="F8" s="41"/>
      <c r="G8" s="9"/>
      <c r="H8" s="9"/>
      <c r="I8" s="9"/>
      <c r="J8" s="9"/>
      <c r="K8" s="9"/>
    </row>
    <row r="9" spans="2:31" x14ac:dyDescent="0.25">
      <c r="E9" t="s">
        <v>93</v>
      </c>
      <c r="F9" t="str">
        <f>IF(ROWS(BalanceRef[Account Name])=ROWS(acct_ref[AccountName]),"Correct",(ROWS(BalanceRef[Account Name])-ROWS(acct_ref[AccountName])))</f>
        <v>Correct</v>
      </c>
    </row>
    <row r="10" spans="2:31" x14ac:dyDescent="0.25">
      <c r="E10" t="s">
        <v>41</v>
      </c>
      <c r="F10" t="s">
        <v>83</v>
      </c>
      <c r="G10" t="s">
        <v>85</v>
      </c>
      <c r="H10" t="s">
        <v>84</v>
      </c>
      <c r="I10" t="s">
        <v>17</v>
      </c>
      <c r="J10" t="s">
        <v>70</v>
      </c>
      <c r="K10" t="s">
        <v>314</v>
      </c>
      <c r="M10" t="s">
        <v>174</v>
      </c>
      <c r="N10" t="s">
        <v>39</v>
      </c>
      <c r="O10" t="s">
        <v>315</v>
      </c>
      <c r="P10" t="s">
        <v>95</v>
      </c>
      <c r="T10" t="s">
        <v>311</v>
      </c>
      <c r="U10" t="s">
        <v>353</v>
      </c>
    </row>
    <row r="11" spans="2:31" x14ac:dyDescent="0.25">
      <c r="B11" t="str">
        <f>_xlfn.XLOOKUP($C11,acct_ref[AcctNo],acct_ref[AccountName],"missing",0)</f>
        <v>Cash</v>
      </c>
      <c r="C11" cm="1">
        <f t="array" ref="C11:C61">_xlfn._xlws.SORT(_xlfn.UNIQUE(acct_ref[AcctNo]))</f>
        <v>1001</v>
      </c>
      <c r="D11">
        <f>IF(BalanceRef[[#This Row],[Account Name]]=B11,1,0)</f>
        <v>1</v>
      </c>
      <c r="E11" t="str">
        <f>_xlfn.XLOOKUP(BalanceRef[[#This Row],[AccountNo.]],acct_ref[AcctNo],acct_ref[AccountName],"Error/Missing Info",0)</f>
        <v>Cash</v>
      </c>
      <c r="F11">
        <v>1001</v>
      </c>
      <c r="G11" s="1">
        <f>ROUND(SUMIFS(Journal[Debit],Journal[AccountName],BalanceRef[[#This Row],[Account Name]]),2)</f>
        <v>45</v>
      </c>
      <c r="H11" s="1">
        <f>ROUND(SUMIFS(Journal[Credit],Journal[AccountName],BalanceRef[[#This Row],[Account Name]]),2)</f>
        <v>0</v>
      </c>
      <c r="I11">
        <f>_xlfn.XLOOKUP(BalanceRef[[#This Row],[AccountNo.]],acct_ref[AcctNo],acct_ref[BalanceID],"Missing Info",0)</f>
        <v>1</v>
      </c>
      <c r="J11" s="1">
        <f>ROUND(IF(BalanceRef[[#This Row],[BalanceID]]=1,BalanceRef[[#This Row],[Debit Total]]-BalanceRef[[#This Row],[Credit Total]],IF(BalanceRef[[#This Row],[BalanceID]]=2,BalanceRef[[#This Row],[Credit Total]]-BalanceRef[[#This Row],[Debit Total]],"Error/Missing Info")),2)</f>
        <v>45</v>
      </c>
      <c r="K11">
        <v>1</v>
      </c>
      <c r="M11" t="s">
        <v>317</v>
      </c>
      <c r="N11" t="s">
        <v>5</v>
      </c>
      <c r="O11">
        <v>1</v>
      </c>
      <c r="P11">
        <f>SUMIFS(BalanceRef[Balance],BalanceRef[Pers. State. ID],Pers_State_Calc[[#This Row],[ID]])</f>
        <v>590.99</v>
      </c>
      <c r="R11" cm="1">
        <f t="array" ref="R11:R31">_xlfn._xlws.SORT(_xlfn.UNIQUE(BalanceRef[Pers. State. ID]))</f>
        <v>1</v>
      </c>
      <c r="T11" t="s">
        <v>359</v>
      </c>
      <c r="U11" t="s">
        <v>2</v>
      </c>
    </row>
    <row r="12" spans="2:31" x14ac:dyDescent="0.25">
      <c r="B12" t="str">
        <f>_xlfn.XLOOKUP($C12,acct_ref[AcctNo],acct_ref[AccountName],"missing",0)</f>
        <v>Chequing Account</v>
      </c>
      <c r="C12">
        <v>1002</v>
      </c>
      <c r="D12">
        <f>IF(BalanceRef[[#This Row],[Account Name]]=B12,1,0)</f>
        <v>1</v>
      </c>
      <c r="E12" t="str">
        <f>_xlfn.XLOOKUP(BalanceRef[[#This Row],[AccountNo.]],acct_ref[AcctNo],acct_ref[AccountName],"Error/Missing Info",0)</f>
        <v>Chequing Account</v>
      </c>
      <c r="F12">
        <v>1002</v>
      </c>
      <c r="G12" s="1">
        <f>ROUND(SUMIFS(Journal[Debit],Journal[AccountName],BalanceRef[[#This Row],[Account Name]]),2)</f>
        <v>3750</v>
      </c>
      <c r="H12" s="1">
        <f>ROUND(SUMIFS(Journal[Credit],Journal[AccountName],BalanceRef[[#This Row],[Account Name]]),2)</f>
        <v>3704.01</v>
      </c>
      <c r="I12">
        <f>_xlfn.XLOOKUP(BalanceRef[[#This Row],[AccountNo.]],acct_ref[AcctNo],acct_ref[BalanceID],"Missing Info",0)</f>
        <v>1</v>
      </c>
      <c r="J12" s="1">
        <f>ROUND(IF(BalanceRef[[#This Row],[BalanceID]]=1,BalanceRef[[#This Row],[Debit Total]]-BalanceRef[[#This Row],[Credit Total]],IF(BalanceRef[[#This Row],[BalanceID]]=2,BalanceRef[[#This Row],[Credit Total]]-BalanceRef[[#This Row],[Debit Total]],"Error/Missing Info")),2)</f>
        <v>45.99</v>
      </c>
      <c r="K12">
        <v>1</v>
      </c>
      <c r="M12" t="s">
        <v>103</v>
      </c>
      <c r="N12" t="s">
        <v>5</v>
      </c>
      <c r="O12">
        <v>2</v>
      </c>
      <c r="P12">
        <f>SUMIFS(BalanceRef[Balance],BalanceRef[Pers. State. ID],Pers_State_Calc[[#This Row],[ID]])</f>
        <v>0</v>
      </c>
      <c r="R12">
        <v>2</v>
      </c>
      <c r="T12" t="s">
        <v>359</v>
      </c>
      <c r="U12" t="s">
        <v>27</v>
      </c>
    </row>
    <row r="13" spans="2:31" x14ac:dyDescent="0.25">
      <c r="B13" t="str">
        <f>_xlfn.XLOOKUP($C13,acct_ref[AcctNo],acct_ref[AccountName],"missing",0)</f>
        <v>Savings Account</v>
      </c>
      <c r="C13">
        <v>1003</v>
      </c>
      <c r="D13">
        <f>IF(BalanceRef[[#This Row],[Account Name]]=B13,1,0)</f>
        <v>1</v>
      </c>
      <c r="E13" t="str">
        <f>_xlfn.XLOOKUP(BalanceRef[[#This Row],[AccountNo.]],acct_ref[AcctNo],acct_ref[AccountName],"Error/Missing Info",0)</f>
        <v>Savings Account</v>
      </c>
      <c r="F13">
        <v>1003</v>
      </c>
      <c r="G13" s="1">
        <f>ROUND(SUMIFS(Journal[Debit],Journal[AccountName],BalanceRef[[#This Row],[Account Name]]),2)</f>
        <v>500</v>
      </c>
      <c r="H13" s="1">
        <f>ROUND(SUMIFS(Journal[Credit],Journal[AccountName],BalanceRef[[#This Row],[Account Name]]),2)</f>
        <v>0</v>
      </c>
      <c r="I13">
        <f>_xlfn.XLOOKUP(BalanceRef[[#This Row],[AccountNo.]],acct_ref[AcctNo],acct_ref[BalanceID],"Missing Info",0)</f>
        <v>1</v>
      </c>
      <c r="J13" s="1">
        <f>ROUND(IF(BalanceRef[[#This Row],[BalanceID]]=1,BalanceRef[[#This Row],[Debit Total]]-BalanceRef[[#This Row],[Credit Total]],IF(BalanceRef[[#This Row],[BalanceID]]=2,BalanceRef[[#This Row],[Credit Total]]-BalanceRef[[#This Row],[Debit Total]],"Error/Missing Info")),2)</f>
        <v>500</v>
      </c>
      <c r="K13">
        <v>1</v>
      </c>
      <c r="M13" t="s">
        <v>316</v>
      </c>
      <c r="N13" t="s">
        <v>5</v>
      </c>
      <c r="O13">
        <v>3</v>
      </c>
      <c r="P13">
        <f>SUMIFS(BalanceRef[Balance],BalanceRef[Pers. State. ID],Pers_State_Calc[[#This Row],[ID]])</f>
        <v>0</v>
      </c>
      <c r="R13">
        <v>3</v>
      </c>
      <c r="T13" t="s">
        <v>359</v>
      </c>
      <c r="U13" t="s">
        <v>28</v>
      </c>
    </row>
    <row r="14" spans="2:31" x14ac:dyDescent="0.25">
      <c r="B14" t="str">
        <f>_xlfn.XLOOKUP($C14,acct_ref[AcctNo],acct_ref[AccountName],"missing",0)</f>
        <v>Accounts Receiveable- Personal</v>
      </c>
      <c r="C14">
        <v>1004</v>
      </c>
      <c r="D14">
        <f>IF(BalanceRef[[#This Row],[Account Name]]=B14,1,0)</f>
        <v>1</v>
      </c>
      <c r="E14" t="str">
        <f>_xlfn.XLOOKUP(BalanceRef[[#This Row],[AccountNo.]],acct_ref[AcctNo],acct_ref[AccountName],"Error/Missing Info",0)</f>
        <v>Accounts Receiveable- Personal</v>
      </c>
      <c r="F14">
        <v>1004</v>
      </c>
      <c r="G14" s="1">
        <f>ROUND(SUMIFS(Journal[Debit],Journal[AccountName],BalanceRef[[#This Row],[Account Name]]),2)</f>
        <v>0</v>
      </c>
      <c r="H14" s="1">
        <f>ROUND(SUMIFS(Journal[Credit],Journal[AccountName],BalanceRef[[#This Row],[Account Name]]),2)</f>
        <v>0</v>
      </c>
      <c r="I14">
        <f>_xlfn.XLOOKUP(BalanceRef[[#This Row],[AccountNo.]],acct_ref[AcctNo],acct_ref[BalanceID],"Missing Info",0)</f>
        <v>1</v>
      </c>
      <c r="J14" s="1">
        <f>ROUND(IF(BalanceRef[[#This Row],[BalanceID]]=1,BalanceRef[[#This Row],[Debit Total]]-BalanceRef[[#This Row],[Credit Total]],IF(BalanceRef[[#This Row],[BalanceID]]=2,BalanceRef[[#This Row],[Credit Total]]-BalanceRef[[#This Row],[Debit Total]],"Error/Missing Info")),2)</f>
        <v>0</v>
      </c>
      <c r="K14">
        <v>5</v>
      </c>
      <c r="M14" t="s">
        <v>30</v>
      </c>
      <c r="N14" t="s">
        <v>5</v>
      </c>
      <c r="O14">
        <v>4</v>
      </c>
      <c r="P14">
        <f>SUMIFS(BalanceRef[Balance],BalanceRef[Pers. State. ID],Pers_State_Calc[[#This Row],[ID]])</f>
        <v>0</v>
      </c>
      <c r="R14">
        <v>4</v>
      </c>
      <c r="T14" t="s">
        <v>360</v>
      </c>
      <c r="U14" t="s">
        <v>11</v>
      </c>
    </row>
    <row r="15" spans="2:31" x14ac:dyDescent="0.25">
      <c r="B15" t="str">
        <f>_xlfn.XLOOKUP($C15,acct_ref[AcctNo],acct_ref[AccountName],"missing",0)</f>
        <v>Salary Over/Under</v>
      </c>
      <c r="C15">
        <v>1005</v>
      </c>
      <c r="D15">
        <f>IF(BalanceRef[[#This Row],[Account Name]]=B15,1,0)</f>
        <v>1</v>
      </c>
      <c r="E15" t="str">
        <f>_xlfn.XLOOKUP(BalanceRef[[#This Row],[AccountNo.]],acct_ref[AcctNo],acct_ref[AccountName],"Error/Missing Info",0)</f>
        <v>Salary Over/Under</v>
      </c>
      <c r="F15">
        <v>1005</v>
      </c>
      <c r="G15" s="1">
        <f>ROUND(SUMIFS(Journal[Debit],Journal[AccountName],BalanceRef[[#This Row],[Account Name]]),2)</f>
        <v>0</v>
      </c>
      <c r="H15" s="1">
        <f>ROUND(SUMIFS(Journal[Credit],Journal[AccountName],BalanceRef[[#This Row],[Account Name]]),2)</f>
        <v>0</v>
      </c>
      <c r="I15">
        <f>_xlfn.XLOOKUP(BalanceRef[[#This Row],[AccountNo.]],acct_ref[AcctNo],acct_ref[BalanceID],"Missing Info",0)</f>
        <v>1</v>
      </c>
      <c r="J15" s="1">
        <f>ROUND(IF(BalanceRef[[#This Row],[BalanceID]]=1,BalanceRef[[#This Row],[Debit Total]]-BalanceRef[[#This Row],[Credit Total]],IF(BalanceRef[[#This Row],[BalanceID]]=2,BalanceRef[[#This Row],[Credit Total]]-BalanceRef[[#This Row],[Debit Total]],"Error/Missing Info")),2)</f>
        <v>0</v>
      </c>
      <c r="M15" t="str">
        <f>_xlfn.XLOOKUP(BalanceRef[[#This Row],[AccountNo.]],acct_ref[AcctNo],acct_ref[AccountName],"Error/Missing Info",0)</f>
        <v>Salary Over/Under</v>
      </c>
      <c r="N15" t="s">
        <v>5</v>
      </c>
      <c r="O15">
        <v>5</v>
      </c>
      <c r="P15">
        <f>SUMIFS(BalanceRef[Balance],BalanceRef[Pers. State. ID],Pers_State_Calc[[#This Row],[ID]])</f>
        <v>0</v>
      </c>
      <c r="R15">
        <v>5</v>
      </c>
      <c r="T15" t="s">
        <v>360</v>
      </c>
      <c r="U15" t="s">
        <v>7</v>
      </c>
    </row>
    <row r="16" spans="2:31" x14ac:dyDescent="0.25">
      <c r="B16" t="str">
        <f>_xlfn.XLOOKUP($C16,acct_ref[AcctNo],acct_ref[AccountName],"missing",0)</f>
        <v>Gift Card - Amazon</v>
      </c>
      <c r="C16">
        <v>1006</v>
      </c>
      <c r="D16">
        <f>IF(BalanceRef[[#This Row],[Account Name]]=B16,1,0)</f>
        <v>1</v>
      </c>
      <c r="E16" t="str">
        <f>_xlfn.XLOOKUP(BalanceRef[[#This Row],[AccountNo.]],acct_ref[AcctNo],acct_ref[AccountName],"Error/Missing Info",0)</f>
        <v>Gift Card - Amazon</v>
      </c>
      <c r="F16">
        <v>1006</v>
      </c>
      <c r="G16" s="1">
        <f>ROUND(SUMIFS(Journal[Debit],Journal[AccountName],BalanceRef[[#This Row],[Account Name]]),2)</f>
        <v>0</v>
      </c>
      <c r="H16" s="1">
        <f>ROUND(SUMIFS(Journal[Credit],Journal[AccountName],BalanceRef[[#This Row],[Account Name]]),2)</f>
        <v>0</v>
      </c>
      <c r="I16">
        <f>_xlfn.XLOOKUP(BalanceRef[[#This Row],[AccountNo.]],acct_ref[AcctNo],acct_ref[BalanceID],"Missing Info",0)</f>
        <v>1</v>
      </c>
      <c r="J16" s="1">
        <f>ROUND(IF(BalanceRef[[#This Row],[BalanceID]]=1,BalanceRef[[#This Row],[Debit Total]]-BalanceRef[[#This Row],[Credit Total]],IF(BalanceRef[[#This Row],[BalanceID]]=2,BalanceRef[[#This Row],[Credit Total]]-BalanceRef[[#This Row],[Debit Total]],"Error/Missing Info")),2)</f>
        <v>0</v>
      </c>
      <c r="K16">
        <v>10</v>
      </c>
      <c r="M16" t="s">
        <v>322</v>
      </c>
      <c r="N16" t="s">
        <v>5</v>
      </c>
      <c r="O16">
        <v>10</v>
      </c>
      <c r="P16">
        <f>SUMIFS(BalanceRef[Balance],BalanceRef[Pers. State. ID],Pers_State_Calc[[#This Row],[ID]])</f>
        <v>0</v>
      </c>
      <c r="R16">
        <v>10</v>
      </c>
      <c r="T16" t="s">
        <v>360</v>
      </c>
      <c r="U16" t="s">
        <v>361</v>
      </c>
      <c r="Y16" s="89"/>
      <c r="Z16" s="89"/>
      <c r="AA16" s="88"/>
      <c r="AB16" s="88"/>
      <c r="AC16" s="88"/>
      <c r="AD16" s="88"/>
      <c r="AE16" s="114"/>
    </row>
    <row r="17" spans="2:31" x14ac:dyDescent="0.25">
      <c r="B17" t="str">
        <f>_xlfn.XLOOKUP($C17,acct_ref[AcctNo],acct_ref[AccountName],"missing",0)</f>
        <v>Home</v>
      </c>
      <c r="C17">
        <v>1007</v>
      </c>
      <c r="D17">
        <f>IF(BalanceRef[[#This Row],[Account Name]]=B17,1,0)</f>
        <v>1</v>
      </c>
      <c r="E17" t="str">
        <f>_xlfn.XLOOKUP(BalanceRef[[#This Row],[AccountNo.]],acct_ref[AcctNo],acct_ref[AccountName],"Error/Missing Info",0)</f>
        <v>Home</v>
      </c>
      <c r="F17">
        <v>1007</v>
      </c>
      <c r="G17" s="1">
        <f>ROUND(SUMIFS(Journal[Debit],Journal[AccountName],BalanceRef[[#This Row],[Account Name]]),2)</f>
        <v>0</v>
      </c>
      <c r="H17" s="1">
        <f>ROUND(SUMIFS(Journal[Credit],Journal[AccountName],BalanceRef[[#This Row],[Account Name]]),2)</f>
        <v>0</v>
      </c>
      <c r="I17">
        <f>_xlfn.XLOOKUP(BalanceRef[[#This Row],[AccountNo.]],acct_ref[AcctNo],acct_ref[BalanceID],"Missing Info",0)</f>
        <v>1</v>
      </c>
      <c r="J17" s="1">
        <f>ROUND(IF(BalanceRef[[#This Row],[BalanceID]]=1,BalanceRef[[#This Row],[Debit Total]]-BalanceRef[[#This Row],[Credit Total]],IF(BalanceRef[[#This Row],[BalanceID]]=2,BalanceRef[[#This Row],[Credit Total]]-BalanceRef[[#This Row],[Debit Total]],"Error/Missing Info")),2)</f>
        <v>0</v>
      </c>
      <c r="K17">
        <v>4</v>
      </c>
      <c r="M17" t="s">
        <v>324</v>
      </c>
      <c r="N17" t="s">
        <v>4</v>
      </c>
      <c r="O17">
        <v>20</v>
      </c>
      <c r="P17">
        <f>SUMIFS(BalanceRef[Balance],BalanceRef[Pers. State. ID],Pers_State_Calc[[#This Row],[ID]])</f>
        <v>0</v>
      </c>
      <c r="R17">
        <v>20</v>
      </c>
      <c r="T17" t="s">
        <v>360</v>
      </c>
      <c r="U17" t="s">
        <v>105</v>
      </c>
      <c r="Y17" s="89"/>
      <c r="Z17" s="89"/>
      <c r="AA17" s="88"/>
      <c r="AB17" s="88"/>
      <c r="AC17" s="88"/>
      <c r="AD17" s="88"/>
      <c r="AE17" s="114"/>
    </row>
    <row r="18" spans="2:31" x14ac:dyDescent="0.25">
      <c r="B18" t="str">
        <f>_xlfn.XLOOKUP($C18,acct_ref[AcctNo],acct_ref[AccountName],"missing",0)</f>
        <v>Asset - Computer</v>
      </c>
      <c r="C18">
        <v>1008</v>
      </c>
      <c r="D18">
        <f>IF(BalanceRef[[#This Row],[Account Name]]=B18,1,0)</f>
        <v>1</v>
      </c>
      <c r="E18" t="str">
        <f>_xlfn.XLOOKUP(BalanceRef[[#This Row],[AccountNo.]],acct_ref[AcctNo],acct_ref[AccountName],"Error/Missing Info",0)</f>
        <v>Asset - Computer</v>
      </c>
      <c r="F18">
        <v>1008</v>
      </c>
      <c r="G18" s="1">
        <f>ROUND(SUMIFS(Journal[Debit],Journal[AccountName],BalanceRef[[#This Row],[Account Name]]),2)</f>
        <v>0</v>
      </c>
      <c r="H18" s="1">
        <f>ROUND(SUMIFS(Journal[Credit],Journal[AccountName],BalanceRef[[#This Row],[Account Name]]),2)</f>
        <v>0</v>
      </c>
      <c r="I18">
        <f>_xlfn.XLOOKUP(BalanceRef[[#This Row],[AccountNo.]],acct_ref[AcctNo],acct_ref[BalanceID],"Missing Info",0)</f>
        <v>1</v>
      </c>
      <c r="J18" s="1">
        <f>ROUND(IF(BalanceRef[[#This Row],[BalanceID]]=1,BalanceRef[[#This Row],[Debit Total]]-BalanceRef[[#This Row],[Credit Total]],IF(BalanceRef[[#This Row],[BalanceID]]=2,BalanceRef[[#This Row],[Credit Total]]-BalanceRef[[#This Row],[Debit Total]],"Error/Missing Info")),2)</f>
        <v>0</v>
      </c>
      <c r="K18">
        <v>10</v>
      </c>
      <c r="M18" t="s">
        <v>325</v>
      </c>
      <c r="N18" t="s">
        <v>4</v>
      </c>
      <c r="O18">
        <v>21</v>
      </c>
      <c r="P18">
        <f>SUMIFS(BalanceRef[Balance],BalanceRef[Pers. State. ID],Pers_State_Calc[[#This Row],[ID]])</f>
        <v>0</v>
      </c>
      <c r="R18">
        <v>21</v>
      </c>
      <c r="T18" t="s">
        <v>103</v>
      </c>
      <c r="U18" t="s">
        <v>103</v>
      </c>
      <c r="Y18" s="89"/>
      <c r="Z18" s="89"/>
      <c r="AA18" s="88"/>
      <c r="AB18" s="88"/>
      <c r="AC18" s="88"/>
      <c r="AD18" s="88"/>
      <c r="AE18" s="114"/>
    </row>
    <row r="19" spans="2:31" x14ac:dyDescent="0.25">
      <c r="B19" t="str">
        <f>_xlfn.XLOOKUP($C19,acct_ref[AcctNo],acct_ref[AccountName],"missing",0)</f>
        <v>Asset - Office</v>
      </c>
      <c r="C19">
        <v>1009</v>
      </c>
      <c r="D19">
        <f>IF(BalanceRef[[#This Row],[Account Name]]=B19,1,0)</f>
        <v>1</v>
      </c>
      <c r="E19" t="str">
        <f>_xlfn.XLOOKUP(BalanceRef[[#This Row],[AccountNo.]],acct_ref[AcctNo],acct_ref[AccountName],"Error/Missing Info",0)</f>
        <v>Asset - Office</v>
      </c>
      <c r="F19">
        <v>1009</v>
      </c>
      <c r="G19" s="1">
        <f>ROUND(SUMIFS(Journal[Debit],Journal[AccountName],BalanceRef[[#This Row],[Account Name]]),2)</f>
        <v>0</v>
      </c>
      <c r="H19" s="1">
        <f>ROUND(SUMIFS(Journal[Credit],Journal[AccountName],BalanceRef[[#This Row],[Account Name]]),2)</f>
        <v>0</v>
      </c>
      <c r="I19">
        <f>_xlfn.XLOOKUP(BalanceRef[[#This Row],[AccountNo.]],acct_ref[AcctNo],acct_ref[BalanceID],"Missing Info",0)</f>
        <v>1</v>
      </c>
      <c r="J19" s="1">
        <f>ROUND(IF(BalanceRef[[#This Row],[BalanceID]]=1,BalanceRef[[#This Row],[Debit Total]]-BalanceRef[[#This Row],[Credit Total]],IF(BalanceRef[[#This Row],[BalanceID]]=2,BalanceRef[[#This Row],[Credit Total]]-BalanceRef[[#This Row],[Debit Total]],"Error/Missing Info")),2)</f>
        <v>0</v>
      </c>
      <c r="K19">
        <v>10</v>
      </c>
      <c r="M19" t="s">
        <v>326</v>
      </c>
      <c r="N19" t="s">
        <v>4</v>
      </c>
      <c r="O19">
        <v>22</v>
      </c>
      <c r="P19">
        <f>SUMIFS(BalanceRef[Balance],BalanceRef[Pers. State. ID],Pers_State_Calc[[#This Row],[ID]])</f>
        <v>0</v>
      </c>
      <c r="R19">
        <v>22</v>
      </c>
      <c r="T19" t="s">
        <v>369</v>
      </c>
      <c r="U19" t="s">
        <v>104</v>
      </c>
      <c r="Y19" s="89"/>
      <c r="Z19" s="89"/>
      <c r="AA19" s="88"/>
      <c r="AB19" s="88"/>
      <c r="AC19" s="88"/>
      <c r="AD19" s="88"/>
      <c r="AE19" s="114"/>
    </row>
    <row r="20" spans="2:31" x14ac:dyDescent="0.25">
      <c r="B20" t="str">
        <f>_xlfn.XLOOKUP($C20,acct_ref[AcctNo],acct_ref[AccountName],"missing",0)</f>
        <v>Asset - Shop Tools</v>
      </c>
      <c r="C20">
        <v>1010</v>
      </c>
      <c r="D20">
        <f>IF(BalanceRef[[#This Row],[Account Name]]=B20,1,0)</f>
        <v>1</v>
      </c>
      <c r="E20" t="str">
        <f>_xlfn.XLOOKUP(BalanceRef[[#This Row],[AccountNo.]],acct_ref[AcctNo],acct_ref[AccountName],"Error/Missing Info",0)</f>
        <v>Asset - Shop Tools</v>
      </c>
      <c r="F20">
        <v>1010</v>
      </c>
      <c r="G20" s="1">
        <f>ROUND(SUMIFS(Journal[Debit],Journal[AccountName],BalanceRef[[#This Row],[Account Name]]),2)</f>
        <v>0</v>
      </c>
      <c r="H20" s="1">
        <f>ROUND(SUMIFS(Journal[Credit],Journal[AccountName],BalanceRef[[#This Row],[Account Name]]),2)</f>
        <v>0</v>
      </c>
      <c r="I20">
        <f>_xlfn.XLOOKUP(BalanceRef[[#This Row],[AccountNo.]],acct_ref[AcctNo],acct_ref[BalanceID],"Missing Info",0)</f>
        <v>1</v>
      </c>
      <c r="J20" s="1">
        <f>ROUND(IF(BalanceRef[[#This Row],[BalanceID]]=1,BalanceRef[[#This Row],[Debit Total]]-BalanceRef[[#This Row],[Credit Total]],IF(BalanceRef[[#This Row],[BalanceID]]=2,BalanceRef[[#This Row],[Credit Total]]-BalanceRef[[#This Row],[Debit Total]],"Error/Missing Info")),2)</f>
        <v>0</v>
      </c>
      <c r="K20">
        <v>10</v>
      </c>
      <c r="M20" t="s">
        <v>327</v>
      </c>
      <c r="N20" t="s">
        <v>16</v>
      </c>
      <c r="O20">
        <v>40</v>
      </c>
      <c r="P20">
        <f>SUMIFS(BalanceRef[Balance],BalanceRef[Pers. State. ID],Pers_State_Calc[[#This Row],[ID]])</f>
        <v>3750</v>
      </c>
      <c r="R20">
        <v>40</v>
      </c>
      <c r="T20" t="s">
        <v>30</v>
      </c>
      <c r="U20" t="s">
        <v>30</v>
      </c>
      <c r="Y20" s="89"/>
      <c r="Z20" s="89"/>
      <c r="AA20" s="88"/>
      <c r="AB20" s="88"/>
      <c r="AC20" s="88"/>
      <c r="AD20" s="88"/>
      <c r="AE20" s="114"/>
    </row>
    <row r="21" spans="2:31" x14ac:dyDescent="0.25">
      <c r="B21" t="str">
        <f>_xlfn.XLOOKUP($C21,acct_ref[AcctNo],acct_ref[AccountName],"missing",0)</f>
        <v>Prepaid Expense - Life Insurance</v>
      </c>
      <c r="C21">
        <v>1011</v>
      </c>
      <c r="D21">
        <f>IF(BalanceRef[[#This Row],[Account Name]]=B21,1,0)</f>
        <v>1</v>
      </c>
      <c r="E21" t="str">
        <f>_xlfn.XLOOKUP(BalanceRef[[#This Row],[AccountNo.]],acct_ref[AcctNo],acct_ref[AccountName],"Error/Missing Info",0)</f>
        <v>Prepaid Expense - Life Insurance</v>
      </c>
      <c r="F21">
        <v>1011</v>
      </c>
      <c r="G21" s="1">
        <f>ROUND(SUMIFS(Journal[Debit],Journal[AccountName],BalanceRef[[#This Row],[Account Name]]),2)</f>
        <v>0</v>
      </c>
      <c r="H21" s="1">
        <f>ROUND(SUMIFS(Journal[Credit],Journal[AccountName],BalanceRef[[#This Row],[Account Name]]),2)</f>
        <v>0</v>
      </c>
      <c r="I21">
        <f>_xlfn.XLOOKUP(BalanceRef[[#This Row],[AccountNo.]],acct_ref[AcctNo],acct_ref[BalanceID],"Missing Info",0)</f>
        <v>1</v>
      </c>
      <c r="J21" s="1">
        <f>ROUND(IF(BalanceRef[[#This Row],[BalanceID]]=1,BalanceRef[[#This Row],[Debit Total]]-BalanceRef[[#This Row],[Credit Total]],IF(BalanceRef[[#This Row],[BalanceID]]=2,BalanceRef[[#This Row],[Credit Total]]-BalanceRef[[#This Row],[Debit Total]],"Error/Missing Info")),2)</f>
        <v>0</v>
      </c>
      <c r="M21" t="s">
        <v>87</v>
      </c>
      <c r="N21" t="s">
        <v>16</v>
      </c>
      <c r="O21">
        <v>41</v>
      </c>
      <c r="P21">
        <f>SUMIFS(BalanceRef[Balance],BalanceRef[Pers. State. ID],Pers_State_Calc[[#This Row],[ID]])</f>
        <v>0</v>
      </c>
      <c r="R21">
        <v>41</v>
      </c>
      <c r="T21" t="s">
        <v>322</v>
      </c>
      <c r="U21" t="s">
        <v>33</v>
      </c>
      <c r="Y21" s="357"/>
      <c r="Z21" s="357"/>
      <c r="AA21" s="357"/>
      <c r="AB21" s="357"/>
      <c r="AC21" s="357"/>
      <c r="AD21" s="357"/>
      <c r="AE21" s="357"/>
    </row>
    <row r="22" spans="2:31" x14ac:dyDescent="0.25">
      <c r="B22" t="str">
        <f>_xlfn.XLOOKUP($C22,acct_ref[AcctNo],acct_ref[AccountName],"missing",0)</f>
        <v>Prepaid Expense - Self-Care</v>
      </c>
      <c r="C22">
        <v>1012</v>
      </c>
      <c r="D22">
        <f>IF(BalanceRef[[#This Row],[Account Name]]=B22,1,0)</f>
        <v>1</v>
      </c>
      <c r="E22" t="str">
        <f>_xlfn.XLOOKUP(BalanceRef[[#This Row],[AccountNo.]],acct_ref[AcctNo],acct_ref[AccountName],"Error/Missing Info",0)</f>
        <v>Prepaid Expense - Self-Care</v>
      </c>
      <c r="F22">
        <v>1012</v>
      </c>
      <c r="G22" s="1">
        <f>ROUND(SUMIFS(Journal[Debit],Journal[AccountName],BalanceRef[[#This Row],[Account Name]]),2)</f>
        <v>0</v>
      </c>
      <c r="H22" s="1">
        <f>ROUND(SUMIFS(Journal[Credit],Journal[AccountName],BalanceRef[[#This Row],[Account Name]]),2)</f>
        <v>0</v>
      </c>
      <c r="I22">
        <f>_xlfn.XLOOKUP(BalanceRef[[#This Row],[AccountNo.]],acct_ref[AcctNo],acct_ref[BalanceID],"Missing Info",0)</f>
        <v>1</v>
      </c>
      <c r="J22" s="1">
        <f>ROUND(IF(BalanceRef[[#This Row],[BalanceID]]=1,BalanceRef[[#This Row],[Debit Total]]-BalanceRef[[#This Row],[Credit Total]],IF(BalanceRef[[#This Row],[BalanceID]]=2,BalanceRef[[#This Row],[Credit Total]]-BalanceRef[[#This Row],[Debit Total]],"Error/Missing Info")),2)</f>
        <v>0</v>
      </c>
      <c r="K22">
        <v>10</v>
      </c>
      <c r="M22" t="s">
        <v>318</v>
      </c>
      <c r="N22" t="s">
        <v>3</v>
      </c>
      <c r="O22">
        <v>50</v>
      </c>
      <c r="P22">
        <f>SUMIFS(BalanceRef[Balance],BalanceRef[Pers. State. ID],Pers_State_Calc[[#This Row],[ID]])</f>
        <v>112.7</v>
      </c>
      <c r="R22">
        <v>50</v>
      </c>
      <c r="T22" t="s">
        <v>322</v>
      </c>
      <c r="U22" t="s">
        <v>29</v>
      </c>
      <c r="Y22" s="89"/>
      <c r="Z22" s="350"/>
      <c r="AA22" s="350"/>
      <c r="AB22" s="350"/>
      <c r="AC22" s="350"/>
      <c r="AD22" s="89"/>
      <c r="AE22" s="114"/>
    </row>
    <row r="23" spans="2:31" x14ac:dyDescent="0.25">
      <c r="B23" t="str">
        <f>_xlfn.XLOOKUP($C23,acct_ref[AcctNo],acct_ref[AccountName],"missing",0)</f>
        <v xml:space="preserve">Prepaid Expense - Office </v>
      </c>
      <c r="C23">
        <v>1013</v>
      </c>
      <c r="D23">
        <f>IF(BalanceRef[[#This Row],[Account Name]]=B23,1,0)</f>
        <v>1</v>
      </c>
      <c r="E23" t="str">
        <f>_xlfn.XLOOKUP(BalanceRef[[#This Row],[AccountNo.]],acct_ref[AcctNo],acct_ref[AccountName],"Error/Missing Info",0)</f>
        <v xml:space="preserve">Prepaid Expense - Office </v>
      </c>
      <c r="F23">
        <v>1013</v>
      </c>
      <c r="G23" s="1">
        <f>ROUND(SUMIFS(Journal[Debit],Journal[AccountName],BalanceRef[[#This Row],[Account Name]]),2)</f>
        <v>0</v>
      </c>
      <c r="H23" s="1">
        <f>ROUND(SUMIFS(Journal[Credit],Journal[AccountName],BalanceRef[[#This Row],[Account Name]]),2)</f>
        <v>0</v>
      </c>
      <c r="I23">
        <f>_xlfn.XLOOKUP(BalanceRef[[#This Row],[AccountNo.]],acct_ref[AcctNo],acct_ref[BalanceID],"Missing Info",0)</f>
        <v>1</v>
      </c>
      <c r="J23" s="1">
        <f>ROUND(IF(BalanceRef[[#This Row],[BalanceID]]=1,BalanceRef[[#This Row],[Debit Total]]-BalanceRef[[#This Row],[Credit Total]],IF(BalanceRef[[#This Row],[BalanceID]]=2,BalanceRef[[#This Row],[Credit Total]]-BalanceRef[[#This Row],[Debit Total]],"Error/Missing Info")),2)</f>
        <v>0</v>
      </c>
      <c r="K23">
        <v>10</v>
      </c>
      <c r="M23" t="s">
        <v>34</v>
      </c>
      <c r="N23" t="s">
        <v>3</v>
      </c>
      <c r="O23">
        <v>51</v>
      </c>
      <c r="P23">
        <f>SUMIFS(BalanceRef[Balance],BalanceRef[Pers. State. ID],Pers_State_Calc[[#This Row],[ID]])</f>
        <v>1350</v>
      </c>
      <c r="R23">
        <v>51</v>
      </c>
      <c r="T23" t="s">
        <v>322</v>
      </c>
      <c r="U23" t="s">
        <v>46</v>
      </c>
      <c r="Y23" s="89"/>
      <c r="Z23" s="350"/>
      <c r="AA23" s="350"/>
      <c r="AB23" s="350"/>
      <c r="AC23" s="350"/>
      <c r="AD23" s="89"/>
      <c r="AE23" s="114"/>
    </row>
    <row r="24" spans="2:31" x14ac:dyDescent="0.25">
      <c r="B24" t="str">
        <f>_xlfn.XLOOKUP($C24,acct_ref[AcctNo],acct_ref[AccountName],"missing",0)</f>
        <v>Prepaid Expense - Transportation</v>
      </c>
      <c r="C24">
        <v>1014</v>
      </c>
      <c r="D24">
        <f>IF(BalanceRef[[#This Row],[Account Name]]=B24,1,0)</f>
        <v>1</v>
      </c>
      <c r="E24" t="str">
        <f>_xlfn.XLOOKUP(BalanceRef[[#This Row],[AccountNo.]],acct_ref[AcctNo],acct_ref[AccountName],"Error/Missing Info",0)</f>
        <v>Prepaid Expense - Transportation</v>
      </c>
      <c r="F24">
        <v>1014</v>
      </c>
      <c r="G24" s="1">
        <f>ROUND(SUMIFS(Journal[Debit],Journal[AccountName],BalanceRef[[#This Row],[Account Name]]),2)</f>
        <v>0</v>
      </c>
      <c r="H24" s="1">
        <f>ROUND(SUMIFS(Journal[Credit],Journal[AccountName],BalanceRef[[#This Row],[Account Name]]),2)</f>
        <v>0</v>
      </c>
      <c r="I24">
        <f>_xlfn.XLOOKUP(BalanceRef[[#This Row],[AccountNo.]],acct_ref[AcctNo],acct_ref[BalanceID],"Missing Info",0)</f>
        <v>1</v>
      </c>
      <c r="J24" s="1">
        <f>ROUND(IF(BalanceRef[[#This Row],[BalanceID]]=1,BalanceRef[[#This Row],[Debit Total]]-BalanceRef[[#This Row],[Credit Total]],IF(BalanceRef[[#This Row],[BalanceID]]=2,BalanceRef[[#This Row],[Credit Total]]-BalanceRef[[#This Row],[Debit Total]],"Error/Missing Info")),2)</f>
        <v>0</v>
      </c>
      <c r="K24">
        <v>10</v>
      </c>
      <c r="M24" t="s">
        <v>328</v>
      </c>
      <c r="N24" t="s">
        <v>3</v>
      </c>
      <c r="O24">
        <v>52</v>
      </c>
      <c r="P24">
        <f>SUMIFS(BalanceRef[Balance],BalanceRef[Pers. State. ID],Pers_State_Calc[[#This Row],[ID]])</f>
        <v>167.97</v>
      </c>
      <c r="R24">
        <v>52</v>
      </c>
      <c r="T24" t="s">
        <v>322</v>
      </c>
      <c r="U24" t="s">
        <v>45</v>
      </c>
      <c r="Y24" s="89"/>
      <c r="Z24" s="350"/>
      <c r="AA24" s="350"/>
      <c r="AB24" s="350"/>
      <c r="AC24" s="350"/>
      <c r="AD24" s="89"/>
      <c r="AE24" s="114"/>
    </row>
    <row r="25" spans="2:31" x14ac:dyDescent="0.25">
      <c r="B25" t="str">
        <f>_xlfn.XLOOKUP($C25,acct_ref[AcctNo],acct_ref[AccountName],"missing",0)</f>
        <v>RRSP</v>
      </c>
      <c r="C25">
        <v>1015</v>
      </c>
      <c r="D25">
        <f>IF(BalanceRef[[#This Row],[Account Name]]=B25,1,0)</f>
        <v>1</v>
      </c>
      <c r="E25" t="str">
        <f>_xlfn.XLOOKUP(BalanceRef[[#This Row],[AccountNo.]],acct_ref[AcctNo],acct_ref[AccountName],"Error/Missing Info",0)</f>
        <v>RRSP</v>
      </c>
      <c r="F25">
        <v>1015</v>
      </c>
      <c r="G25" s="1">
        <f>ROUND(SUMIFS(Journal[Debit],Journal[AccountName],BalanceRef[[#This Row],[Account Name]]),2)</f>
        <v>0</v>
      </c>
      <c r="H25" s="1">
        <f>ROUND(SUMIFS(Journal[Credit],Journal[AccountName],BalanceRef[[#This Row],[Account Name]]),2)</f>
        <v>0</v>
      </c>
      <c r="I25">
        <f>_xlfn.XLOOKUP(BalanceRef[[#This Row],[AccountNo.]],acct_ref[AcctNo],acct_ref[BalanceID],"Missing Info",0)</f>
        <v>1</v>
      </c>
      <c r="J25" s="1">
        <f>ROUND(IF(BalanceRef[[#This Row],[BalanceID]]=1,BalanceRef[[#This Row],[Debit Total]]-BalanceRef[[#This Row],[Credit Total]],IF(BalanceRef[[#This Row],[BalanceID]]=2,BalanceRef[[#This Row],[Credit Total]]-BalanceRef[[#This Row],[Debit Total]],"Error/Missing Info")),2)</f>
        <v>0</v>
      </c>
      <c r="K25">
        <v>2</v>
      </c>
      <c r="M25" t="s">
        <v>94</v>
      </c>
      <c r="N25" t="s">
        <v>3</v>
      </c>
      <c r="O25">
        <v>53</v>
      </c>
      <c r="P25">
        <f>SUMIFS(BalanceRef[Balance],BalanceRef[Pers. State. ID],Pers_State_Calc[[#This Row],[ID]])</f>
        <v>0</v>
      </c>
      <c r="R25">
        <v>53</v>
      </c>
      <c r="T25" t="s">
        <v>370</v>
      </c>
      <c r="U25" t="s">
        <v>32</v>
      </c>
      <c r="Y25" s="357"/>
      <c r="Z25" s="357"/>
      <c r="AA25" s="357"/>
      <c r="AB25" s="357"/>
      <c r="AC25" s="357"/>
      <c r="AD25" s="100"/>
      <c r="AE25" s="99"/>
    </row>
    <row r="26" spans="2:31" x14ac:dyDescent="0.25">
      <c r="B26" t="str">
        <f>_xlfn.XLOOKUP($C26,acct_ref[AcctNo],acct_ref[AccountName],"missing",0)</f>
        <v>TFSA Investia</v>
      </c>
      <c r="C26">
        <v>1016</v>
      </c>
      <c r="D26">
        <f>IF(BalanceRef[[#This Row],[Account Name]]=B26,1,0)</f>
        <v>1</v>
      </c>
      <c r="E26" t="str">
        <f>_xlfn.XLOOKUP(BalanceRef[[#This Row],[AccountNo.]],acct_ref[AcctNo],acct_ref[AccountName],"Error/Missing Info",0)</f>
        <v>TFSA Investia</v>
      </c>
      <c r="F26">
        <v>1016</v>
      </c>
      <c r="G26" s="1">
        <f>ROUND(SUMIFS(Journal[Debit],Journal[AccountName],BalanceRef[[#This Row],[Account Name]]),2)</f>
        <v>0</v>
      </c>
      <c r="H26" s="1">
        <f>ROUND(SUMIFS(Journal[Credit],Journal[AccountName],BalanceRef[[#This Row],[Account Name]]),2)</f>
        <v>0</v>
      </c>
      <c r="I26">
        <f>_xlfn.XLOOKUP(BalanceRef[[#This Row],[AccountNo.]],acct_ref[AcctNo],acct_ref[BalanceID],"Missing Info",0)</f>
        <v>1</v>
      </c>
      <c r="J26" s="1">
        <f>ROUND(IF(BalanceRef[[#This Row],[BalanceID]]=1,BalanceRef[[#This Row],[Debit Total]]-BalanceRef[[#This Row],[Credit Total]],IF(BalanceRef[[#This Row],[BalanceID]]=2,BalanceRef[[#This Row],[Credit Total]]-BalanceRef[[#This Row],[Debit Total]],"Error/Missing Info")),2)</f>
        <v>0</v>
      </c>
      <c r="K26">
        <v>3</v>
      </c>
      <c r="M26" t="s">
        <v>50</v>
      </c>
      <c r="N26" t="s">
        <v>3</v>
      </c>
      <c r="O26">
        <v>54</v>
      </c>
      <c r="P26">
        <f>SUMIFS(BalanceRef[Balance],BalanceRef[Pers. State. ID],Pers_State_Calc[[#This Row],[ID]])</f>
        <v>368.1</v>
      </c>
      <c r="R26">
        <v>54</v>
      </c>
      <c r="T26" t="s">
        <v>370</v>
      </c>
      <c r="U26" t="s">
        <v>90</v>
      </c>
      <c r="Y26" s="89"/>
      <c r="Z26" s="89"/>
      <c r="AA26" s="88"/>
      <c r="AB26" s="88"/>
      <c r="AC26" s="88"/>
      <c r="AD26" s="88"/>
      <c r="AE26" s="114"/>
    </row>
    <row r="27" spans="2:31" x14ac:dyDescent="0.25">
      <c r="B27" t="str">
        <f>_xlfn.XLOOKUP($C27,acct_ref[AcctNo],acct_ref[AccountName],"missing",0)</f>
        <v>Prepaid Expense - Rent</v>
      </c>
      <c r="C27">
        <v>1017</v>
      </c>
      <c r="D27">
        <f>IF(BalanceRef[[#This Row],[Account Name]]=B27,1,0)</f>
        <v>1</v>
      </c>
      <c r="E27" t="str">
        <f>_xlfn.XLOOKUP(BalanceRef[[#This Row],[AccountNo.]],acct_ref[AcctNo],acct_ref[AccountName],"Error/Missing Info",0)</f>
        <v>Prepaid Expense - Rent</v>
      </c>
      <c r="F27">
        <v>1017</v>
      </c>
      <c r="G27" s="1">
        <f>ROUND(SUMIFS(Journal[Debit],Journal[AccountName],BalanceRef[[#This Row],[Account Name]]),2)</f>
        <v>0</v>
      </c>
      <c r="H27" s="1">
        <f>ROUND(SUMIFS(Journal[Credit],Journal[AccountName],BalanceRef[[#This Row],[Account Name]]),2)</f>
        <v>0</v>
      </c>
      <c r="I27">
        <f>_xlfn.XLOOKUP(BalanceRef[[#This Row],[AccountNo.]],acct_ref[AcctNo],acct_ref[BalanceID],"Missing Info",0)</f>
        <v>1</v>
      </c>
      <c r="J27" s="1">
        <f>ROUND(IF(BalanceRef[[#This Row],[BalanceID]]=1,BalanceRef[[#This Row],[Debit Total]]-BalanceRef[[#This Row],[Credit Total]],IF(BalanceRef[[#This Row],[BalanceID]]=2,BalanceRef[[#This Row],[Credit Total]]-BalanceRef[[#This Row],[Debit Total]],"Error/Missing Info")),2)</f>
        <v>0</v>
      </c>
      <c r="M27" t="s">
        <v>329</v>
      </c>
      <c r="N27" t="s">
        <v>3</v>
      </c>
      <c r="O27">
        <v>55</v>
      </c>
      <c r="P27">
        <f>SUMIFS(BalanceRef[Balance],BalanceRef[Pers. State. ID],Pers_State_Calc[[#This Row],[ID]])</f>
        <v>33.75</v>
      </c>
      <c r="R27">
        <v>55</v>
      </c>
      <c r="T27" t="s">
        <v>370</v>
      </c>
      <c r="U27" t="s">
        <v>92</v>
      </c>
      <c r="Y27" s="89"/>
      <c r="Z27" s="89"/>
      <c r="AA27" s="88"/>
      <c r="AB27" s="88"/>
      <c r="AC27" s="88"/>
      <c r="AD27" s="88"/>
      <c r="AE27" s="114"/>
    </row>
    <row r="28" spans="2:31" x14ac:dyDescent="0.25">
      <c r="B28" t="str">
        <f>_xlfn.XLOOKUP($C28,acct_ref[AcctNo],acct_ref[AccountName],"missing",0)</f>
        <v>Account Payable - CC 8524</v>
      </c>
      <c r="C28">
        <v>2001</v>
      </c>
      <c r="D28">
        <f>IF(BalanceRef[[#This Row],[Account Name]]=B28,1,0)</f>
        <v>1</v>
      </c>
      <c r="E28" t="str">
        <f>_xlfn.XLOOKUP(BalanceRef[[#This Row],[AccountNo.]],acct_ref[AcctNo],acct_ref[AccountName],"Error/Missing Info",0)</f>
        <v>Account Payable - CC 8524</v>
      </c>
      <c r="F28">
        <v>2001</v>
      </c>
      <c r="G28" s="1">
        <f>ROUND(SUMIFS(Journal[Debit],Journal[AccountName],BalanceRef[[#This Row],[Account Name]]),2)</f>
        <v>1330.36</v>
      </c>
      <c r="H28" s="1">
        <f>ROUND(SUMIFS(Journal[Credit],Journal[AccountName],BalanceRef[[#This Row],[Account Name]]),2)</f>
        <v>1330.36</v>
      </c>
      <c r="I28">
        <f>_xlfn.XLOOKUP(BalanceRef[[#This Row],[AccountNo.]],acct_ref[AcctNo],acct_ref[BalanceID],"Missing Info",0)</f>
        <v>2</v>
      </c>
      <c r="J28" s="1">
        <f>ROUND(IF(BalanceRef[[#This Row],[BalanceID]]=1,BalanceRef[[#This Row],[Debit Total]]-BalanceRef[[#This Row],[Credit Total]],IF(BalanceRef[[#This Row],[BalanceID]]=2,BalanceRef[[#This Row],[Credit Total]]-BalanceRef[[#This Row],[Debit Total]],"Error/Missing Info")),2)</f>
        <v>0</v>
      </c>
      <c r="K28">
        <v>20</v>
      </c>
      <c r="M28" t="s">
        <v>211</v>
      </c>
      <c r="N28" t="s">
        <v>3</v>
      </c>
      <c r="O28">
        <v>57</v>
      </c>
      <c r="P28">
        <f>SUMIFS(BalanceRef[Balance],BalanceRef[Pers. State. ID],Pers_State_Calc[[#This Row],[ID]])</f>
        <v>1020</v>
      </c>
      <c r="R28">
        <v>56</v>
      </c>
      <c r="T28" t="s">
        <v>370</v>
      </c>
      <c r="U28" t="s">
        <v>102</v>
      </c>
      <c r="Y28" s="89"/>
      <c r="Z28" s="89"/>
      <c r="AA28" s="88"/>
      <c r="AB28" s="88"/>
      <c r="AC28" s="88"/>
      <c r="AD28" s="88"/>
      <c r="AE28" s="114"/>
    </row>
    <row r="29" spans="2:31" x14ac:dyDescent="0.25">
      <c r="B29" t="str">
        <f>_xlfn.XLOOKUP($C29,acct_ref[AcctNo],acct_ref[AccountName],"missing",0)</f>
        <v>Account Payable - CC 1739</v>
      </c>
      <c r="C29">
        <v>2002</v>
      </c>
      <c r="D29">
        <f>IF(BalanceRef[[#This Row],[Account Name]]=B29,1,0)</f>
        <v>1</v>
      </c>
      <c r="E29" t="str">
        <f>_xlfn.XLOOKUP(BalanceRef[[#This Row],[AccountNo.]],acct_ref[AcctNo],acct_ref[AccountName],"Error/Missing Info",0)</f>
        <v>Account Payable - CC 1739</v>
      </c>
      <c r="F29">
        <v>2002</v>
      </c>
      <c r="G29" s="1">
        <f>ROUND(SUMIFS(Journal[Debit],Journal[AccountName],BalanceRef[[#This Row],[Account Name]]),2)</f>
        <v>0</v>
      </c>
      <c r="H29" s="1">
        <f>ROUND(SUMIFS(Journal[Credit],Journal[AccountName],BalanceRef[[#This Row],[Account Name]]),2)</f>
        <v>0</v>
      </c>
      <c r="I29">
        <f>_xlfn.XLOOKUP(BalanceRef[[#This Row],[AccountNo.]],acct_ref[AcctNo],acct_ref[BalanceID],"Missing Info",0)</f>
        <v>2</v>
      </c>
      <c r="J29" s="1">
        <f>ROUND(IF(BalanceRef[[#This Row],[BalanceID]]=1,BalanceRef[[#This Row],[Debit Total]]-BalanceRef[[#This Row],[Credit Total]],IF(BalanceRef[[#This Row],[BalanceID]]=2,BalanceRef[[#This Row],[Credit Total]]-BalanceRef[[#This Row],[Debit Total]],"Error/Missing Info")),2)</f>
        <v>0</v>
      </c>
      <c r="K29">
        <v>20</v>
      </c>
      <c r="M29" t="s">
        <v>53</v>
      </c>
      <c r="N29" t="s">
        <v>3</v>
      </c>
      <c r="O29">
        <v>56</v>
      </c>
      <c r="P29">
        <f>SUMIFS(BalanceRef[Balance],BalanceRef[Pers. State. ID],Pers_State_Calc[[#This Row],[ID]])</f>
        <v>0</v>
      </c>
      <c r="R29">
        <v>57</v>
      </c>
      <c r="T29" t="s">
        <v>370</v>
      </c>
      <c r="U29" t="s">
        <v>182</v>
      </c>
      <c r="Y29" s="89"/>
      <c r="Z29" s="89"/>
      <c r="AA29" s="88"/>
      <c r="AB29" s="88"/>
      <c r="AC29" s="88"/>
      <c r="AD29" s="88"/>
      <c r="AE29" s="114"/>
    </row>
    <row r="30" spans="2:31" x14ac:dyDescent="0.25">
      <c r="B30" t="str">
        <f>_xlfn.XLOOKUP($C30,acct_ref[AcctNo],acct_ref[AccountName],"missing",0)</f>
        <v>Account Payable - Personal</v>
      </c>
      <c r="C30">
        <v>2003</v>
      </c>
      <c r="D30">
        <f>IF(BalanceRef[[#This Row],[Account Name]]=B30,1,0)</f>
        <v>1</v>
      </c>
      <c r="E30" t="str">
        <f>_xlfn.XLOOKUP(BalanceRef[[#This Row],[AccountNo.]],acct_ref[AcctNo],acct_ref[AccountName],"Error/Missing Info",0)</f>
        <v>Account Payable - Personal</v>
      </c>
      <c r="F30">
        <v>2003</v>
      </c>
      <c r="G30" s="1">
        <f>ROUND(SUMIFS(Journal[Debit],Journal[AccountName],BalanceRef[[#This Row],[Account Name]]),2)</f>
        <v>0</v>
      </c>
      <c r="H30" s="1">
        <f>ROUND(SUMIFS(Journal[Credit],Journal[AccountName],BalanceRef[[#This Row],[Account Name]]),2)</f>
        <v>0</v>
      </c>
      <c r="I30">
        <f>_xlfn.XLOOKUP(BalanceRef[[#This Row],[AccountNo.]],acct_ref[AcctNo],acct_ref[BalanceID],"Missing Info",0)</f>
        <v>2</v>
      </c>
      <c r="J30" s="1">
        <f>ROUND(IF(BalanceRef[[#This Row],[BalanceID]]=1,BalanceRef[[#This Row],[Debit Total]]-BalanceRef[[#This Row],[Credit Total]],IF(BalanceRef[[#This Row],[BalanceID]]=2,BalanceRef[[#This Row],[Credit Total]]-BalanceRef[[#This Row],[Debit Total]],"Error/Missing Info")),2)</f>
        <v>0</v>
      </c>
      <c r="K30">
        <v>21</v>
      </c>
      <c r="M30" t="s">
        <v>8</v>
      </c>
      <c r="N30" t="s">
        <v>3</v>
      </c>
      <c r="O30">
        <v>60</v>
      </c>
      <c r="P30">
        <f>SUMIFS(BalanceRef[Balance],BalanceRef[Pers. State. ID],Pers_State_Calc[[#This Row],[ID]])</f>
        <v>0</v>
      </c>
      <c r="R30">
        <v>60</v>
      </c>
      <c r="T30" t="s">
        <v>362</v>
      </c>
      <c r="U30" t="s">
        <v>47</v>
      </c>
      <c r="Y30" s="89"/>
      <c r="Z30" s="89"/>
      <c r="AA30" s="88"/>
      <c r="AB30" s="88"/>
      <c r="AC30" s="88"/>
      <c r="AD30" s="88"/>
      <c r="AE30" s="114"/>
    </row>
    <row r="31" spans="2:31" x14ac:dyDescent="0.25">
      <c r="B31" t="str">
        <f>_xlfn.XLOOKUP($C31,acct_ref[AcctNo],acct_ref[AccountName],"missing",0)</f>
        <v>Loans - OSAP</v>
      </c>
      <c r="C31">
        <v>2004</v>
      </c>
      <c r="D31">
        <f>IF(BalanceRef[[#This Row],[Account Name]]=B31,1,0)</f>
        <v>1</v>
      </c>
      <c r="E31" t="str">
        <f>_xlfn.XLOOKUP(BalanceRef[[#This Row],[AccountNo.]],acct_ref[AcctNo],acct_ref[AccountName],"Error/Missing Info",0)</f>
        <v>Loans - OSAP</v>
      </c>
      <c r="F31">
        <v>2004</v>
      </c>
      <c r="G31" s="1">
        <f>ROUND(SUMIFS(Journal[Debit],Journal[AccountName],BalanceRef[[#This Row],[Account Name]]),2)</f>
        <v>0</v>
      </c>
      <c r="H31" s="1">
        <f>ROUND(SUMIFS(Journal[Credit],Journal[AccountName],BalanceRef[[#This Row],[Account Name]]),2)</f>
        <v>0</v>
      </c>
      <c r="I31">
        <f>_xlfn.XLOOKUP(BalanceRef[[#This Row],[AccountNo.]],acct_ref[AcctNo],acct_ref[BalanceID],"Missing Info",0)</f>
        <v>2</v>
      </c>
      <c r="J31" s="1">
        <f>ROUND(IF(BalanceRef[[#This Row],[BalanceID]]=1,BalanceRef[[#This Row],[Debit Total]]-BalanceRef[[#This Row],[Credit Total]],IF(BalanceRef[[#This Row],[BalanceID]]=2,BalanceRef[[#This Row],[Credit Total]]-BalanceRef[[#This Row],[Debit Total]],"Error/Missing Info")),2)</f>
        <v>0</v>
      </c>
      <c r="K31">
        <v>22</v>
      </c>
      <c r="R31">
        <v>0</v>
      </c>
      <c r="T31" t="s">
        <v>363</v>
      </c>
      <c r="U31" t="s">
        <v>214</v>
      </c>
      <c r="Y31" s="89"/>
      <c r="Z31" s="89"/>
      <c r="AA31" s="88"/>
      <c r="AB31" s="88"/>
      <c r="AC31" s="88"/>
      <c r="AD31" s="88"/>
      <c r="AE31" s="114"/>
    </row>
    <row r="32" spans="2:31" x14ac:dyDescent="0.25">
      <c r="B32" t="str">
        <f>_xlfn.XLOOKUP($C32,acct_ref[AcctNo],acct_ref[AccountName],"missing",0)</f>
        <v>Account Payable - Home Depot</v>
      </c>
      <c r="C32">
        <v>2005</v>
      </c>
      <c r="D32">
        <f>IF(BalanceRef[[#This Row],[Account Name]]=B32,1,0)</f>
        <v>1</v>
      </c>
      <c r="E32" t="str">
        <f>_xlfn.XLOOKUP(BalanceRef[[#This Row],[AccountNo.]],acct_ref[AcctNo],acct_ref[AccountName],"Error/Missing Info",0)</f>
        <v>Account Payable - Home Depot</v>
      </c>
      <c r="F32">
        <v>2005</v>
      </c>
      <c r="G32" s="1">
        <f>ROUND(SUMIFS(Journal[Debit],Journal[AccountName],BalanceRef[[#This Row],[Account Name]]),2)</f>
        <v>0</v>
      </c>
      <c r="H32" s="1">
        <f>ROUND(SUMIFS(Journal[Credit],Journal[AccountName],BalanceRef[[#This Row],[Account Name]]),2)</f>
        <v>0</v>
      </c>
      <c r="I32">
        <f>_xlfn.XLOOKUP(BalanceRef[[#This Row],[AccountNo.]],acct_ref[AcctNo],acct_ref[BalanceID],"Missing Info",0)</f>
        <v>2</v>
      </c>
      <c r="J32" s="1">
        <f>ROUND(IF(BalanceRef[[#This Row],[BalanceID]]=1,BalanceRef[[#This Row],[Debit Total]]-BalanceRef[[#This Row],[Credit Total]],IF(BalanceRef[[#This Row],[BalanceID]]=2,BalanceRef[[#This Row],[Credit Total]]-BalanceRef[[#This Row],[Debit Total]],"Error/Missing Info")),2)</f>
        <v>0</v>
      </c>
      <c r="T32" t="s">
        <v>364</v>
      </c>
      <c r="U32" t="s">
        <v>215</v>
      </c>
      <c r="Y32" s="357"/>
      <c r="Z32" s="357"/>
      <c r="AA32" s="357"/>
      <c r="AB32" s="357"/>
      <c r="AC32" s="357"/>
      <c r="AD32" s="357"/>
      <c r="AE32" s="357"/>
    </row>
    <row r="33" spans="2:31" x14ac:dyDescent="0.25">
      <c r="B33" t="str">
        <f>_xlfn.XLOOKUP($C33,acct_ref[AcctNo],acct_ref[AccountName],"missing",0)</f>
        <v>Account Payable - School</v>
      </c>
      <c r="C33">
        <v>2006</v>
      </c>
      <c r="D33">
        <f>IF(BalanceRef[[#This Row],[Account Name]]=B33,1,0)</f>
        <v>1</v>
      </c>
      <c r="E33" t="str">
        <f>_xlfn.XLOOKUP(BalanceRef[[#This Row],[AccountNo.]],acct_ref[AcctNo],acct_ref[AccountName],"Error/Missing Info",0)</f>
        <v>Account Payable - School</v>
      </c>
      <c r="F33">
        <v>2006</v>
      </c>
      <c r="G33" s="1">
        <f>ROUND(SUMIFS(Journal[Debit],Journal[AccountName],BalanceRef[[#This Row],[Account Name]]),2)</f>
        <v>0</v>
      </c>
      <c r="H33" s="1">
        <f>ROUND(SUMIFS(Journal[Credit],Journal[AccountName],BalanceRef[[#This Row],[Account Name]]),2)</f>
        <v>0</v>
      </c>
      <c r="I33">
        <f>_xlfn.XLOOKUP(BalanceRef[[#This Row],[AccountNo.]],acct_ref[AcctNo],acct_ref[BalanceID],"Missing Info",0)</f>
        <v>2</v>
      </c>
      <c r="J33" s="1">
        <f>ROUND(IF(BalanceRef[[#This Row],[BalanceID]]=1,BalanceRef[[#This Row],[Debit Total]]-BalanceRef[[#This Row],[Credit Total]],IF(BalanceRef[[#This Row],[BalanceID]]=2,BalanceRef[[#This Row],[Credit Total]]-BalanceRef[[#This Row],[Debit Total]],"Error/Missing Info")),2)</f>
        <v>0</v>
      </c>
      <c r="T33" t="s">
        <v>364</v>
      </c>
      <c r="U33" t="s">
        <v>58</v>
      </c>
      <c r="Y33" s="89"/>
      <c r="Z33" s="350"/>
      <c r="AA33" s="350"/>
      <c r="AB33" s="350"/>
      <c r="AC33" s="350"/>
      <c r="AD33" s="89"/>
      <c r="AE33" s="114"/>
    </row>
    <row r="34" spans="2:31" x14ac:dyDescent="0.25">
      <c r="B34" t="str">
        <f>_xlfn.XLOOKUP($C34,acct_ref[AcctNo],acct_ref[AccountName],"missing",0)</f>
        <v>MK - Capital</v>
      </c>
      <c r="C34">
        <v>3001</v>
      </c>
      <c r="D34">
        <f>IF(BalanceRef[[#This Row],[Account Name]]=B34,1,0)</f>
        <v>1</v>
      </c>
      <c r="E34" t="str">
        <f>_xlfn.XLOOKUP(BalanceRef[[#This Row],[AccountNo.]],acct_ref[AcctNo],acct_ref[AccountName],"Error/Missing Info",0)</f>
        <v>MK - Capital</v>
      </c>
      <c r="F34">
        <v>3001</v>
      </c>
      <c r="G34" s="1">
        <f>ROUND(SUMIFS(Journal[Debit],Journal[AccountName],BalanceRef[[#This Row],[Account Name]]),2)</f>
        <v>0</v>
      </c>
      <c r="H34" s="1">
        <f>ROUND(SUMIFS(Journal[Credit],Journal[AccountName],BalanceRef[[#This Row],[Account Name]]),2)</f>
        <v>0</v>
      </c>
      <c r="I34">
        <f>_xlfn.XLOOKUP(BalanceRef[[#This Row],[AccountNo.]],acct_ref[AcctNo],acct_ref[BalanceID],"Missing Info",0)</f>
        <v>2</v>
      </c>
      <c r="J34" s="1">
        <f>ROUND(IF(BalanceRef[[#This Row],[BalanceID]]=1,BalanceRef[[#This Row],[Debit Total]]-BalanceRef[[#This Row],[Credit Total]],IF(BalanceRef[[#This Row],[BalanceID]]=2,BalanceRef[[#This Row],[Credit Total]]-BalanceRef[[#This Row],[Debit Total]],"Error/Missing Info")),2)</f>
        <v>0</v>
      </c>
      <c r="T34" t="s">
        <v>364</v>
      </c>
      <c r="U34" t="s">
        <v>87</v>
      </c>
      <c r="Y34" s="89"/>
      <c r="Z34" s="350"/>
      <c r="AA34" s="350"/>
      <c r="AB34" s="350"/>
      <c r="AC34" s="350"/>
      <c r="AD34" s="89"/>
      <c r="AE34" s="114"/>
    </row>
    <row r="35" spans="2:31" x14ac:dyDescent="0.25">
      <c r="B35" t="str">
        <f>_xlfn.XLOOKUP($C35,acct_ref[AcctNo],acct_ref[AccountName],"missing",0)</f>
        <v>Income Summary 2024</v>
      </c>
      <c r="C35">
        <v>3002</v>
      </c>
      <c r="D35">
        <f>IF(BalanceRef[[#This Row],[Account Name]]=B35,1,0)</f>
        <v>1</v>
      </c>
      <c r="E35" t="str">
        <f>_xlfn.XLOOKUP(BalanceRef[[#This Row],[AccountNo.]],acct_ref[AcctNo],acct_ref[AccountName],"Error/Missing Info",0)</f>
        <v>Income Summary 2024</v>
      </c>
      <c r="F35">
        <v>3002</v>
      </c>
      <c r="G35" s="1">
        <f>ROUND(SUMIFS(Journal[Debit],Journal[AccountName],BalanceRef[[#This Row],[Account Name]]),2)</f>
        <v>0</v>
      </c>
      <c r="H35" s="1">
        <f>ROUND(SUMIFS(Journal[Credit],Journal[AccountName],BalanceRef[[#This Row],[Account Name]]),2)</f>
        <v>0</v>
      </c>
      <c r="I35">
        <f>_xlfn.XLOOKUP(BalanceRef[[#This Row],[AccountNo.]],acct_ref[AcctNo],acct_ref[BalanceID],"Missing Info",0)</f>
        <v>2</v>
      </c>
      <c r="J35" s="1">
        <f>ROUND(IF(BalanceRef[[#This Row],[BalanceID]]=1,BalanceRef[[#This Row],[Debit Total]]-BalanceRef[[#This Row],[Credit Total]],IF(BalanceRef[[#This Row],[BalanceID]]=2,BalanceRef[[#This Row],[Credit Total]]-BalanceRef[[#This Row],[Debit Total]],"Error/Missing Info")),2)</f>
        <v>0</v>
      </c>
      <c r="T35" t="s">
        <v>318</v>
      </c>
      <c r="U35" t="s">
        <v>48</v>
      </c>
      <c r="Y35" s="89"/>
      <c r="Z35" s="350"/>
      <c r="AA35" s="350"/>
      <c r="AB35" s="350"/>
      <c r="AC35" s="350"/>
      <c r="AD35" s="89"/>
      <c r="AE35" s="114"/>
    </row>
    <row r="36" spans="2:31" x14ac:dyDescent="0.25">
      <c r="B36" t="str">
        <f>_xlfn.XLOOKUP($C36,acct_ref[AcctNo],acct_ref[AccountName],"missing",0)</f>
        <v>Salary Revenue</v>
      </c>
      <c r="C36">
        <v>4001</v>
      </c>
      <c r="D36">
        <f>IF(BalanceRef[[#This Row],[Account Name]]=B36,1,0)</f>
        <v>1</v>
      </c>
      <c r="E36" t="str">
        <f>_xlfn.XLOOKUP(BalanceRef[[#This Row],[AccountNo.]],acct_ref[AcctNo],acct_ref[AccountName],"Error/Missing Info",0)</f>
        <v>Salary Revenue</v>
      </c>
      <c r="F36">
        <v>4001</v>
      </c>
      <c r="G36" s="1">
        <f>ROUND(SUMIFS(Journal[Debit],Journal[AccountName],BalanceRef[[#This Row],[Account Name]]),2)</f>
        <v>0</v>
      </c>
      <c r="H36" s="1">
        <f>ROUND(SUMIFS(Journal[Credit],Journal[AccountName],BalanceRef[[#This Row],[Account Name]]),2)</f>
        <v>3750</v>
      </c>
      <c r="I36">
        <f>_xlfn.XLOOKUP(BalanceRef[[#This Row],[AccountNo.]],acct_ref[AcctNo],acct_ref[BalanceID],"Missing Info",0)</f>
        <v>2</v>
      </c>
      <c r="J36" s="1">
        <f>ROUND(IF(BalanceRef[[#This Row],[BalanceID]]=1,BalanceRef[[#This Row],[Debit Total]]-BalanceRef[[#This Row],[Credit Total]],IF(BalanceRef[[#This Row],[BalanceID]]=2,BalanceRef[[#This Row],[Credit Total]]-BalanceRef[[#This Row],[Debit Total]],"Error/Missing Info")),2)</f>
        <v>3750</v>
      </c>
      <c r="K36">
        <v>40</v>
      </c>
      <c r="M36" t="str">
        <f>E26</f>
        <v>TFSA Investia</v>
      </c>
      <c r="N36">
        <f>_xlfn.XLOOKUP(M36,BalanceRef[Account Name],BalanceRef[Balance])</f>
        <v>0</v>
      </c>
      <c r="T36" t="s">
        <v>318</v>
      </c>
      <c r="U36" t="s">
        <v>52</v>
      </c>
      <c r="Y36" s="89"/>
      <c r="Z36" s="350"/>
      <c r="AA36" s="350"/>
      <c r="AB36" s="350"/>
      <c r="AC36" s="350"/>
      <c r="AD36" s="89"/>
      <c r="AE36" s="114"/>
    </row>
    <row r="37" spans="2:31" x14ac:dyDescent="0.25">
      <c r="B37" t="str">
        <f>_xlfn.XLOOKUP($C37,acct_ref[AcctNo],acct_ref[AccountName],"missing",0)</f>
        <v>Government Revenue</v>
      </c>
      <c r="C37">
        <v>4002</v>
      </c>
      <c r="D37">
        <f>IF(BalanceRef[[#This Row],[Account Name]]=B37,1,0)</f>
        <v>1</v>
      </c>
      <c r="E37" t="str">
        <f>_xlfn.XLOOKUP(BalanceRef[[#This Row],[AccountNo.]],acct_ref[AcctNo],acct_ref[AccountName],"Error/Missing Info",0)</f>
        <v>Government Revenue</v>
      </c>
      <c r="F37">
        <v>4002</v>
      </c>
      <c r="G37" s="1">
        <f>ROUND(SUMIFS(Journal[Debit],Journal[AccountName],BalanceRef[[#This Row],[Account Name]]),2)</f>
        <v>0</v>
      </c>
      <c r="H37" s="1">
        <f>ROUND(SUMIFS(Journal[Credit],Journal[AccountName],BalanceRef[[#This Row],[Account Name]]),2)</f>
        <v>0</v>
      </c>
      <c r="I37">
        <f>_xlfn.XLOOKUP(BalanceRef[[#This Row],[AccountNo.]],acct_ref[AcctNo],acct_ref[BalanceID],"Missing Info",0)</f>
        <v>2</v>
      </c>
      <c r="J37" s="1">
        <f>ROUND(IF(BalanceRef[[#This Row],[BalanceID]]=1,BalanceRef[[#This Row],[Debit Total]]-BalanceRef[[#This Row],[Credit Total]],IF(BalanceRef[[#This Row],[BalanceID]]=2,BalanceRef[[#This Row],[Credit Total]]-BalanceRef[[#This Row],[Debit Total]],"Error/Missing Info")),2)</f>
        <v>0</v>
      </c>
      <c r="K37">
        <v>41</v>
      </c>
      <c r="T37" t="s">
        <v>318</v>
      </c>
      <c r="U37" t="s">
        <v>129</v>
      </c>
      <c r="X37" s="100"/>
      <c r="Y37" s="89"/>
      <c r="Z37" s="88"/>
      <c r="AA37" s="88"/>
      <c r="AB37" s="88"/>
      <c r="AC37" s="88"/>
      <c r="AD37" s="99"/>
    </row>
    <row r="38" spans="2:31" x14ac:dyDescent="0.25">
      <c r="B38" t="str">
        <f>_xlfn.XLOOKUP($C38,acct_ref[AcctNo],acct_ref[AccountName],"missing",0)</f>
        <v>Gift Revenue</v>
      </c>
      <c r="C38">
        <v>4003</v>
      </c>
      <c r="D38">
        <f>IF(BalanceRef[[#This Row],[Account Name]]=B38,1,0)</f>
        <v>1</v>
      </c>
      <c r="E38" t="str">
        <f>_xlfn.XLOOKUP(BalanceRef[[#This Row],[AccountNo.]],acct_ref[AcctNo],acct_ref[AccountName],"Error/Missing Info",0)</f>
        <v>Gift Revenue</v>
      </c>
      <c r="F38">
        <v>4003</v>
      </c>
      <c r="G38" s="1">
        <f>ROUND(SUMIFS(Journal[Debit],Journal[AccountName],BalanceRef[[#This Row],[Account Name]]),2)</f>
        <v>0</v>
      </c>
      <c r="H38" s="1">
        <f>ROUND(SUMIFS(Journal[Credit],Journal[AccountName],BalanceRef[[#This Row],[Account Name]]),2)</f>
        <v>0</v>
      </c>
      <c r="I38">
        <f>_xlfn.XLOOKUP(BalanceRef[[#This Row],[AccountNo.]],acct_ref[AcctNo],acct_ref[BalanceID],"Missing Info",0)</f>
        <v>2</v>
      </c>
      <c r="J38" s="1">
        <f>ROUND(IF(BalanceRef[[#This Row],[BalanceID]]=1,BalanceRef[[#This Row],[Debit Total]]-BalanceRef[[#This Row],[Credit Total]],IF(BalanceRef[[#This Row],[BalanceID]]=2,BalanceRef[[#This Row],[Credit Total]]-BalanceRef[[#This Row],[Debit Total]],"Error/Missing Info")),2)</f>
        <v>0</v>
      </c>
      <c r="K38">
        <v>41</v>
      </c>
      <c r="T38" t="s">
        <v>318</v>
      </c>
      <c r="U38" t="s">
        <v>36</v>
      </c>
    </row>
    <row r="39" spans="2:31" x14ac:dyDescent="0.25">
      <c r="B39" t="str">
        <f>_xlfn.XLOOKUP($C39,acct_ref[AcctNo],acct_ref[AccountName],"missing",0)</f>
        <v>Revenue Other</v>
      </c>
      <c r="C39">
        <v>4004</v>
      </c>
      <c r="D39">
        <f>IF(BalanceRef[[#This Row],[Account Name]]=B39,1,0)</f>
        <v>1</v>
      </c>
      <c r="E39" t="str">
        <f>_xlfn.XLOOKUP(BalanceRef[[#This Row],[AccountNo.]],acct_ref[AcctNo],acct_ref[AccountName],"Error/Missing Info",0)</f>
        <v>Revenue Other</v>
      </c>
      <c r="F39">
        <v>4004</v>
      </c>
      <c r="G39" s="1">
        <f>ROUND(SUMIFS(Journal[Debit],Journal[AccountName],BalanceRef[[#This Row],[Account Name]]),2)</f>
        <v>0</v>
      </c>
      <c r="H39" s="1">
        <f>ROUND(SUMIFS(Journal[Credit],Journal[AccountName],BalanceRef[[#This Row],[Account Name]]),2)</f>
        <v>0</v>
      </c>
      <c r="I39">
        <f>_xlfn.XLOOKUP(BalanceRef[[#This Row],[AccountNo.]],acct_ref[AcctNo],acct_ref[BalanceID],"Missing Info",0)</f>
        <v>2</v>
      </c>
      <c r="J39" s="1">
        <f>ROUND(IF(BalanceRef[[#This Row],[BalanceID]]=1,BalanceRef[[#This Row],[Debit Total]]-BalanceRef[[#This Row],[Credit Total]],IF(BalanceRef[[#This Row],[BalanceID]]=2,BalanceRef[[#This Row],[Credit Total]]-BalanceRef[[#This Row],[Debit Total]],"Error/Missing Info")),2)</f>
        <v>0</v>
      </c>
      <c r="K39">
        <v>41</v>
      </c>
      <c r="T39" t="s">
        <v>318</v>
      </c>
      <c r="U39" t="s">
        <v>37</v>
      </c>
    </row>
    <row r="40" spans="2:31" x14ac:dyDescent="0.25">
      <c r="B40" t="str">
        <f>_xlfn.XLOOKUP($C40,acct_ref[AcctNo],acct_ref[AccountName],"missing",0)</f>
        <v>Purchase Returns</v>
      </c>
      <c r="C40">
        <v>4005</v>
      </c>
      <c r="D40">
        <f>IF(BalanceRef[[#This Row],[Account Name]]=B40,1,0)</f>
        <v>1</v>
      </c>
      <c r="E40" t="str">
        <f>_xlfn.XLOOKUP(BalanceRef[[#This Row],[AccountNo.]],acct_ref[AcctNo],acct_ref[AccountName],"Error/Missing Info",0)</f>
        <v>Purchase Returns</v>
      </c>
      <c r="F40">
        <v>4005</v>
      </c>
      <c r="G40" s="1">
        <f>ROUND(SUMIFS(Journal[Debit],Journal[AccountName],BalanceRef[[#This Row],[Account Name]]),2)</f>
        <v>0</v>
      </c>
      <c r="H40" s="1">
        <f>ROUND(SUMIFS(Journal[Credit],Journal[AccountName],BalanceRef[[#This Row],[Account Name]]),2)</f>
        <v>0</v>
      </c>
      <c r="I40">
        <f>_xlfn.XLOOKUP(BalanceRef[[#This Row],[AccountNo.]],acct_ref[AcctNo],acct_ref[BalanceID],"Missing Info",0)</f>
        <v>2</v>
      </c>
      <c r="J40" s="1">
        <f>ROUND(IF(BalanceRef[[#This Row],[BalanceID]]=1,BalanceRef[[#This Row],[Debit Total]]-BalanceRef[[#This Row],[Credit Total]],IF(BalanceRef[[#This Row],[BalanceID]]=2,BalanceRef[[#This Row],[Credit Total]]-BalanceRef[[#This Row],[Debit Total]],"Error/Missing Info")),2)</f>
        <v>0</v>
      </c>
      <c r="N40">
        <f>H26-G26</f>
        <v>0</v>
      </c>
      <c r="T40" t="s">
        <v>318</v>
      </c>
      <c r="U40" t="s">
        <v>49</v>
      </c>
    </row>
    <row r="41" spans="2:31" x14ac:dyDescent="0.25">
      <c r="B41" t="str">
        <f>_xlfn.XLOOKUP($C41,acct_ref[AcctNo],acct_ref[AccountName],"missing",0)</f>
        <v>Unknown Revenue</v>
      </c>
      <c r="C41">
        <v>4006</v>
      </c>
      <c r="D41">
        <f>IF(BalanceRef[[#This Row],[Account Name]]=B41,1,0)</f>
        <v>1</v>
      </c>
      <c r="E41" t="str">
        <f>_xlfn.XLOOKUP(BalanceRef[[#This Row],[AccountNo.]],acct_ref[AcctNo],acct_ref[AccountName],"Error/Missing Info",0)</f>
        <v>Unknown Revenue</v>
      </c>
      <c r="F41">
        <v>4006</v>
      </c>
      <c r="G41" s="1">
        <f>ROUND(SUMIFS(Journal[Debit],Journal[AccountName],BalanceRef[[#This Row],[Account Name]]),2)</f>
        <v>0</v>
      </c>
      <c r="H41" s="1">
        <f>ROUND(SUMIFS(Journal[Credit],Journal[AccountName],BalanceRef[[#This Row],[Account Name]]),2)</f>
        <v>0</v>
      </c>
      <c r="I41">
        <f>_xlfn.XLOOKUP(BalanceRef[[#This Row],[AccountNo.]],acct_ref[AcctNo],acct_ref[BalanceID],"Missing Info",0)</f>
        <v>2</v>
      </c>
      <c r="J41" s="1">
        <f>ROUND(IF(BalanceRef[[#This Row],[BalanceID]]=1,BalanceRef[[#This Row],[Debit Total]]-BalanceRef[[#This Row],[Credit Total]],IF(BalanceRef[[#This Row],[BalanceID]]=2,BalanceRef[[#This Row],[Credit Total]]-BalanceRef[[#This Row],[Debit Total]],"Error/Missing Info")),2)</f>
        <v>0</v>
      </c>
      <c r="M41">
        <v>398.57</v>
      </c>
      <c r="T41" t="s">
        <v>318</v>
      </c>
      <c r="U41" t="s">
        <v>34</v>
      </c>
    </row>
    <row r="42" spans="2:31" x14ac:dyDescent="0.25">
      <c r="B42" t="str">
        <f>_xlfn.XLOOKUP($C42,acct_ref[AcctNo],acct_ref[AccountName],"missing",0)</f>
        <v>Unknown Expense</v>
      </c>
      <c r="C42">
        <v>5000</v>
      </c>
      <c r="D42">
        <f>IF(BalanceRef[[#This Row],[Account Name]]=B42,1,0)</f>
        <v>1</v>
      </c>
      <c r="E42" t="str">
        <f>_xlfn.XLOOKUP(BalanceRef[[#This Row],[AccountNo.]],acct_ref[AcctNo],acct_ref[AccountName],"Error/Missing Info",0)</f>
        <v>Unknown Expense</v>
      </c>
      <c r="F42">
        <v>5000</v>
      </c>
      <c r="G42" s="1">
        <f>ROUND(SUMIFS(Journal[Debit],Journal[AccountName],BalanceRef[[#This Row],[Account Name]]),2)</f>
        <v>0</v>
      </c>
      <c r="H42" s="1">
        <f>ROUND(SUMIFS(Journal[Credit],Journal[AccountName],BalanceRef[[#This Row],[Account Name]]),2)</f>
        <v>0</v>
      </c>
      <c r="I42">
        <f>_xlfn.XLOOKUP(BalanceRef[[#This Row],[AccountNo.]],acct_ref[AcctNo],acct_ref[BalanceID],"Missing Info",0)</f>
        <v>1</v>
      </c>
      <c r="J42" s="1">
        <f>ROUND(IF(BalanceRef[[#This Row],[BalanceID]]=1,BalanceRef[[#This Row],[Debit Total]]-BalanceRef[[#This Row],[Credit Total]],IF(BalanceRef[[#This Row],[BalanceID]]=2,BalanceRef[[#This Row],[Credit Total]]-BalanceRef[[#This Row],[Debit Total]],"Error/Missing Info")),2)</f>
        <v>0</v>
      </c>
      <c r="M42">
        <v>-74.510000000000005</v>
      </c>
      <c r="T42" t="s">
        <v>94</v>
      </c>
      <c r="U42" t="s">
        <v>35</v>
      </c>
    </row>
    <row r="43" spans="2:31" x14ac:dyDescent="0.25">
      <c r="B43" t="str">
        <f>_xlfn.XLOOKUP($C43,acct_ref[AcctNo],acct_ref[AccountName],"missing",0)</f>
        <v>Home Expense</v>
      </c>
      <c r="C43">
        <v>5001</v>
      </c>
      <c r="D43">
        <f>IF(BalanceRef[[#This Row],[Account Name]]=B43,1,0)</f>
        <v>1</v>
      </c>
      <c r="E43" t="str">
        <f>_xlfn.XLOOKUP(BalanceRef[[#This Row],[AccountNo.]],acct_ref[AcctNo],acct_ref[AccountName],"Error/Missing Info",0)</f>
        <v>Home Expense</v>
      </c>
      <c r="F43">
        <v>5001</v>
      </c>
      <c r="G43" s="1">
        <f>ROUND(SUMIFS(Journal[Debit],Journal[AccountName],BalanceRef[[#This Row],[Account Name]]),2)</f>
        <v>74.7</v>
      </c>
      <c r="H43" s="1">
        <f>ROUND(SUMIFS(Journal[Credit],Journal[AccountName],BalanceRef[[#This Row],[Account Name]]),2)</f>
        <v>0</v>
      </c>
      <c r="I43">
        <f>_xlfn.XLOOKUP(BalanceRef[[#This Row],[AccountNo.]],acct_ref[AcctNo],acct_ref[BalanceID],"Missing Info",0)</f>
        <v>1</v>
      </c>
      <c r="J43" s="1">
        <f>ROUND(IF(BalanceRef[[#This Row],[BalanceID]]=1,BalanceRef[[#This Row],[Debit Total]]-BalanceRef[[#This Row],[Credit Total]],IF(BalanceRef[[#This Row],[BalanceID]]=2,BalanceRef[[#This Row],[Credit Total]]-BalanceRef[[#This Row],[Debit Total]],"Error/Missing Info")),2)</f>
        <v>74.7</v>
      </c>
      <c r="K43">
        <v>50</v>
      </c>
      <c r="M43">
        <f>SUM(M41:M42)</f>
        <v>324.06</v>
      </c>
      <c r="T43" t="s">
        <v>368</v>
      </c>
      <c r="U43" t="s">
        <v>50</v>
      </c>
    </row>
    <row r="44" spans="2:31" x14ac:dyDescent="0.25">
      <c r="B44" t="str">
        <f>_xlfn.XLOOKUP($C44,acct_ref[AcctNo],acct_ref[AccountName],"missing",0)</f>
        <v>Rent Expense</v>
      </c>
      <c r="C44">
        <v>5002</v>
      </c>
      <c r="D44">
        <f>IF(BalanceRef[[#This Row],[Account Name]]=B44,1,0)</f>
        <v>1</v>
      </c>
      <c r="E44" t="str">
        <f>_xlfn.XLOOKUP(BalanceRef[[#This Row],[AccountNo.]],acct_ref[AcctNo],acct_ref[AccountName],"Error/Missing Info",0)</f>
        <v>Rent Expense</v>
      </c>
      <c r="F44">
        <v>5002</v>
      </c>
      <c r="G44" s="1">
        <f>ROUND(SUMIFS(Journal[Debit],Journal[AccountName],BalanceRef[[#This Row],[Account Name]]),2)</f>
        <v>1350</v>
      </c>
      <c r="H44" s="1">
        <f>ROUND(SUMIFS(Journal[Credit],Journal[AccountName],BalanceRef[[#This Row],[Account Name]]),2)</f>
        <v>0</v>
      </c>
      <c r="I44">
        <f>_xlfn.XLOOKUP(BalanceRef[[#This Row],[AccountNo.]],acct_ref[AcctNo],acct_ref[BalanceID],"Missing Info",0)</f>
        <v>1</v>
      </c>
      <c r="J44" s="1">
        <f>ROUND(IF(BalanceRef[[#This Row],[BalanceID]]=1,BalanceRef[[#This Row],[Debit Total]]-BalanceRef[[#This Row],[Credit Total]],IF(BalanceRef[[#This Row],[BalanceID]]=2,BalanceRef[[#This Row],[Credit Total]]-BalanceRef[[#This Row],[Debit Total]],"Error/Missing Info")),2)</f>
        <v>1350</v>
      </c>
      <c r="K44">
        <v>51</v>
      </c>
      <c r="T44" t="s">
        <v>329</v>
      </c>
      <c r="U44" t="s">
        <v>51</v>
      </c>
    </row>
    <row r="45" spans="2:31" x14ac:dyDescent="0.25">
      <c r="B45" t="str">
        <f>_xlfn.XLOOKUP($C45,acct_ref[AcctNo],acct_ref[AccountName],"missing",0)</f>
        <v>Utilities Expense</v>
      </c>
      <c r="C45">
        <v>5003</v>
      </c>
      <c r="D45">
        <f>IF(BalanceRef[[#This Row],[Account Name]]=B45,1,0)</f>
        <v>1</v>
      </c>
      <c r="E45" t="str">
        <f>_xlfn.XLOOKUP(BalanceRef[[#This Row],[AccountNo.]],acct_ref[AcctNo],acct_ref[AccountName],"Error/Missing Info",0)</f>
        <v>Utilities Expense</v>
      </c>
      <c r="F45">
        <v>5003</v>
      </c>
      <c r="G45" s="1">
        <f>ROUND(SUMIFS(Journal[Debit],Journal[AccountName],BalanceRef[[#This Row],[Account Name]]),2)</f>
        <v>0</v>
      </c>
      <c r="H45" s="1">
        <f>ROUND(SUMIFS(Journal[Credit],Journal[AccountName],BalanceRef[[#This Row],[Account Name]]),2)</f>
        <v>0</v>
      </c>
      <c r="I45">
        <f>_xlfn.XLOOKUP(BalanceRef[[#This Row],[AccountNo.]],acct_ref[AcctNo],acct_ref[BalanceID],"Missing Info",0)</f>
        <v>1</v>
      </c>
      <c r="J45" s="1">
        <f>ROUND(IF(BalanceRef[[#This Row],[BalanceID]]=1,BalanceRef[[#This Row],[Debit Total]]-BalanceRef[[#This Row],[Credit Total]],IF(BalanceRef[[#This Row],[BalanceID]]=2,BalanceRef[[#This Row],[Credit Total]]-BalanceRef[[#This Row],[Debit Total]],"Error/Missing Info")),2)</f>
        <v>0</v>
      </c>
      <c r="K45">
        <v>52</v>
      </c>
      <c r="T45" t="s">
        <v>329</v>
      </c>
      <c r="U45" t="s">
        <v>54</v>
      </c>
    </row>
    <row r="46" spans="2:31" x14ac:dyDescent="0.25">
      <c r="B46" t="str">
        <f>_xlfn.XLOOKUP($C46,acct_ref[AcctNo],acct_ref[AccountName],"missing",0)</f>
        <v>Life Insurance Expense</v>
      </c>
      <c r="C46">
        <v>5004</v>
      </c>
      <c r="D46">
        <f>IF(BalanceRef[[#This Row],[Account Name]]=B46,1,0)</f>
        <v>1</v>
      </c>
      <c r="E46" t="str">
        <f>_xlfn.XLOOKUP(BalanceRef[[#This Row],[AccountNo.]],acct_ref[AcctNo],acct_ref[AccountName],"Error/Missing Info",0)</f>
        <v>Life Insurance Expense</v>
      </c>
      <c r="F46">
        <v>5004</v>
      </c>
      <c r="G46" s="1">
        <f>ROUND(SUMIFS(Journal[Debit],Journal[AccountName],BalanceRef[[#This Row],[Account Name]]),2)</f>
        <v>0</v>
      </c>
      <c r="H46" s="1">
        <f>ROUND(SUMIFS(Journal[Credit],Journal[AccountName],BalanceRef[[#This Row],[Account Name]]),2)</f>
        <v>0</v>
      </c>
      <c r="I46">
        <f>_xlfn.XLOOKUP(BalanceRef[[#This Row],[AccountNo.]],acct_ref[AcctNo],acct_ref[BalanceID],"Missing Info",0)</f>
        <v>1</v>
      </c>
      <c r="J46" s="1">
        <f>ROUND(IF(BalanceRef[[#This Row],[BalanceID]]=1,BalanceRef[[#This Row],[Debit Total]]-BalanceRef[[#This Row],[Credit Total]],IF(BalanceRef[[#This Row],[BalanceID]]=2,BalanceRef[[#This Row],[Credit Total]]-BalanceRef[[#This Row],[Debit Total]],"Error/Missing Info")),2)</f>
        <v>0</v>
      </c>
      <c r="K46">
        <v>53</v>
      </c>
      <c r="T46" t="s">
        <v>329</v>
      </c>
      <c r="U46" t="s">
        <v>64</v>
      </c>
    </row>
    <row r="47" spans="2:31" x14ac:dyDescent="0.25">
      <c r="B47" t="str">
        <f>_xlfn.XLOOKUP($C47,acct_ref[AcctNo],acct_ref[AccountName],"missing",0)</f>
        <v>Phone Expense</v>
      </c>
      <c r="C47">
        <v>5005</v>
      </c>
      <c r="D47">
        <f>IF(BalanceRef[[#This Row],[Account Name]]=B47,1,0)</f>
        <v>1</v>
      </c>
      <c r="E47" t="str">
        <f>_xlfn.XLOOKUP(BalanceRef[[#This Row],[AccountNo.]],acct_ref[AcctNo],acct_ref[AccountName],"Error/Missing Info",0)</f>
        <v>Phone Expense</v>
      </c>
      <c r="F47">
        <v>5005</v>
      </c>
      <c r="G47" s="1">
        <f>ROUND(SUMIFS(Journal[Debit],Journal[AccountName],BalanceRef[[#This Row],[Account Name]]),2)</f>
        <v>55</v>
      </c>
      <c r="H47" s="1">
        <f>ROUND(SUMIFS(Journal[Credit],Journal[AccountName],BalanceRef[[#This Row],[Account Name]]),2)</f>
        <v>0</v>
      </c>
      <c r="I47">
        <f>_xlfn.XLOOKUP(BalanceRef[[#This Row],[AccountNo.]],acct_ref[AcctNo],acct_ref[BalanceID],"Missing Info",0)</f>
        <v>1</v>
      </c>
      <c r="J47" s="1">
        <f>ROUND(IF(BalanceRef[[#This Row],[BalanceID]]=1,BalanceRef[[#This Row],[Debit Total]]-BalanceRef[[#This Row],[Credit Total]],IF(BalanceRef[[#This Row],[BalanceID]]=2,BalanceRef[[#This Row],[Credit Total]]-BalanceRef[[#This Row],[Debit Total]],"Error/Missing Info")),2)</f>
        <v>55</v>
      </c>
      <c r="K47">
        <v>52</v>
      </c>
      <c r="T47" t="s">
        <v>329</v>
      </c>
      <c r="U47" t="s">
        <v>120</v>
      </c>
    </row>
    <row r="48" spans="2:31" x14ac:dyDescent="0.25">
      <c r="B48" t="str">
        <f>_xlfn.XLOOKUP($C48,acct_ref[AcctNo],acct_ref[AccountName],"missing",0)</f>
        <v>TV/Internet Expense</v>
      </c>
      <c r="C48">
        <v>5006</v>
      </c>
      <c r="D48">
        <f>IF(BalanceRef[[#This Row],[Account Name]]=B48,1,0)</f>
        <v>1</v>
      </c>
      <c r="E48" t="str">
        <f>_xlfn.XLOOKUP(BalanceRef[[#This Row],[AccountNo.]],acct_ref[AcctNo],acct_ref[AccountName],"Error/Missing Info",0)</f>
        <v>TV/Internet Expense</v>
      </c>
      <c r="F48">
        <v>5006</v>
      </c>
      <c r="G48" s="1">
        <f>ROUND(SUMIFS(Journal[Debit],Journal[AccountName],BalanceRef[[#This Row],[Account Name]]),2)</f>
        <v>112.97</v>
      </c>
      <c r="H48" s="1">
        <f>ROUND(SUMIFS(Journal[Credit],Journal[AccountName],BalanceRef[[#This Row],[Account Name]]),2)</f>
        <v>0</v>
      </c>
      <c r="I48">
        <f>_xlfn.XLOOKUP(BalanceRef[[#This Row],[AccountNo.]],acct_ref[AcctNo],acct_ref[BalanceID],"Missing Info",0)</f>
        <v>1</v>
      </c>
      <c r="J48" s="1">
        <f>ROUND(IF(BalanceRef[[#This Row],[BalanceID]]=1,BalanceRef[[#This Row],[Debit Total]]-BalanceRef[[#This Row],[Credit Total]],IF(BalanceRef[[#This Row],[BalanceID]]=2,BalanceRef[[#This Row],[Credit Total]]-BalanceRef[[#This Row],[Debit Total]],"Error/Missing Info")),2)</f>
        <v>112.97</v>
      </c>
      <c r="K48">
        <v>52</v>
      </c>
      <c r="T48" t="s">
        <v>329</v>
      </c>
      <c r="U48" t="s">
        <v>212</v>
      </c>
    </row>
    <row r="49" spans="2:21" x14ac:dyDescent="0.25">
      <c r="B49" t="str">
        <f>_xlfn.XLOOKUP($C49,acct_ref[AcctNo],acct_ref[AccountName],"missing",0)</f>
        <v>Transportation Expense</v>
      </c>
      <c r="C49">
        <v>5007</v>
      </c>
      <c r="D49">
        <f>IF(BalanceRef[[#This Row],[Account Name]]=B49,1,0)</f>
        <v>1</v>
      </c>
      <c r="E49" t="str">
        <f>_xlfn.XLOOKUP(BalanceRef[[#This Row],[AccountNo.]],acct_ref[AcctNo],acct_ref[AccountName],"Error/Missing Info",0)</f>
        <v>Transportation Expense</v>
      </c>
      <c r="F49">
        <v>5007</v>
      </c>
      <c r="G49" s="1">
        <f>ROUND(SUMIFS(Journal[Debit],Journal[AccountName],BalanceRef[[#This Row],[Account Name]]),2)</f>
        <v>368.1</v>
      </c>
      <c r="H49" s="1">
        <f>ROUND(SUMIFS(Journal[Credit],Journal[AccountName],BalanceRef[[#This Row],[Account Name]]),2)</f>
        <v>0</v>
      </c>
      <c r="I49">
        <f>_xlfn.XLOOKUP(BalanceRef[[#This Row],[AccountNo.]],acct_ref[AcctNo],acct_ref[BalanceID],"Missing Info",0)</f>
        <v>1</v>
      </c>
      <c r="J49" s="1">
        <f>ROUND(IF(BalanceRef[[#This Row],[BalanceID]]=1,BalanceRef[[#This Row],[Debit Total]]-BalanceRef[[#This Row],[Credit Total]],IF(BalanceRef[[#This Row],[BalanceID]]=2,BalanceRef[[#This Row],[Credit Total]]-BalanceRef[[#This Row],[Debit Total]],"Error/Missing Info")),2)</f>
        <v>368.1</v>
      </c>
      <c r="K49">
        <v>54</v>
      </c>
      <c r="T49" t="s">
        <v>365</v>
      </c>
      <c r="U49" t="s">
        <v>211</v>
      </c>
    </row>
    <row r="50" spans="2:21" x14ac:dyDescent="0.25">
      <c r="B50" t="str">
        <f>_xlfn.XLOOKUP($C50,acct_ref[AcctNo],acct_ref[AccountName],"missing",0)</f>
        <v>Medical Expense</v>
      </c>
      <c r="C50">
        <v>5008</v>
      </c>
      <c r="D50">
        <f>IF(BalanceRef[[#This Row],[Account Name]]=B50,1,0)</f>
        <v>1</v>
      </c>
      <c r="E50" t="str">
        <f>_xlfn.XLOOKUP(BalanceRef[[#This Row],[AccountNo.]],acct_ref[AcctNo],acct_ref[AccountName],"Error/Missing Info",0)</f>
        <v>Medical Expense</v>
      </c>
      <c r="F50">
        <v>5008</v>
      </c>
      <c r="G50" s="1">
        <f>ROUND(SUMIFS(Journal[Debit],Journal[AccountName],BalanceRef[[#This Row],[Account Name]]),2)</f>
        <v>0</v>
      </c>
      <c r="H50" s="1">
        <f>ROUND(SUMIFS(Journal[Credit],Journal[AccountName],BalanceRef[[#This Row],[Account Name]]),2)</f>
        <v>0</v>
      </c>
      <c r="I50">
        <f>_xlfn.XLOOKUP(BalanceRef[[#This Row],[AccountNo.]],acct_ref[AcctNo],acct_ref[BalanceID],"Missing Info",0)</f>
        <v>1</v>
      </c>
      <c r="J50" s="1">
        <f>ROUND(IF(BalanceRef[[#This Row],[BalanceID]]=1,BalanceRef[[#This Row],[Debit Total]]-BalanceRef[[#This Row],[Credit Total]],IF(BalanceRef[[#This Row],[BalanceID]]=2,BalanceRef[[#This Row],[Credit Total]]-BalanceRef[[#This Row],[Debit Total]],"Error/Missing Info")),2)</f>
        <v>0</v>
      </c>
      <c r="K50">
        <v>55</v>
      </c>
      <c r="T50" t="s">
        <v>367</v>
      </c>
      <c r="U50" t="s">
        <v>53</v>
      </c>
    </row>
    <row r="51" spans="2:21" x14ac:dyDescent="0.25">
      <c r="B51" t="str">
        <f>_xlfn.XLOOKUP($C51,acct_ref[AcctNo],acct_ref[AccountName],"missing",0)</f>
        <v>Act Out Expense</v>
      </c>
      <c r="C51">
        <v>5009</v>
      </c>
      <c r="D51">
        <f>IF(BalanceRef[[#This Row],[Account Name]]=B51,1,0)</f>
        <v>1</v>
      </c>
      <c r="E51" t="str">
        <f>_xlfn.XLOOKUP(BalanceRef[[#This Row],[AccountNo.]],acct_ref[AcctNo],acct_ref[AccountName],"Error/Missing Info",0)</f>
        <v>Act Out Expense</v>
      </c>
      <c r="F51">
        <v>5009</v>
      </c>
      <c r="G51" s="1">
        <f>ROUND(SUMIFS(Journal[Debit],Journal[AccountName],BalanceRef[[#This Row],[Account Name]]),2)</f>
        <v>0</v>
      </c>
      <c r="H51" s="1">
        <f>ROUND(SUMIFS(Journal[Credit],Journal[AccountName],BalanceRef[[#This Row],[Account Name]]),2)</f>
        <v>0</v>
      </c>
      <c r="I51">
        <f>_xlfn.XLOOKUP(BalanceRef[[#This Row],[AccountNo.]],acct_ref[AcctNo],acct_ref[BalanceID],"Missing Info",0)</f>
        <v>1</v>
      </c>
      <c r="J51" s="1">
        <f>ROUND(IF(BalanceRef[[#This Row],[BalanceID]]=1,BalanceRef[[#This Row],[Debit Total]]-BalanceRef[[#This Row],[Credit Total]],IF(BalanceRef[[#This Row],[BalanceID]]=2,BalanceRef[[#This Row],[Credit Total]]-BalanceRef[[#This Row],[Debit Total]],"Error/Missing Info")),2)</f>
        <v>0</v>
      </c>
      <c r="K51">
        <v>60</v>
      </c>
      <c r="T51" t="s">
        <v>366</v>
      </c>
      <c r="U51" t="s">
        <v>8</v>
      </c>
    </row>
    <row r="52" spans="2:21" x14ac:dyDescent="0.25">
      <c r="B52" t="str">
        <f>_xlfn.XLOOKUP($C52,acct_ref[AcctNo],acct_ref[AccountName],"missing",0)</f>
        <v>Nutrition Expense</v>
      </c>
      <c r="C52">
        <v>5010</v>
      </c>
      <c r="D52">
        <f>IF(BalanceRef[[#This Row],[Account Name]]=B52,1,0)</f>
        <v>1</v>
      </c>
      <c r="E52" t="str">
        <f>_xlfn.XLOOKUP(BalanceRef[[#This Row],[AccountNo.]],acct_ref[AcctNo],acct_ref[AccountName],"Error/Missing Info",0)</f>
        <v>Nutrition Expense</v>
      </c>
      <c r="F52">
        <v>5010</v>
      </c>
      <c r="G52" s="1">
        <f>ROUND(SUMIFS(Journal[Debit],Journal[AccountName],BalanceRef[[#This Row],[Account Name]]),2)</f>
        <v>1020</v>
      </c>
      <c r="H52" s="1">
        <f>ROUND(SUMIFS(Journal[Credit],Journal[AccountName],BalanceRef[[#This Row],[Account Name]]),2)</f>
        <v>0</v>
      </c>
      <c r="I52">
        <f>_xlfn.XLOOKUP(BalanceRef[[#This Row],[AccountNo.]],acct_ref[AcctNo],acct_ref[BalanceID],"Missing Info",0)</f>
        <v>1</v>
      </c>
      <c r="J52" s="1">
        <f>ROUND(IF(BalanceRef[[#This Row],[BalanceID]]=1,BalanceRef[[#This Row],[Debit Total]]-BalanceRef[[#This Row],[Credit Total]],IF(BalanceRef[[#This Row],[BalanceID]]=2,BalanceRef[[#This Row],[Credit Total]]-BalanceRef[[#This Row],[Debit Total]],"Error/Missing Info")),2)</f>
        <v>1020</v>
      </c>
      <c r="K52">
        <v>57</v>
      </c>
    </row>
    <row r="53" spans="2:21" x14ac:dyDescent="0.25">
      <c r="B53" t="str">
        <f>_xlfn.XLOOKUP($C53,acct_ref[AcctNo],acct_ref[AccountName],"missing",0)</f>
        <v>Shop Expense</v>
      </c>
      <c r="C53">
        <v>5013</v>
      </c>
      <c r="D53">
        <f>IF(BalanceRef[[#This Row],[Account Name]]=B53,1,0)</f>
        <v>1</v>
      </c>
      <c r="E53" t="str">
        <f>_xlfn.XLOOKUP(BalanceRef[[#This Row],[AccountNo.]],acct_ref[AcctNo],acct_ref[AccountName],"Error/Missing Info",0)</f>
        <v>Shop Expense</v>
      </c>
      <c r="F53">
        <v>5013</v>
      </c>
      <c r="G53" s="1">
        <f>ROUND(SUMIFS(Journal[Debit],Journal[AccountName],BalanceRef[[#This Row],[Account Name]]),2)</f>
        <v>0</v>
      </c>
      <c r="H53" s="1">
        <f>ROUND(SUMIFS(Journal[Credit],Journal[AccountName],BalanceRef[[#This Row],[Account Name]]),2)</f>
        <v>0</v>
      </c>
      <c r="I53">
        <f>_xlfn.XLOOKUP(BalanceRef[[#This Row],[AccountNo.]],acct_ref[AcctNo],acct_ref[BalanceID],"Missing Info",0)</f>
        <v>1</v>
      </c>
      <c r="J53" s="1">
        <f>ROUND(IF(BalanceRef[[#This Row],[BalanceID]]=1,BalanceRef[[#This Row],[Debit Total]]-BalanceRef[[#This Row],[Credit Total]],IF(BalanceRef[[#This Row],[BalanceID]]=2,BalanceRef[[#This Row],[Credit Total]]-BalanceRef[[#This Row],[Debit Total]],"Error/Missing Info")),2)</f>
        <v>0</v>
      </c>
      <c r="K53">
        <v>50</v>
      </c>
    </row>
    <row r="54" spans="2:21" x14ac:dyDescent="0.25">
      <c r="B54" t="str">
        <f>_xlfn.XLOOKUP($C54,acct_ref[AcctNo],acct_ref[AccountName],"missing",0)</f>
        <v>Office &amp; Computer Expense</v>
      </c>
      <c r="C54">
        <v>5014</v>
      </c>
      <c r="D54">
        <f>IF(BalanceRef[[#This Row],[Account Name]]=B54,1,0)</f>
        <v>1</v>
      </c>
      <c r="E54" t="str">
        <f>_xlfn.XLOOKUP(BalanceRef[[#This Row],[AccountNo.]],acct_ref[AcctNo],acct_ref[AccountName],"Error/Missing Info",0)</f>
        <v>Office &amp; Computer Expense</v>
      </c>
      <c r="F54">
        <v>5014</v>
      </c>
      <c r="G54" s="1">
        <f>ROUND(SUMIFS(Journal[Debit],Journal[AccountName],BalanceRef[[#This Row],[Account Name]]),2)</f>
        <v>38</v>
      </c>
      <c r="H54" s="1">
        <f>ROUND(SUMIFS(Journal[Credit],Journal[AccountName],BalanceRef[[#This Row],[Account Name]]),2)</f>
        <v>0</v>
      </c>
      <c r="I54">
        <f>_xlfn.XLOOKUP(BalanceRef[[#This Row],[AccountNo.]],acct_ref[AcctNo],acct_ref[BalanceID],"Missing Info",0)</f>
        <v>1</v>
      </c>
      <c r="J54" s="1">
        <f>ROUND(IF(BalanceRef[[#This Row],[BalanceID]]=1,BalanceRef[[#This Row],[Debit Total]]-BalanceRef[[#This Row],[Credit Total]],IF(BalanceRef[[#This Row],[BalanceID]]=2,BalanceRef[[#This Row],[Credit Total]]-BalanceRef[[#This Row],[Debit Total]],"Error/Missing Info")),2)</f>
        <v>38</v>
      </c>
      <c r="K54">
        <v>50</v>
      </c>
    </row>
    <row r="55" spans="2:21" x14ac:dyDescent="0.25">
      <c r="B55" t="str">
        <f>_xlfn.XLOOKUP($C55,acct_ref[AcctNo],acct_ref[AccountName],"missing",0)</f>
        <v>Self-Care Expense</v>
      </c>
      <c r="C55">
        <v>5015</v>
      </c>
      <c r="D55">
        <f>IF(BalanceRef[[#This Row],[Account Name]]=B55,1,0)</f>
        <v>1</v>
      </c>
      <c r="E55" t="str">
        <f>_xlfn.XLOOKUP(BalanceRef[[#This Row],[AccountNo.]],acct_ref[AcctNo],acct_ref[AccountName],"Error/Missing Info",0)</f>
        <v>Self-Care Expense</v>
      </c>
      <c r="F55">
        <v>5015</v>
      </c>
      <c r="G55" s="1">
        <f>ROUND(SUMIFS(Journal[Debit],Journal[AccountName],BalanceRef[[#This Row],[Account Name]]),2)</f>
        <v>24.8</v>
      </c>
      <c r="H55" s="1">
        <f>ROUND(SUMIFS(Journal[Credit],Journal[AccountName],BalanceRef[[#This Row],[Account Name]]),2)</f>
        <v>0</v>
      </c>
      <c r="I55">
        <f>_xlfn.XLOOKUP(BalanceRef[[#This Row],[AccountNo.]],acct_ref[AcctNo],acct_ref[BalanceID],"Missing Info",0)</f>
        <v>1</v>
      </c>
      <c r="J55" s="1">
        <f>ROUND(IF(BalanceRef[[#This Row],[BalanceID]]=1,BalanceRef[[#This Row],[Debit Total]]-BalanceRef[[#This Row],[Credit Total]],IF(BalanceRef[[#This Row],[BalanceID]]=2,BalanceRef[[#This Row],[Credit Total]]-BalanceRef[[#This Row],[Debit Total]],"Error/Missing Info")),2)</f>
        <v>24.8</v>
      </c>
      <c r="K55">
        <v>55</v>
      </c>
    </row>
    <row r="56" spans="2:21" x14ac:dyDescent="0.25">
      <c r="B56" t="str">
        <f>_xlfn.XLOOKUP($C56,acct_ref[AcctNo],acct_ref[AccountName],"missing",0)</f>
        <v>Travel Expense</v>
      </c>
      <c r="C56">
        <v>5016</v>
      </c>
      <c r="D56">
        <f>IF(BalanceRef[[#This Row],[Account Name]]=B56,1,0)</f>
        <v>1</v>
      </c>
      <c r="E56" t="str">
        <f>_xlfn.XLOOKUP(BalanceRef[[#This Row],[AccountNo.]],acct_ref[AcctNo],acct_ref[AccountName],"Error/Missing Info",0)</f>
        <v>Travel Expense</v>
      </c>
      <c r="F56">
        <v>5016</v>
      </c>
      <c r="G56" s="1">
        <f>ROUND(SUMIFS(Journal[Debit],Journal[AccountName],BalanceRef[[#This Row],[Account Name]]),2)</f>
        <v>0</v>
      </c>
      <c r="H56" s="1">
        <f>ROUND(SUMIFS(Journal[Credit],Journal[AccountName],BalanceRef[[#This Row],[Account Name]]),2)</f>
        <v>0</v>
      </c>
      <c r="I56">
        <f>_xlfn.XLOOKUP(BalanceRef[[#This Row],[AccountNo.]],acct_ref[AcctNo],acct_ref[BalanceID],"Missing Info",0)</f>
        <v>1</v>
      </c>
      <c r="J56" s="1">
        <f>ROUND(IF(BalanceRef[[#This Row],[BalanceID]]=1,BalanceRef[[#This Row],[Debit Total]]-BalanceRef[[#This Row],[Credit Total]],IF(BalanceRef[[#This Row],[BalanceID]]=2,BalanceRef[[#This Row],[Credit Total]]-BalanceRef[[#This Row],[Debit Total]],"Error/Missing Info")),2)</f>
        <v>0</v>
      </c>
      <c r="K56">
        <v>55</v>
      </c>
    </row>
    <row r="57" spans="2:21" x14ac:dyDescent="0.25">
      <c r="B57" t="str">
        <f>_xlfn.XLOOKUP($C57,acct_ref[AcctNo],acct_ref[AccountName],"missing",0)</f>
        <v>Education Expense</v>
      </c>
      <c r="C57">
        <v>5017</v>
      </c>
      <c r="D57">
        <f>IF(BalanceRef[[#This Row],[Account Name]]=B57,1,0)</f>
        <v>1</v>
      </c>
      <c r="E57" t="str">
        <f>_xlfn.XLOOKUP(BalanceRef[[#This Row],[AccountNo.]],acct_ref[AcctNo],acct_ref[AccountName],"Error/Missing Info",0)</f>
        <v>Education Expense</v>
      </c>
      <c r="F57">
        <v>5017</v>
      </c>
      <c r="G57" s="1">
        <f>ROUND(SUMIFS(Journal[Debit],Journal[AccountName],BalanceRef[[#This Row],[Account Name]]),2)</f>
        <v>0</v>
      </c>
      <c r="H57" s="1">
        <f>ROUND(SUMIFS(Journal[Credit],Journal[AccountName],BalanceRef[[#This Row],[Account Name]]),2)</f>
        <v>0</v>
      </c>
      <c r="I57">
        <f>_xlfn.XLOOKUP(BalanceRef[[#This Row],[AccountNo.]],acct_ref[AcctNo],acct_ref[BalanceID],"Missing Info",0)</f>
        <v>1</v>
      </c>
      <c r="J57" s="1">
        <f>ROUND(IF(BalanceRef[[#This Row],[BalanceID]]=1,BalanceRef[[#This Row],[Debit Total]]-BalanceRef[[#This Row],[Credit Total]],IF(BalanceRef[[#This Row],[BalanceID]]=2,BalanceRef[[#This Row],[Credit Total]]-BalanceRef[[#This Row],[Debit Total]],"Error/Missing Info")),2)</f>
        <v>0</v>
      </c>
      <c r="K57">
        <v>56</v>
      </c>
    </row>
    <row r="58" spans="2:21" x14ac:dyDescent="0.25">
      <c r="B58" t="str">
        <f>_xlfn.XLOOKUP($C58,acct_ref[AcctNo],acct_ref[AccountName],"missing",0)</f>
        <v>Connect Expense</v>
      </c>
      <c r="C58">
        <v>5018</v>
      </c>
      <c r="D58">
        <f>IF(BalanceRef[[#This Row],[Account Name]]=B58,1,0)</f>
        <v>1</v>
      </c>
      <c r="E58" t="str">
        <f>_xlfn.XLOOKUP(BalanceRef[[#This Row],[AccountNo.]],acct_ref[AcctNo],acct_ref[AccountName],"Error/Missing Info",0)</f>
        <v>Connect Expense</v>
      </c>
      <c r="F58">
        <v>5018</v>
      </c>
      <c r="G58" s="1">
        <f>ROUND(SUMIFS(Journal[Debit],Journal[AccountName],BalanceRef[[#This Row],[Account Name]]),2)</f>
        <v>0</v>
      </c>
      <c r="H58" s="1">
        <f>ROUND(SUMIFS(Journal[Credit],Journal[AccountName],BalanceRef[[#This Row],[Account Name]]),2)</f>
        <v>0</v>
      </c>
      <c r="I58">
        <f>_xlfn.XLOOKUP(BalanceRef[[#This Row],[AccountNo.]],acct_ref[AcctNo],acct_ref[BalanceID],"Missing Info",0)</f>
        <v>1</v>
      </c>
      <c r="J58" s="1">
        <f>ROUND(IF(BalanceRef[[#This Row],[BalanceID]]=1,BalanceRef[[#This Row],[Debit Total]]-BalanceRef[[#This Row],[Credit Total]],IF(BalanceRef[[#This Row],[BalanceID]]=2,BalanceRef[[#This Row],[Credit Total]]-BalanceRef[[#This Row],[Debit Total]],"Error/Missing Info")),2)</f>
        <v>0</v>
      </c>
      <c r="K58">
        <v>55</v>
      </c>
    </row>
    <row r="59" spans="2:21" x14ac:dyDescent="0.25">
      <c r="B59" t="str">
        <f>_xlfn.XLOOKUP($C59,acct_ref[AcctNo],acct_ref[AccountName],"missing",0)</f>
        <v>Receivable Expense</v>
      </c>
      <c r="C59">
        <v>5019</v>
      </c>
      <c r="D59">
        <f>IF(BalanceRef[[#This Row],[Account Name]]=B59,1,0)</f>
        <v>1</v>
      </c>
      <c r="E59" t="str">
        <f>_xlfn.XLOOKUP(BalanceRef[[#This Row],[AccountNo.]],acct_ref[AcctNo],acct_ref[AccountName],"Error/Missing Info",0)</f>
        <v>Receivable Expense</v>
      </c>
      <c r="F59">
        <v>5019</v>
      </c>
      <c r="G59" s="1">
        <f>ROUND(SUMIFS(Journal[Debit],Journal[AccountName],BalanceRef[[#This Row],[Account Name]]),2)</f>
        <v>0</v>
      </c>
      <c r="H59" s="1">
        <f>ROUND(SUMIFS(Journal[Credit],Journal[AccountName],BalanceRef[[#This Row],[Account Name]]),2)</f>
        <v>0</v>
      </c>
      <c r="I59">
        <f>_xlfn.XLOOKUP(BalanceRef[[#This Row],[AccountNo.]],acct_ref[AcctNo],acct_ref[BalanceID],"Missing Info",0)</f>
        <v>1</v>
      </c>
      <c r="J59" s="1">
        <f>ROUND(IF(BalanceRef[[#This Row],[BalanceID]]=1,BalanceRef[[#This Row],[Debit Total]]-BalanceRef[[#This Row],[Credit Total]],IF(BalanceRef[[#This Row],[BalanceID]]=2,BalanceRef[[#This Row],[Credit Total]]-BalanceRef[[#This Row],[Debit Total]],"Error/Missing Info")),2)</f>
        <v>0</v>
      </c>
    </row>
    <row r="60" spans="2:21" x14ac:dyDescent="0.25">
      <c r="B60" t="str">
        <f>_xlfn.XLOOKUP($C60,acct_ref[AcctNo],acct_ref[AccountName],"missing",0)</f>
        <v>Tax Sales</v>
      </c>
      <c r="C60">
        <v>5025</v>
      </c>
      <c r="D60">
        <f>IF(BalanceRef[[#This Row],[Account Name]]=B60,1,0)</f>
        <v>1</v>
      </c>
      <c r="E60" t="str">
        <f>_xlfn.XLOOKUP(BalanceRef[[#This Row],[AccountNo.]],acct_ref[AcctNo],acct_ref[AccountName],"Error/Missing Info",0)</f>
        <v>Tax Sales</v>
      </c>
      <c r="F60">
        <v>5025</v>
      </c>
      <c r="G60" s="1">
        <f>ROUND(SUMIFS(Journal[Debit],Journal[AccountName],BalanceRef[[#This Row],[Account Name]]),2)</f>
        <v>0</v>
      </c>
      <c r="H60" s="1">
        <f>ROUND(SUMIFS(Journal[Credit],Journal[AccountName],BalanceRef[[#This Row],[Account Name]]),2)</f>
        <v>0</v>
      </c>
      <c r="I60">
        <f>_xlfn.XLOOKUP(BalanceRef[[#This Row],[AccountNo.]],acct_ref[AcctNo],acct_ref[BalanceID],"Missing Info",0)</f>
        <v>1</v>
      </c>
      <c r="J60" s="1">
        <f>ROUND(IF(BalanceRef[[#This Row],[BalanceID]]=1,BalanceRef[[#This Row],[Debit Total]]-BalanceRef[[#This Row],[Credit Total]],IF(BalanceRef[[#This Row],[BalanceID]]=2,BalanceRef[[#This Row],[Credit Total]]-BalanceRef[[#This Row],[Debit Total]],"Error/Missing Info")),2)</f>
        <v>0</v>
      </c>
    </row>
    <row r="61" spans="2:21" x14ac:dyDescent="0.25">
      <c r="B61" t="str">
        <f>_xlfn.XLOOKUP($C61,acct_ref[AcctNo],acct_ref[AccountName],"missing",0)</f>
        <v>Misc Expense</v>
      </c>
      <c r="C61">
        <v>5050</v>
      </c>
      <c r="D61">
        <f>IF(BalanceRef[[#This Row],[Account Name]]=B61,1,0)</f>
        <v>1</v>
      </c>
      <c r="E61" t="str">
        <f>_xlfn.XLOOKUP(BalanceRef[[#This Row],[AccountNo.]],acct_ref[AcctNo],acct_ref[AccountName],"Error/Missing Info",0)</f>
        <v>Misc Expense</v>
      </c>
      <c r="F61">
        <v>5050</v>
      </c>
      <c r="G61" s="1">
        <f>ROUND(SUMIFS(Journal[Debit],Journal[AccountName],BalanceRef[[#This Row],[Account Name]]),2)</f>
        <v>8.9499999999999993</v>
      </c>
      <c r="H61" s="1">
        <f>ROUND(SUMIFS(Journal[Credit],Journal[AccountName],BalanceRef[[#This Row],[Account Name]]),2)</f>
        <v>0</v>
      </c>
      <c r="I61">
        <f>_xlfn.XLOOKUP(BalanceRef[[#This Row],[AccountNo.]],acct_ref[AcctNo],acct_ref[BalanceID],"Missing Info",0)</f>
        <v>1</v>
      </c>
      <c r="J61" s="1">
        <f>ROUND(IF(BalanceRef[[#This Row],[BalanceID]]=1,BalanceRef[[#This Row],[Debit Total]]-BalanceRef[[#This Row],[Credit Total]],IF(BalanceRef[[#This Row],[BalanceID]]=2,BalanceRef[[#This Row],[Credit Total]]-BalanceRef[[#This Row],[Debit Total]],"Error/Missing Info")),2)</f>
        <v>8.9499999999999993</v>
      </c>
      <c r="K61">
        <v>55</v>
      </c>
    </row>
  </sheetData>
  <mergeCells count="10">
    <mergeCell ref="Z33:AC33"/>
    <mergeCell ref="Z34:AC34"/>
    <mergeCell ref="Z35:AC35"/>
    <mergeCell ref="Z36:AC36"/>
    <mergeCell ref="Y21:AE21"/>
    <mergeCell ref="Z22:AC22"/>
    <mergeCell ref="Z23:AC23"/>
    <mergeCell ref="Z24:AC24"/>
    <mergeCell ref="Y25:AC25"/>
    <mergeCell ref="Y32:AE32"/>
  </mergeCells>
  <conditionalFormatting sqref="F9">
    <cfRule type="containsText" dxfId="3" priority="3" operator="containsText" text="Correct">
      <formula>NOT(ISERROR(SEARCH("Correct",F9)))</formula>
    </cfRule>
    <cfRule type="cellIs" dxfId="2" priority="4" operator="lessThan">
      <formula>0</formula>
    </cfRule>
  </conditionalFormatting>
  <conditionalFormatting sqref="D11:D61">
    <cfRule type="cellIs" dxfId="1" priority="1" operator="equal">
      <formula>0</formula>
    </cfRule>
    <cfRule type="cellIs" dxfId="0" priority="2" operator="equal">
      <formula>1</formula>
    </cfRule>
  </conditionalFormatting>
  <dataValidations count="2">
    <dataValidation type="list" allowBlank="1" showInputMessage="1" showErrorMessage="1" sqref="N11:N30" xr:uid="{1DB1334A-64F1-4887-A650-6AC935825D7B}">
      <formula1>INDIRECT("AcctTypeRef[AcctType]")</formula1>
    </dataValidation>
    <dataValidation type="list" allowBlank="1" showInputMessage="1" showErrorMessage="1" sqref="U11:U51" xr:uid="{BCC48EEE-2F06-4AFF-AE12-0950CDF5514B}">
      <formula1>INDIRECT("AcctRef[AccountName]")</formula1>
    </dataValidation>
  </dataValidations>
  <hyperlinks>
    <hyperlink ref="E2" location="TitlePage!A1" display="Return to Title Page" xr:uid="{65A51FF0-4AF4-4CB7-BDC5-06F9AA583F25}"/>
    <hyperlink ref="J2" location="AcctRef!A1" display="Go To Reference Page" xr:uid="{8422DA24-0612-4C77-A100-D7C160300071}"/>
    <hyperlink ref="E4" location="'Trial Balance'!A1" display="Trial Balance" xr:uid="{6FF0287A-3A4C-4241-95DE-6B85A8F58516}"/>
  </hyperlinks>
  <pageMargins left="0.7" right="0.7" top="0.75" bottom="0.75" header="0.3" footer="0.3"/>
  <legacyDrawing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191DE-6711-4206-989B-50DBA370EB7E}">
  <sheetPr codeName="Sheet6"/>
  <dimension ref="A1:F401"/>
  <sheetViews>
    <sheetView workbookViewId="0">
      <selection activeCell="H10" sqref="H10"/>
    </sheetView>
  </sheetViews>
  <sheetFormatPr defaultRowHeight="15" x14ac:dyDescent="0.25"/>
  <cols>
    <col min="1" max="1" width="9.42578125" bestFit="1" customWidth="1"/>
    <col min="2" max="2" width="7.28515625" bestFit="1" customWidth="1"/>
    <col min="3" max="3" width="22.140625" bestFit="1" customWidth="1"/>
    <col min="4" max="4" width="15.42578125" bestFit="1" customWidth="1"/>
    <col min="5" max="5" width="24.85546875" bestFit="1" customWidth="1"/>
    <col min="6" max="6" width="10.140625" bestFit="1" customWidth="1"/>
    <col min="7" max="7" width="10.5703125" bestFit="1" customWidth="1"/>
  </cols>
  <sheetData>
    <row r="1" spans="1:6" x14ac:dyDescent="0.25">
      <c r="A1" t="s">
        <v>584</v>
      </c>
      <c r="B1" t="s">
        <v>568</v>
      </c>
      <c r="C1" t="s">
        <v>585</v>
      </c>
      <c r="D1" t="s">
        <v>586</v>
      </c>
      <c r="E1" t="s">
        <v>587</v>
      </c>
      <c r="F1" t="s">
        <v>588</v>
      </c>
    </row>
    <row r="2" spans="1:6" x14ac:dyDescent="0.25">
      <c r="A2" t="s">
        <v>606</v>
      </c>
      <c r="B2" t="s">
        <v>108</v>
      </c>
      <c r="C2" t="s">
        <v>132</v>
      </c>
      <c r="D2" t="s">
        <v>3</v>
      </c>
      <c r="E2" t="s">
        <v>34</v>
      </c>
      <c r="F2">
        <v>1350</v>
      </c>
    </row>
    <row r="3" spans="1:6" x14ac:dyDescent="0.25">
      <c r="A3" t="s">
        <v>606</v>
      </c>
      <c r="B3" t="s">
        <v>108</v>
      </c>
      <c r="C3" t="s">
        <v>132</v>
      </c>
      <c r="D3" t="s">
        <v>5</v>
      </c>
      <c r="E3" t="s">
        <v>27</v>
      </c>
      <c r="F3">
        <v>-1350</v>
      </c>
    </row>
    <row r="4" spans="1:6" x14ac:dyDescent="0.25">
      <c r="A4" t="s">
        <v>606</v>
      </c>
      <c r="B4" t="s">
        <v>108</v>
      </c>
      <c r="C4" t="s">
        <v>193</v>
      </c>
      <c r="D4" t="s">
        <v>5</v>
      </c>
      <c r="E4" t="s">
        <v>27</v>
      </c>
      <c r="F4">
        <v>1875</v>
      </c>
    </row>
    <row r="5" spans="1:6" x14ac:dyDescent="0.25">
      <c r="A5" t="s">
        <v>606</v>
      </c>
      <c r="B5" t="s">
        <v>108</v>
      </c>
      <c r="C5" t="s">
        <v>191</v>
      </c>
      <c r="D5" t="s">
        <v>5</v>
      </c>
      <c r="E5" t="s">
        <v>27</v>
      </c>
      <c r="F5">
        <v>-500</v>
      </c>
    </row>
    <row r="6" spans="1:6" x14ac:dyDescent="0.25">
      <c r="A6" t="s">
        <v>606</v>
      </c>
      <c r="B6" t="s">
        <v>108</v>
      </c>
      <c r="C6" t="s">
        <v>119</v>
      </c>
      <c r="D6" t="s">
        <v>5</v>
      </c>
      <c r="E6" t="s">
        <v>27</v>
      </c>
      <c r="F6">
        <v>-52.4</v>
      </c>
    </row>
    <row r="7" spans="1:6" x14ac:dyDescent="0.25">
      <c r="A7" t="s">
        <v>606</v>
      </c>
      <c r="B7" t="s">
        <v>108</v>
      </c>
      <c r="C7" t="s">
        <v>180</v>
      </c>
      <c r="D7" t="s">
        <v>5</v>
      </c>
      <c r="E7" t="s">
        <v>27</v>
      </c>
      <c r="F7">
        <v>-140</v>
      </c>
    </row>
    <row r="8" spans="1:6" x14ac:dyDescent="0.25">
      <c r="A8" t="s">
        <v>606</v>
      </c>
      <c r="B8" t="s">
        <v>108</v>
      </c>
      <c r="C8" t="s">
        <v>131</v>
      </c>
      <c r="D8" t="s">
        <v>5</v>
      </c>
      <c r="E8" t="s">
        <v>27</v>
      </c>
      <c r="F8">
        <v>-55</v>
      </c>
    </row>
    <row r="9" spans="1:6" x14ac:dyDescent="0.25">
      <c r="A9" t="s">
        <v>606</v>
      </c>
      <c r="B9" t="s">
        <v>108</v>
      </c>
      <c r="C9" t="s">
        <v>146</v>
      </c>
      <c r="D9" t="s">
        <v>5</v>
      </c>
      <c r="E9" t="s">
        <v>27</v>
      </c>
      <c r="F9">
        <v>-75</v>
      </c>
    </row>
    <row r="10" spans="1:6" x14ac:dyDescent="0.25">
      <c r="A10" t="s">
        <v>606</v>
      </c>
      <c r="B10" t="s">
        <v>108</v>
      </c>
      <c r="C10" t="s">
        <v>193</v>
      </c>
      <c r="D10" t="s">
        <v>5</v>
      </c>
      <c r="E10" t="s">
        <v>27</v>
      </c>
      <c r="F10">
        <v>1875</v>
      </c>
    </row>
    <row r="11" spans="1:6" x14ac:dyDescent="0.25">
      <c r="A11" t="s">
        <v>606</v>
      </c>
      <c r="B11" t="s">
        <v>108</v>
      </c>
      <c r="C11" t="s">
        <v>185</v>
      </c>
      <c r="D11" t="s">
        <v>3</v>
      </c>
      <c r="E11" t="s">
        <v>211</v>
      </c>
      <c r="F11">
        <v>62.15</v>
      </c>
    </row>
    <row r="12" spans="1:6" x14ac:dyDescent="0.25">
      <c r="A12" t="s">
        <v>606</v>
      </c>
      <c r="B12" t="s">
        <v>108</v>
      </c>
      <c r="C12" t="s">
        <v>235</v>
      </c>
      <c r="D12" t="s">
        <v>3</v>
      </c>
      <c r="E12" t="s">
        <v>211</v>
      </c>
      <c r="F12">
        <v>62.6</v>
      </c>
    </row>
    <row r="13" spans="1:6" x14ac:dyDescent="0.25">
      <c r="A13" t="s">
        <v>606</v>
      </c>
      <c r="B13" t="s">
        <v>108</v>
      </c>
      <c r="C13" t="s">
        <v>235</v>
      </c>
      <c r="D13" t="s">
        <v>3</v>
      </c>
      <c r="E13" t="s">
        <v>211</v>
      </c>
      <c r="F13">
        <v>56.25</v>
      </c>
    </row>
    <row r="14" spans="1:6" x14ac:dyDescent="0.25">
      <c r="A14" t="s">
        <v>606</v>
      </c>
      <c r="B14" t="s">
        <v>108</v>
      </c>
      <c r="C14" t="s">
        <v>185</v>
      </c>
      <c r="D14" t="s">
        <v>3</v>
      </c>
      <c r="E14" t="s">
        <v>211</v>
      </c>
      <c r="F14">
        <v>74.83</v>
      </c>
    </row>
    <row r="15" spans="1:6" x14ac:dyDescent="0.25">
      <c r="A15" t="s">
        <v>606</v>
      </c>
      <c r="B15" t="s">
        <v>108</v>
      </c>
      <c r="C15" t="s">
        <v>235</v>
      </c>
      <c r="D15" t="s">
        <v>3</v>
      </c>
      <c r="E15" t="s">
        <v>211</v>
      </c>
      <c r="F15">
        <v>78.900000000000006</v>
      </c>
    </row>
    <row r="16" spans="1:6" x14ac:dyDescent="0.25">
      <c r="A16" t="s">
        <v>606</v>
      </c>
      <c r="B16" t="s">
        <v>108</v>
      </c>
      <c r="C16" t="s">
        <v>185</v>
      </c>
      <c r="D16" t="s">
        <v>3</v>
      </c>
      <c r="E16" t="s">
        <v>211</v>
      </c>
      <c r="F16">
        <v>51.2</v>
      </c>
    </row>
    <row r="17" spans="1:6" x14ac:dyDescent="0.25">
      <c r="A17" t="s">
        <v>606</v>
      </c>
      <c r="B17" t="s">
        <v>108</v>
      </c>
      <c r="C17" t="s">
        <v>235</v>
      </c>
      <c r="D17" t="s">
        <v>3</v>
      </c>
      <c r="E17" t="s">
        <v>211</v>
      </c>
      <c r="F17">
        <v>71.349999999999994</v>
      </c>
    </row>
    <row r="18" spans="1:6" x14ac:dyDescent="0.25">
      <c r="A18" t="s">
        <v>606</v>
      </c>
      <c r="B18" t="s">
        <v>108</v>
      </c>
      <c r="C18" t="s">
        <v>185</v>
      </c>
      <c r="D18" t="s">
        <v>3</v>
      </c>
      <c r="E18" t="s">
        <v>211</v>
      </c>
      <c r="F18">
        <v>69.45</v>
      </c>
    </row>
    <row r="19" spans="1:6" x14ac:dyDescent="0.25">
      <c r="A19" t="s">
        <v>606</v>
      </c>
      <c r="B19" t="s">
        <v>108</v>
      </c>
      <c r="C19" t="s">
        <v>191</v>
      </c>
      <c r="D19" t="s">
        <v>5</v>
      </c>
      <c r="E19" t="s">
        <v>28</v>
      </c>
      <c r="F19">
        <v>500</v>
      </c>
    </row>
    <row r="20" spans="1:6" x14ac:dyDescent="0.25">
      <c r="A20" t="s">
        <v>606</v>
      </c>
      <c r="B20" t="s">
        <v>108</v>
      </c>
      <c r="C20" t="s">
        <v>185</v>
      </c>
      <c r="D20" t="s">
        <v>4</v>
      </c>
      <c r="E20" t="s">
        <v>11</v>
      </c>
      <c r="F20">
        <v>62.15</v>
      </c>
    </row>
    <row r="21" spans="1:6" x14ac:dyDescent="0.25">
      <c r="A21" t="s">
        <v>606</v>
      </c>
      <c r="B21" t="s">
        <v>108</v>
      </c>
      <c r="C21" t="s">
        <v>235</v>
      </c>
      <c r="D21" t="s">
        <v>4</v>
      </c>
      <c r="E21" t="s">
        <v>11</v>
      </c>
      <c r="F21">
        <v>62.6</v>
      </c>
    </row>
    <row r="22" spans="1:6" x14ac:dyDescent="0.25">
      <c r="A22" t="s">
        <v>606</v>
      </c>
      <c r="B22" t="s">
        <v>108</v>
      </c>
      <c r="C22" t="s">
        <v>235</v>
      </c>
      <c r="D22" t="s">
        <v>4</v>
      </c>
      <c r="E22" t="s">
        <v>11</v>
      </c>
      <c r="F22">
        <v>56.25</v>
      </c>
    </row>
    <row r="23" spans="1:6" x14ac:dyDescent="0.25">
      <c r="A23" t="s">
        <v>606</v>
      </c>
      <c r="B23" t="s">
        <v>108</v>
      </c>
      <c r="C23" t="s">
        <v>185</v>
      </c>
      <c r="D23" t="s">
        <v>4</v>
      </c>
      <c r="E23" t="s">
        <v>11</v>
      </c>
      <c r="F23">
        <v>74.83</v>
      </c>
    </row>
    <row r="24" spans="1:6" x14ac:dyDescent="0.25">
      <c r="A24" t="s">
        <v>606</v>
      </c>
      <c r="B24" t="s">
        <v>108</v>
      </c>
      <c r="C24" t="s">
        <v>150</v>
      </c>
      <c r="D24" t="s">
        <v>4</v>
      </c>
      <c r="E24" t="s">
        <v>11</v>
      </c>
      <c r="F24">
        <v>16.989999999999998</v>
      </c>
    </row>
    <row r="25" spans="1:6" x14ac:dyDescent="0.25">
      <c r="A25" t="s">
        <v>606</v>
      </c>
      <c r="B25" t="s">
        <v>108</v>
      </c>
      <c r="C25" t="s">
        <v>564</v>
      </c>
      <c r="D25" t="s">
        <v>4</v>
      </c>
      <c r="E25" t="s">
        <v>11</v>
      </c>
      <c r="F25">
        <v>85</v>
      </c>
    </row>
    <row r="26" spans="1:6" x14ac:dyDescent="0.25">
      <c r="A26" t="s">
        <v>606</v>
      </c>
      <c r="B26" t="s">
        <v>108</v>
      </c>
      <c r="C26" t="s">
        <v>155</v>
      </c>
      <c r="D26" t="s">
        <v>4</v>
      </c>
      <c r="E26" t="s">
        <v>11</v>
      </c>
      <c r="F26">
        <v>10.99</v>
      </c>
    </row>
    <row r="27" spans="1:6" x14ac:dyDescent="0.25">
      <c r="A27" t="s">
        <v>606</v>
      </c>
      <c r="B27" t="s">
        <v>108</v>
      </c>
      <c r="C27" t="s">
        <v>235</v>
      </c>
      <c r="D27" t="s">
        <v>4</v>
      </c>
      <c r="E27" t="s">
        <v>11</v>
      </c>
      <c r="F27">
        <v>78.900000000000006</v>
      </c>
    </row>
    <row r="28" spans="1:6" x14ac:dyDescent="0.25">
      <c r="A28" t="s">
        <v>606</v>
      </c>
      <c r="B28" t="s">
        <v>108</v>
      </c>
      <c r="C28" t="s">
        <v>526</v>
      </c>
      <c r="D28" t="s">
        <v>4</v>
      </c>
      <c r="E28" t="s">
        <v>11</v>
      </c>
      <c r="F28">
        <v>13</v>
      </c>
    </row>
    <row r="29" spans="1:6" x14ac:dyDescent="0.25">
      <c r="A29" t="s">
        <v>606</v>
      </c>
      <c r="B29" t="s">
        <v>108</v>
      </c>
      <c r="C29" t="s">
        <v>185</v>
      </c>
      <c r="D29" t="s">
        <v>4</v>
      </c>
      <c r="E29" t="s">
        <v>11</v>
      </c>
      <c r="F29">
        <v>51.2</v>
      </c>
    </row>
    <row r="30" spans="1:6" x14ac:dyDescent="0.25">
      <c r="A30" t="s">
        <v>606</v>
      </c>
      <c r="B30" t="s">
        <v>108</v>
      </c>
      <c r="C30" t="s">
        <v>115</v>
      </c>
      <c r="D30" t="s">
        <v>4</v>
      </c>
      <c r="E30" t="s">
        <v>11</v>
      </c>
      <c r="F30">
        <v>28</v>
      </c>
    </row>
    <row r="31" spans="1:6" x14ac:dyDescent="0.25">
      <c r="A31" t="s">
        <v>606</v>
      </c>
      <c r="B31" t="s">
        <v>108</v>
      </c>
      <c r="C31" t="s">
        <v>334</v>
      </c>
      <c r="D31" t="s">
        <v>4</v>
      </c>
      <c r="E31" t="s">
        <v>11</v>
      </c>
      <c r="F31">
        <v>27</v>
      </c>
    </row>
    <row r="32" spans="1:6" x14ac:dyDescent="0.25">
      <c r="A32" t="s">
        <v>606</v>
      </c>
      <c r="B32" t="s">
        <v>108</v>
      </c>
      <c r="C32" t="s">
        <v>235</v>
      </c>
      <c r="D32" t="s">
        <v>4</v>
      </c>
      <c r="E32" t="s">
        <v>11</v>
      </c>
      <c r="F32">
        <v>71.349999999999994</v>
      </c>
    </row>
    <row r="33" spans="1:6" x14ac:dyDescent="0.25">
      <c r="A33" t="s">
        <v>606</v>
      </c>
      <c r="B33" t="s">
        <v>108</v>
      </c>
      <c r="C33" t="s">
        <v>119</v>
      </c>
      <c r="D33" t="s">
        <v>4</v>
      </c>
      <c r="E33" t="s">
        <v>11</v>
      </c>
      <c r="F33">
        <v>46.3</v>
      </c>
    </row>
    <row r="34" spans="1:6" x14ac:dyDescent="0.25">
      <c r="A34" t="s">
        <v>606</v>
      </c>
      <c r="B34" t="s">
        <v>108</v>
      </c>
      <c r="C34" t="s">
        <v>563</v>
      </c>
      <c r="D34" t="s">
        <v>4</v>
      </c>
      <c r="E34" t="s">
        <v>11</v>
      </c>
      <c r="F34">
        <v>6.99</v>
      </c>
    </row>
    <row r="35" spans="1:6" x14ac:dyDescent="0.25">
      <c r="A35" t="s">
        <v>606</v>
      </c>
      <c r="B35" t="s">
        <v>108</v>
      </c>
      <c r="C35" t="s">
        <v>140</v>
      </c>
      <c r="D35" t="s">
        <v>4</v>
      </c>
      <c r="E35" t="s">
        <v>11</v>
      </c>
      <c r="F35">
        <v>9.99</v>
      </c>
    </row>
    <row r="36" spans="1:6" x14ac:dyDescent="0.25">
      <c r="A36" t="s">
        <v>606</v>
      </c>
      <c r="B36" t="s">
        <v>108</v>
      </c>
      <c r="C36" t="s">
        <v>185</v>
      </c>
      <c r="D36" t="s">
        <v>4</v>
      </c>
      <c r="E36" t="s">
        <v>11</v>
      </c>
      <c r="F36">
        <v>69.45</v>
      </c>
    </row>
    <row r="37" spans="1:6" x14ac:dyDescent="0.25">
      <c r="A37" t="s">
        <v>606</v>
      </c>
      <c r="B37" t="s">
        <v>108</v>
      </c>
      <c r="C37" t="s">
        <v>197</v>
      </c>
      <c r="D37" t="s">
        <v>4</v>
      </c>
      <c r="E37" t="s">
        <v>11</v>
      </c>
      <c r="F37">
        <v>19.5</v>
      </c>
    </row>
    <row r="38" spans="1:6" x14ac:dyDescent="0.25">
      <c r="A38" t="s">
        <v>606</v>
      </c>
      <c r="B38" t="s">
        <v>108</v>
      </c>
      <c r="C38" t="s">
        <v>193</v>
      </c>
      <c r="D38" t="s">
        <v>16</v>
      </c>
      <c r="E38" t="s">
        <v>214</v>
      </c>
      <c r="F38">
        <v>1875</v>
      </c>
    </row>
    <row r="39" spans="1:6" x14ac:dyDescent="0.25">
      <c r="A39" t="s">
        <v>606</v>
      </c>
      <c r="B39" t="s">
        <v>108</v>
      </c>
      <c r="C39" t="s">
        <v>193</v>
      </c>
      <c r="D39" t="s">
        <v>16</v>
      </c>
      <c r="E39" t="s">
        <v>214</v>
      </c>
      <c r="F39">
        <v>1875</v>
      </c>
    </row>
    <row r="40" spans="1:6" x14ac:dyDescent="0.25">
      <c r="A40" t="s">
        <v>606</v>
      </c>
      <c r="B40" t="s">
        <v>108</v>
      </c>
      <c r="C40" t="s">
        <v>119</v>
      </c>
      <c r="D40" t="s">
        <v>3</v>
      </c>
      <c r="E40" t="s">
        <v>50</v>
      </c>
      <c r="F40">
        <v>52.4</v>
      </c>
    </row>
    <row r="41" spans="1:6" x14ac:dyDescent="0.25">
      <c r="A41" t="s">
        <v>606</v>
      </c>
      <c r="B41" t="s">
        <v>108</v>
      </c>
      <c r="C41" t="s">
        <v>180</v>
      </c>
      <c r="D41" t="s">
        <v>3</v>
      </c>
      <c r="E41" t="s">
        <v>50</v>
      </c>
      <c r="F41">
        <v>140</v>
      </c>
    </row>
    <row r="42" spans="1:6" x14ac:dyDescent="0.25">
      <c r="A42" t="s">
        <v>606</v>
      </c>
      <c r="B42" t="s">
        <v>108</v>
      </c>
      <c r="C42" t="s">
        <v>526</v>
      </c>
      <c r="D42" t="s">
        <v>3</v>
      </c>
      <c r="E42" t="s">
        <v>50</v>
      </c>
      <c r="F42">
        <v>13</v>
      </c>
    </row>
    <row r="43" spans="1:6" x14ac:dyDescent="0.25">
      <c r="A43" t="s">
        <v>606</v>
      </c>
      <c r="B43" t="s">
        <v>108</v>
      </c>
      <c r="C43" t="s">
        <v>115</v>
      </c>
      <c r="D43" t="s">
        <v>3</v>
      </c>
      <c r="E43" t="s">
        <v>50</v>
      </c>
      <c r="F43">
        <v>28</v>
      </c>
    </row>
    <row r="44" spans="1:6" x14ac:dyDescent="0.25">
      <c r="A44" t="s">
        <v>606</v>
      </c>
      <c r="B44" t="s">
        <v>108</v>
      </c>
      <c r="C44" t="s">
        <v>119</v>
      </c>
      <c r="D44" t="s">
        <v>3</v>
      </c>
      <c r="E44" t="s">
        <v>50</v>
      </c>
      <c r="F44">
        <v>46.3</v>
      </c>
    </row>
    <row r="45" spans="1:6" x14ac:dyDescent="0.25">
      <c r="A45" t="s">
        <v>606</v>
      </c>
      <c r="B45" t="s">
        <v>108</v>
      </c>
      <c r="C45" t="s">
        <v>150</v>
      </c>
      <c r="D45" t="s">
        <v>3</v>
      </c>
      <c r="E45" t="s">
        <v>37</v>
      </c>
      <c r="F45">
        <v>16.989999999999998</v>
      </c>
    </row>
    <row r="46" spans="1:6" x14ac:dyDescent="0.25">
      <c r="A46" t="s">
        <v>606</v>
      </c>
      <c r="B46" t="s">
        <v>108</v>
      </c>
      <c r="C46" t="s">
        <v>155</v>
      </c>
      <c r="D46" t="s">
        <v>3</v>
      </c>
      <c r="E46" t="s">
        <v>37</v>
      </c>
      <c r="F46">
        <v>10.99</v>
      </c>
    </row>
    <row r="47" spans="1:6" x14ac:dyDescent="0.25">
      <c r="A47" t="s">
        <v>606</v>
      </c>
      <c r="B47" t="s">
        <v>108</v>
      </c>
      <c r="C47" t="s">
        <v>146</v>
      </c>
      <c r="D47" t="s">
        <v>3</v>
      </c>
      <c r="E47" t="s">
        <v>37</v>
      </c>
      <c r="F47">
        <v>75</v>
      </c>
    </row>
    <row r="48" spans="1:6" x14ac:dyDescent="0.25">
      <c r="A48" t="s">
        <v>606</v>
      </c>
      <c r="B48" t="s">
        <v>108</v>
      </c>
      <c r="C48" t="s">
        <v>140</v>
      </c>
      <c r="D48" t="s">
        <v>3</v>
      </c>
      <c r="E48" t="s">
        <v>37</v>
      </c>
      <c r="F48">
        <v>9.99</v>
      </c>
    </row>
    <row r="49" spans="1:6" x14ac:dyDescent="0.25">
      <c r="A49" t="s">
        <v>606</v>
      </c>
      <c r="B49" t="s">
        <v>108</v>
      </c>
      <c r="C49" t="s">
        <v>564</v>
      </c>
      <c r="E49" t="s">
        <v>565</v>
      </c>
    </row>
    <row r="50" spans="1:6" x14ac:dyDescent="0.25">
      <c r="A50" t="s">
        <v>606</v>
      </c>
      <c r="B50" t="s">
        <v>108</v>
      </c>
      <c r="C50" t="s">
        <v>563</v>
      </c>
      <c r="E50" t="s">
        <v>565</v>
      </c>
    </row>
    <row r="51" spans="1:6" x14ac:dyDescent="0.25">
      <c r="A51" t="s">
        <v>606</v>
      </c>
      <c r="B51" t="s">
        <v>108</v>
      </c>
      <c r="C51" t="s">
        <v>131</v>
      </c>
      <c r="D51" t="s">
        <v>3</v>
      </c>
      <c r="E51" t="s">
        <v>36</v>
      </c>
      <c r="F51">
        <v>55</v>
      </c>
    </row>
    <row r="52" spans="1:6" x14ac:dyDescent="0.25">
      <c r="A52" t="s">
        <v>606</v>
      </c>
      <c r="B52" t="s">
        <v>108</v>
      </c>
      <c r="C52" t="s">
        <v>197</v>
      </c>
      <c r="D52" t="s">
        <v>3</v>
      </c>
      <c r="E52" t="s">
        <v>48</v>
      </c>
      <c r="F52">
        <v>19.5</v>
      </c>
    </row>
    <row r="53" spans="1:6" x14ac:dyDescent="0.25">
      <c r="A53" t="s">
        <v>606</v>
      </c>
      <c r="B53" t="s">
        <v>108</v>
      </c>
      <c r="C53" t="s">
        <v>334</v>
      </c>
      <c r="D53" t="s">
        <v>3</v>
      </c>
      <c r="E53" t="s">
        <v>129</v>
      </c>
      <c r="F53">
        <v>27</v>
      </c>
    </row>
    <row r="54" spans="1:6" x14ac:dyDescent="0.25">
      <c r="A54" t="s">
        <v>606</v>
      </c>
      <c r="B54" t="s">
        <v>108</v>
      </c>
      <c r="C54" t="s">
        <v>235</v>
      </c>
      <c r="D54" t="s">
        <v>3</v>
      </c>
      <c r="E54" t="s">
        <v>211</v>
      </c>
      <c r="F54">
        <v>69.8</v>
      </c>
    </row>
    <row r="55" spans="1:6" x14ac:dyDescent="0.25">
      <c r="A55" t="s">
        <v>606</v>
      </c>
      <c r="B55" t="s">
        <v>108</v>
      </c>
      <c r="C55" t="s">
        <v>235</v>
      </c>
      <c r="D55" t="s">
        <v>4</v>
      </c>
      <c r="E55" t="s">
        <v>11</v>
      </c>
      <c r="F55">
        <v>69.8</v>
      </c>
    </row>
    <row r="56" spans="1:6" x14ac:dyDescent="0.25">
      <c r="A56" t="s">
        <v>606</v>
      </c>
      <c r="B56" t="s">
        <v>108</v>
      </c>
      <c r="C56" t="s">
        <v>56</v>
      </c>
      <c r="D56" t="s">
        <v>3</v>
      </c>
      <c r="E56" t="s">
        <v>50</v>
      </c>
      <c r="F56">
        <v>25.1</v>
      </c>
    </row>
    <row r="57" spans="1:6" x14ac:dyDescent="0.25">
      <c r="A57" t="s">
        <v>606</v>
      </c>
      <c r="B57" t="s">
        <v>108</v>
      </c>
      <c r="C57" t="s">
        <v>56</v>
      </c>
      <c r="D57" t="s">
        <v>4</v>
      </c>
      <c r="E57" t="s">
        <v>11</v>
      </c>
      <c r="F57">
        <v>25.1</v>
      </c>
    </row>
    <row r="58" spans="1:6" x14ac:dyDescent="0.25">
      <c r="A58" t="s">
        <v>606</v>
      </c>
      <c r="B58" t="s">
        <v>108</v>
      </c>
      <c r="C58" t="s">
        <v>185</v>
      </c>
      <c r="D58" t="s">
        <v>3</v>
      </c>
      <c r="E58" t="s">
        <v>211</v>
      </c>
      <c r="F58">
        <v>88.1</v>
      </c>
    </row>
    <row r="59" spans="1:6" x14ac:dyDescent="0.25">
      <c r="A59" t="s">
        <v>606</v>
      </c>
      <c r="B59" t="s">
        <v>108</v>
      </c>
      <c r="C59" t="s">
        <v>185</v>
      </c>
      <c r="D59" t="s">
        <v>4</v>
      </c>
      <c r="E59" t="s">
        <v>11</v>
      </c>
      <c r="F59">
        <v>88.1</v>
      </c>
    </row>
    <row r="60" spans="1:6" x14ac:dyDescent="0.25">
      <c r="A60" t="s">
        <v>606</v>
      </c>
      <c r="B60" t="s">
        <v>108</v>
      </c>
      <c r="C60" t="s">
        <v>144</v>
      </c>
      <c r="D60" t="s">
        <v>3</v>
      </c>
      <c r="E60" t="s">
        <v>129</v>
      </c>
      <c r="F60">
        <v>11</v>
      </c>
    </row>
    <row r="61" spans="1:6" x14ac:dyDescent="0.25">
      <c r="A61" t="s">
        <v>606</v>
      </c>
      <c r="B61" t="s">
        <v>108</v>
      </c>
      <c r="C61" t="s">
        <v>144</v>
      </c>
      <c r="D61" t="s">
        <v>4</v>
      </c>
      <c r="E61" t="s">
        <v>11</v>
      </c>
      <c r="F61">
        <v>11</v>
      </c>
    </row>
    <row r="62" spans="1:6" x14ac:dyDescent="0.25">
      <c r="A62" t="s">
        <v>606</v>
      </c>
      <c r="B62" t="s">
        <v>108</v>
      </c>
      <c r="C62" t="s">
        <v>235</v>
      </c>
      <c r="D62" t="s">
        <v>3</v>
      </c>
      <c r="E62" t="s">
        <v>211</v>
      </c>
      <c r="F62">
        <v>84.1</v>
      </c>
    </row>
    <row r="63" spans="1:6" x14ac:dyDescent="0.25">
      <c r="A63" t="s">
        <v>606</v>
      </c>
      <c r="B63" t="s">
        <v>108</v>
      </c>
      <c r="C63" t="s">
        <v>235</v>
      </c>
      <c r="D63" t="s">
        <v>4</v>
      </c>
      <c r="E63" t="s">
        <v>11</v>
      </c>
      <c r="F63">
        <v>84.1</v>
      </c>
    </row>
    <row r="64" spans="1:6" x14ac:dyDescent="0.25">
      <c r="A64" t="s">
        <v>606</v>
      </c>
      <c r="B64" t="s">
        <v>108</v>
      </c>
      <c r="C64" t="s">
        <v>185</v>
      </c>
      <c r="D64" t="s">
        <v>3</v>
      </c>
      <c r="E64" t="s">
        <v>211</v>
      </c>
      <c r="F64">
        <v>72.3</v>
      </c>
    </row>
    <row r="65" spans="1:6" x14ac:dyDescent="0.25">
      <c r="A65" t="s">
        <v>606</v>
      </c>
      <c r="B65" t="s">
        <v>108</v>
      </c>
      <c r="C65" t="s">
        <v>185</v>
      </c>
      <c r="D65" t="s">
        <v>5</v>
      </c>
      <c r="E65" t="s">
        <v>27</v>
      </c>
      <c r="F65">
        <v>-72.3</v>
      </c>
    </row>
    <row r="66" spans="1:6" x14ac:dyDescent="0.25">
      <c r="A66" t="s">
        <v>606</v>
      </c>
      <c r="B66" t="s">
        <v>108</v>
      </c>
      <c r="C66" t="s">
        <v>250</v>
      </c>
      <c r="D66" t="s">
        <v>3</v>
      </c>
      <c r="E66" t="s">
        <v>50</v>
      </c>
      <c r="F66">
        <v>12</v>
      </c>
    </row>
    <row r="67" spans="1:6" x14ac:dyDescent="0.25">
      <c r="A67" t="s">
        <v>606</v>
      </c>
      <c r="B67" t="s">
        <v>108</v>
      </c>
      <c r="C67" t="s">
        <v>250</v>
      </c>
      <c r="D67" t="s">
        <v>4</v>
      </c>
      <c r="E67" t="s">
        <v>11</v>
      </c>
      <c r="F67">
        <v>12</v>
      </c>
    </row>
    <row r="68" spans="1:6" x14ac:dyDescent="0.25">
      <c r="A68" t="s">
        <v>606</v>
      </c>
      <c r="B68" t="s">
        <v>108</v>
      </c>
      <c r="C68" t="s">
        <v>208</v>
      </c>
      <c r="D68" t="s">
        <v>3</v>
      </c>
      <c r="E68" t="s">
        <v>54</v>
      </c>
      <c r="F68">
        <v>24.8</v>
      </c>
    </row>
    <row r="69" spans="1:6" x14ac:dyDescent="0.25">
      <c r="A69" t="s">
        <v>606</v>
      </c>
      <c r="B69" t="s">
        <v>108</v>
      </c>
      <c r="C69" t="s">
        <v>208</v>
      </c>
      <c r="D69" t="s">
        <v>5</v>
      </c>
      <c r="E69" t="s">
        <v>27</v>
      </c>
      <c r="F69">
        <v>-24.8</v>
      </c>
    </row>
    <row r="70" spans="1:6" x14ac:dyDescent="0.25">
      <c r="A70" t="s">
        <v>606</v>
      </c>
      <c r="B70" t="s">
        <v>108</v>
      </c>
      <c r="C70" t="s">
        <v>222</v>
      </c>
      <c r="E70" t="s">
        <v>565</v>
      </c>
    </row>
    <row r="71" spans="1:6" x14ac:dyDescent="0.25">
      <c r="A71" t="s">
        <v>606</v>
      </c>
      <c r="B71" t="s">
        <v>108</v>
      </c>
      <c r="C71" t="s">
        <v>222</v>
      </c>
      <c r="D71" t="s">
        <v>4</v>
      </c>
      <c r="E71" t="s">
        <v>11</v>
      </c>
      <c r="F71">
        <v>14.5</v>
      </c>
    </row>
    <row r="72" spans="1:6" x14ac:dyDescent="0.25">
      <c r="A72" t="s">
        <v>606</v>
      </c>
      <c r="B72" t="s">
        <v>108</v>
      </c>
      <c r="C72" t="s">
        <v>119</v>
      </c>
      <c r="D72" t="s">
        <v>3</v>
      </c>
      <c r="E72" t="s">
        <v>50</v>
      </c>
      <c r="F72">
        <v>51.3</v>
      </c>
    </row>
    <row r="73" spans="1:6" x14ac:dyDescent="0.25">
      <c r="A73" t="s">
        <v>606</v>
      </c>
      <c r="B73" t="s">
        <v>108</v>
      </c>
      <c r="C73" t="s">
        <v>119</v>
      </c>
      <c r="D73" t="s">
        <v>4</v>
      </c>
      <c r="E73" t="s">
        <v>11</v>
      </c>
      <c r="F73">
        <v>51.3</v>
      </c>
    </row>
    <row r="74" spans="1:6" x14ac:dyDescent="0.25">
      <c r="A74" t="s">
        <v>606</v>
      </c>
      <c r="B74" t="s">
        <v>108</v>
      </c>
      <c r="C74" t="s">
        <v>245</v>
      </c>
      <c r="D74" t="s">
        <v>3</v>
      </c>
      <c r="E74" t="s">
        <v>48</v>
      </c>
      <c r="F74">
        <v>55.2</v>
      </c>
    </row>
    <row r="75" spans="1:6" x14ac:dyDescent="0.25">
      <c r="A75" t="s">
        <v>606</v>
      </c>
      <c r="B75" t="s">
        <v>108</v>
      </c>
      <c r="C75" t="s">
        <v>245</v>
      </c>
      <c r="D75" t="s">
        <v>5</v>
      </c>
      <c r="E75" t="s">
        <v>27</v>
      </c>
      <c r="F75">
        <v>-55.2</v>
      </c>
    </row>
    <row r="76" spans="1:6" x14ac:dyDescent="0.25">
      <c r="A76" t="s">
        <v>606</v>
      </c>
      <c r="B76" t="s">
        <v>108</v>
      </c>
      <c r="C76" t="s">
        <v>185</v>
      </c>
      <c r="D76" t="s">
        <v>3</v>
      </c>
      <c r="E76" t="s">
        <v>211</v>
      </c>
      <c r="F76">
        <v>81.97</v>
      </c>
    </row>
    <row r="77" spans="1:6" x14ac:dyDescent="0.25">
      <c r="A77" t="s">
        <v>606</v>
      </c>
      <c r="B77" t="s">
        <v>108</v>
      </c>
      <c r="C77" t="s">
        <v>185</v>
      </c>
      <c r="D77" t="s">
        <v>4</v>
      </c>
      <c r="E77" t="s">
        <v>11</v>
      </c>
      <c r="F77">
        <v>81.97</v>
      </c>
    </row>
    <row r="78" spans="1:6" x14ac:dyDescent="0.25">
      <c r="A78" t="s">
        <v>606</v>
      </c>
      <c r="B78" t="s">
        <v>108</v>
      </c>
      <c r="C78" t="s">
        <v>252</v>
      </c>
      <c r="D78" t="s">
        <v>5</v>
      </c>
      <c r="E78" t="s">
        <v>2</v>
      </c>
      <c r="F78">
        <v>45</v>
      </c>
    </row>
    <row r="79" spans="1:6" x14ac:dyDescent="0.25">
      <c r="A79" t="s">
        <v>606</v>
      </c>
      <c r="B79" t="s">
        <v>108</v>
      </c>
      <c r="C79" t="s">
        <v>252</v>
      </c>
      <c r="D79" t="s">
        <v>5</v>
      </c>
      <c r="E79" t="s">
        <v>27</v>
      </c>
      <c r="F79">
        <v>-45</v>
      </c>
    </row>
    <row r="80" spans="1:6" x14ac:dyDescent="0.25">
      <c r="A80" t="s">
        <v>606</v>
      </c>
      <c r="B80" t="s">
        <v>108</v>
      </c>
      <c r="C80" t="s">
        <v>235</v>
      </c>
      <c r="D80" t="s">
        <v>3</v>
      </c>
      <c r="E80" t="s">
        <v>211</v>
      </c>
      <c r="F80">
        <v>97</v>
      </c>
    </row>
    <row r="81" spans="1:6" x14ac:dyDescent="0.25">
      <c r="A81" t="s">
        <v>606</v>
      </c>
      <c r="B81" t="s">
        <v>108</v>
      </c>
      <c r="C81" t="s">
        <v>235</v>
      </c>
      <c r="D81" t="s">
        <v>4</v>
      </c>
      <c r="E81" t="s">
        <v>11</v>
      </c>
      <c r="F81">
        <v>97</v>
      </c>
    </row>
    <row r="82" spans="1:6" x14ac:dyDescent="0.25">
      <c r="A82" t="s">
        <v>606</v>
      </c>
      <c r="B82" t="s">
        <v>108</v>
      </c>
      <c r="C82" t="s">
        <v>319</v>
      </c>
      <c r="D82" t="s">
        <v>3</v>
      </c>
      <c r="E82" t="s">
        <v>503</v>
      </c>
      <c r="F82">
        <v>5</v>
      </c>
    </row>
    <row r="83" spans="1:6" x14ac:dyDescent="0.25">
      <c r="A83" t="s">
        <v>606</v>
      </c>
      <c r="B83" t="s">
        <v>108</v>
      </c>
      <c r="C83" t="s">
        <v>319</v>
      </c>
      <c r="D83" t="s">
        <v>4</v>
      </c>
      <c r="E83" t="s">
        <v>11</v>
      </c>
      <c r="F83">
        <v>5</v>
      </c>
    </row>
    <row r="84" spans="1:6" x14ac:dyDescent="0.25">
      <c r="A84" t="s">
        <v>606</v>
      </c>
      <c r="B84" t="s">
        <v>108</v>
      </c>
      <c r="C84" t="s">
        <v>240</v>
      </c>
      <c r="D84" t="s">
        <v>4</v>
      </c>
      <c r="E84" t="s">
        <v>11</v>
      </c>
      <c r="F84">
        <v>-1330.36</v>
      </c>
    </row>
    <row r="85" spans="1:6" x14ac:dyDescent="0.25">
      <c r="A85" t="s">
        <v>606</v>
      </c>
      <c r="B85" t="s">
        <v>108</v>
      </c>
      <c r="C85" t="s">
        <v>240</v>
      </c>
      <c r="D85" t="s">
        <v>5</v>
      </c>
      <c r="E85" t="s">
        <v>27</v>
      </c>
      <c r="F85">
        <v>-1330.36</v>
      </c>
    </row>
    <row r="86" spans="1:6" x14ac:dyDescent="0.25">
      <c r="A86" t="s">
        <v>606</v>
      </c>
      <c r="B86" t="s">
        <v>108</v>
      </c>
      <c r="C86" t="s">
        <v>253</v>
      </c>
      <c r="D86" t="s">
        <v>3</v>
      </c>
      <c r="E86" t="s">
        <v>503</v>
      </c>
      <c r="F86">
        <v>3.95</v>
      </c>
    </row>
    <row r="87" spans="1:6" x14ac:dyDescent="0.25">
      <c r="A87" t="s">
        <v>606</v>
      </c>
      <c r="B87" t="s">
        <v>108</v>
      </c>
      <c r="C87" t="s">
        <v>253</v>
      </c>
      <c r="D87" t="s">
        <v>5</v>
      </c>
      <c r="E87" t="s">
        <v>27</v>
      </c>
      <c r="F87">
        <v>-3.95</v>
      </c>
    </row>
    <row r="88" spans="1:6" x14ac:dyDescent="0.25">
      <c r="A88" t="s">
        <v>613</v>
      </c>
      <c r="B88" t="s">
        <v>158</v>
      </c>
      <c r="C88" t="s">
        <v>343</v>
      </c>
      <c r="D88" t="s">
        <v>4</v>
      </c>
      <c r="E88" t="s">
        <v>47</v>
      </c>
      <c r="F88">
        <v>4949</v>
      </c>
    </row>
    <row r="89" spans="1:6" x14ac:dyDescent="0.25">
      <c r="A89" t="s">
        <v>607</v>
      </c>
      <c r="B89" t="s">
        <v>108</v>
      </c>
      <c r="C89" t="s">
        <v>193</v>
      </c>
      <c r="D89" t="s">
        <v>16</v>
      </c>
      <c r="E89" t="s">
        <v>214</v>
      </c>
      <c r="F89">
        <v>3250</v>
      </c>
    </row>
    <row r="90" spans="1:6" x14ac:dyDescent="0.25">
      <c r="A90" t="s">
        <v>607</v>
      </c>
      <c r="B90" t="s">
        <v>109</v>
      </c>
      <c r="C90" t="s">
        <v>193</v>
      </c>
      <c r="D90" t="s">
        <v>16</v>
      </c>
      <c r="E90" t="s">
        <v>214</v>
      </c>
      <c r="F90">
        <v>3250</v>
      </c>
    </row>
    <row r="91" spans="1:6" x14ac:dyDescent="0.25">
      <c r="A91" t="s">
        <v>607</v>
      </c>
      <c r="B91" t="s">
        <v>110</v>
      </c>
      <c r="C91" t="s">
        <v>193</v>
      </c>
      <c r="D91" t="s">
        <v>16</v>
      </c>
      <c r="E91" t="s">
        <v>214</v>
      </c>
      <c r="F91">
        <v>3250</v>
      </c>
    </row>
    <row r="92" spans="1:6" x14ac:dyDescent="0.25">
      <c r="A92" t="s">
        <v>607</v>
      </c>
      <c r="B92" t="s">
        <v>111</v>
      </c>
      <c r="C92" t="s">
        <v>193</v>
      </c>
      <c r="D92" t="s">
        <v>16</v>
      </c>
      <c r="E92" t="s">
        <v>214</v>
      </c>
      <c r="F92">
        <v>3250</v>
      </c>
    </row>
    <row r="93" spans="1:6" x14ac:dyDescent="0.25">
      <c r="A93" t="s">
        <v>607</v>
      </c>
      <c r="B93" t="s">
        <v>112</v>
      </c>
      <c r="C93" t="s">
        <v>193</v>
      </c>
      <c r="D93" t="s">
        <v>16</v>
      </c>
      <c r="E93" t="s">
        <v>214</v>
      </c>
      <c r="F93">
        <v>3250</v>
      </c>
    </row>
    <row r="94" spans="1:6" x14ac:dyDescent="0.25">
      <c r="A94" t="s">
        <v>607</v>
      </c>
      <c r="B94" t="s">
        <v>124</v>
      </c>
      <c r="C94" t="s">
        <v>193</v>
      </c>
      <c r="D94" t="s">
        <v>16</v>
      </c>
      <c r="E94" t="s">
        <v>214</v>
      </c>
      <c r="F94">
        <v>3250</v>
      </c>
    </row>
    <row r="95" spans="1:6" x14ac:dyDescent="0.25">
      <c r="A95" t="s">
        <v>607</v>
      </c>
      <c r="B95" t="s">
        <v>160</v>
      </c>
      <c r="C95" t="s">
        <v>193</v>
      </c>
      <c r="D95" t="s">
        <v>16</v>
      </c>
      <c r="E95" t="s">
        <v>214</v>
      </c>
      <c r="F95">
        <v>3250</v>
      </c>
    </row>
    <row r="96" spans="1:6" x14ac:dyDescent="0.25">
      <c r="A96" t="s">
        <v>607</v>
      </c>
      <c r="B96" t="s">
        <v>159</v>
      </c>
      <c r="C96" t="s">
        <v>193</v>
      </c>
      <c r="D96" t="s">
        <v>16</v>
      </c>
      <c r="E96" t="s">
        <v>214</v>
      </c>
      <c r="F96">
        <v>3250</v>
      </c>
    </row>
    <row r="97" spans="1:6" x14ac:dyDescent="0.25">
      <c r="A97" t="s">
        <v>607</v>
      </c>
      <c r="B97" t="s">
        <v>158</v>
      </c>
      <c r="C97" t="s">
        <v>193</v>
      </c>
      <c r="D97" t="s">
        <v>16</v>
      </c>
      <c r="E97" t="s">
        <v>214</v>
      </c>
      <c r="F97">
        <v>3250</v>
      </c>
    </row>
    <row r="98" spans="1:6" x14ac:dyDescent="0.25">
      <c r="A98" t="s">
        <v>607</v>
      </c>
      <c r="B98" t="s">
        <v>157</v>
      </c>
      <c r="C98" t="s">
        <v>193</v>
      </c>
      <c r="D98" t="s">
        <v>16</v>
      </c>
      <c r="E98" t="s">
        <v>214</v>
      </c>
      <c r="F98">
        <v>3250</v>
      </c>
    </row>
    <row r="99" spans="1:6" x14ac:dyDescent="0.25">
      <c r="A99" t="s">
        <v>607</v>
      </c>
      <c r="B99" t="s">
        <v>156</v>
      </c>
      <c r="C99" t="s">
        <v>193</v>
      </c>
      <c r="D99" t="s">
        <v>16</v>
      </c>
      <c r="E99" t="s">
        <v>214</v>
      </c>
      <c r="F99">
        <v>3250</v>
      </c>
    </row>
    <row r="100" spans="1:6" x14ac:dyDescent="0.25">
      <c r="A100" t="s">
        <v>607</v>
      </c>
      <c r="B100" t="s">
        <v>113</v>
      </c>
      <c r="C100" t="s">
        <v>193</v>
      </c>
      <c r="D100" t="s">
        <v>16</v>
      </c>
      <c r="E100" t="s">
        <v>214</v>
      </c>
      <c r="F100">
        <v>3250</v>
      </c>
    </row>
    <row r="101" spans="1:6" x14ac:dyDescent="0.25">
      <c r="A101" t="s">
        <v>607</v>
      </c>
      <c r="B101" t="s">
        <v>158</v>
      </c>
      <c r="C101" t="s">
        <v>348</v>
      </c>
      <c r="D101" t="s">
        <v>16</v>
      </c>
      <c r="E101" t="s">
        <v>58</v>
      </c>
      <c r="F101">
        <v>500</v>
      </c>
    </row>
    <row r="102" spans="1:6" x14ac:dyDescent="0.25">
      <c r="A102" t="s">
        <v>607</v>
      </c>
      <c r="B102" t="s">
        <v>113</v>
      </c>
      <c r="C102" t="s">
        <v>348</v>
      </c>
      <c r="D102" t="s">
        <v>16</v>
      </c>
      <c r="E102" t="s">
        <v>58</v>
      </c>
      <c r="F102">
        <v>500</v>
      </c>
    </row>
    <row r="103" spans="1:6" x14ac:dyDescent="0.25">
      <c r="A103" t="s">
        <v>608</v>
      </c>
      <c r="B103" t="s">
        <v>108</v>
      </c>
      <c r="C103" t="s">
        <v>213</v>
      </c>
      <c r="D103" t="s">
        <v>3</v>
      </c>
      <c r="E103" t="s">
        <v>212</v>
      </c>
      <c r="F103">
        <v>0</v>
      </c>
    </row>
    <row r="104" spans="1:6" x14ac:dyDescent="0.25">
      <c r="A104" t="s">
        <v>608</v>
      </c>
      <c r="B104" t="s">
        <v>109</v>
      </c>
      <c r="C104" t="s">
        <v>213</v>
      </c>
      <c r="D104" t="s">
        <v>3</v>
      </c>
      <c r="E104" t="s">
        <v>212</v>
      </c>
      <c r="F104">
        <v>0</v>
      </c>
    </row>
    <row r="105" spans="1:6" x14ac:dyDescent="0.25">
      <c r="A105" t="s">
        <v>608</v>
      </c>
      <c r="B105" t="s">
        <v>110</v>
      </c>
      <c r="C105" t="s">
        <v>213</v>
      </c>
      <c r="D105" t="s">
        <v>3</v>
      </c>
      <c r="E105" t="s">
        <v>212</v>
      </c>
      <c r="F105">
        <v>0</v>
      </c>
    </row>
    <row r="106" spans="1:6" x14ac:dyDescent="0.25">
      <c r="A106" t="s">
        <v>608</v>
      </c>
      <c r="B106" t="s">
        <v>111</v>
      </c>
      <c r="C106" t="s">
        <v>213</v>
      </c>
      <c r="D106" t="s">
        <v>3</v>
      </c>
      <c r="E106" t="s">
        <v>212</v>
      </c>
      <c r="F106">
        <v>0</v>
      </c>
    </row>
    <row r="107" spans="1:6" x14ac:dyDescent="0.25">
      <c r="A107" t="s">
        <v>608</v>
      </c>
      <c r="B107" t="s">
        <v>112</v>
      </c>
      <c r="C107" t="s">
        <v>213</v>
      </c>
      <c r="D107" t="s">
        <v>3</v>
      </c>
      <c r="E107" t="s">
        <v>212</v>
      </c>
      <c r="F107">
        <v>0</v>
      </c>
    </row>
    <row r="108" spans="1:6" x14ac:dyDescent="0.25">
      <c r="A108" t="s">
        <v>608</v>
      </c>
      <c r="B108" t="s">
        <v>124</v>
      </c>
      <c r="C108" t="s">
        <v>213</v>
      </c>
      <c r="D108" t="s">
        <v>3</v>
      </c>
      <c r="E108" t="s">
        <v>212</v>
      </c>
      <c r="F108">
        <v>0</v>
      </c>
    </row>
    <row r="109" spans="1:6" x14ac:dyDescent="0.25">
      <c r="A109" t="s">
        <v>608</v>
      </c>
      <c r="B109" t="s">
        <v>160</v>
      </c>
      <c r="C109" t="s">
        <v>213</v>
      </c>
      <c r="D109" t="s">
        <v>3</v>
      </c>
      <c r="E109" t="s">
        <v>212</v>
      </c>
      <c r="F109">
        <v>0</v>
      </c>
    </row>
    <row r="110" spans="1:6" x14ac:dyDescent="0.25">
      <c r="A110" t="s">
        <v>608</v>
      </c>
      <c r="B110" t="s">
        <v>158</v>
      </c>
      <c r="C110" t="s">
        <v>213</v>
      </c>
      <c r="D110" t="s">
        <v>3</v>
      </c>
      <c r="E110" t="s">
        <v>212</v>
      </c>
      <c r="F110">
        <v>0</v>
      </c>
    </row>
    <row r="111" spans="1:6" x14ac:dyDescent="0.25">
      <c r="A111" t="s">
        <v>608</v>
      </c>
      <c r="B111" t="s">
        <v>157</v>
      </c>
      <c r="C111" t="s">
        <v>213</v>
      </c>
      <c r="D111" t="s">
        <v>3</v>
      </c>
      <c r="E111" t="s">
        <v>212</v>
      </c>
      <c r="F111">
        <v>0</v>
      </c>
    </row>
    <row r="112" spans="1:6" x14ac:dyDescent="0.25">
      <c r="A112" t="s">
        <v>608</v>
      </c>
      <c r="B112" t="s">
        <v>156</v>
      </c>
      <c r="C112" t="s">
        <v>213</v>
      </c>
      <c r="D112" t="s">
        <v>3</v>
      </c>
      <c r="E112" t="s">
        <v>212</v>
      </c>
      <c r="F112">
        <v>500</v>
      </c>
    </row>
    <row r="113" spans="1:6" x14ac:dyDescent="0.25">
      <c r="A113" t="s">
        <v>608</v>
      </c>
      <c r="B113" t="s">
        <v>113</v>
      </c>
      <c r="C113" t="s">
        <v>213</v>
      </c>
      <c r="D113" t="s">
        <v>3</v>
      </c>
      <c r="E113" t="s">
        <v>212</v>
      </c>
      <c r="F113">
        <v>0</v>
      </c>
    </row>
    <row r="114" spans="1:6" x14ac:dyDescent="0.25">
      <c r="A114" t="s">
        <v>608</v>
      </c>
      <c r="B114" t="s">
        <v>108</v>
      </c>
      <c r="C114" t="s">
        <v>319</v>
      </c>
      <c r="D114" t="s">
        <v>3</v>
      </c>
      <c r="E114" t="s">
        <v>53</v>
      </c>
      <c r="F114">
        <v>3</v>
      </c>
    </row>
    <row r="115" spans="1:6" x14ac:dyDescent="0.25">
      <c r="A115" t="s">
        <v>608</v>
      </c>
      <c r="B115" t="s">
        <v>109</v>
      </c>
      <c r="C115" t="s">
        <v>319</v>
      </c>
      <c r="D115" t="s">
        <v>3</v>
      </c>
      <c r="E115" t="s">
        <v>53</v>
      </c>
      <c r="F115">
        <v>3</v>
      </c>
    </row>
    <row r="116" spans="1:6" x14ac:dyDescent="0.25">
      <c r="A116" t="s">
        <v>608</v>
      </c>
      <c r="B116" t="s">
        <v>110</v>
      </c>
      <c r="C116" t="s">
        <v>319</v>
      </c>
      <c r="D116" t="s">
        <v>3</v>
      </c>
      <c r="E116" t="s">
        <v>53</v>
      </c>
      <c r="F116">
        <v>3</v>
      </c>
    </row>
    <row r="117" spans="1:6" x14ac:dyDescent="0.25">
      <c r="A117" t="s">
        <v>608</v>
      </c>
      <c r="B117" t="s">
        <v>111</v>
      </c>
      <c r="C117" t="s">
        <v>319</v>
      </c>
      <c r="D117" t="s">
        <v>3</v>
      </c>
      <c r="E117" t="s">
        <v>53</v>
      </c>
      <c r="F117">
        <v>3</v>
      </c>
    </row>
    <row r="118" spans="1:6" x14ac:dyDescent="0.25">
      <c r="A118" t="s">
        <v>608</v>
      </c>
      <c r="B118" t="s">
        <v>112</v>
      </c>
      <c r="C118" t="s">
        <v>319</v>
      </c>
      <c r="D118" t="s">
        <v>3</v>
      </c>
      <c r="E118" t="s">
        <v>53</v>
      </c>
      <c r="F118">
        <v>3</v>
      </c>
    </row>
    <row r="119" spans="1:6" x14ac:dyDescent="0.25">
      <c r="A119" t="s">
        <v>608</v>
      </c>
      <c r="B119" t="s">
        <v>124</v>
      </c>
      <c r="C119" t="s">
        <v>319</v>
      </c>
      <c r="D119" t="s">
        <v>3</v>
      </c>
      <c r="E119" t="s">
        <v>53</v>
      </c>
      <c r="F119">
        <v>3</v>
      </c>
    </row>
    <row r="120" spans="1:6" x14ac:dyDescent="0.25">
      <c r="A120" t="s">
        <v>608</v>
      </c>
      <c r="B120" t="s">
        <v>160</v>
      </c>
      <c r="C120" t="s">
        <v>319</v>
      </c>
      <c r="D120" t="s">
        <v>3</v>
      </c>
      <c r="E120" t="s">
        <v>53</v>
      </c>
      <c r="F120">
        <v>3</v>
      </c>
    </row>
    <row r="121" spans="1:6" x14ac:dyDescent="0.25">
      <c r="A121" t="s">
        <v>608</v>
      </c>
      <c r="B121" t="s">
        <v>159</v>
      </c>
      <c r="C121" t="s">
        <v>319</v>
      </c>
      <c r="D121" t="s">
        <v>3</v>
      </c>
      <c r="E121" t="s">
        <v>53</v>
      </c>
      <c r="F121">
        <v>3</v>
      </c>
    </row>
    <row r="122" spans="1:6" x14ac:dyDescent="0.25">
      <c r="A122" t="s">
        <v>608</v>
      </c>
      <c r="B122" t="s">
        <v>158</v>
      </c>
      <c r="C122" t="s">
        <v>319</v>
      </c>
      <c r="D122" t="s">
        <v>3</v>
      </c>
      <c r="E122" t="s">
        <v>53</v>
      </c>
      <c r="F122">
        <v>3</v>
      </c>
    </row>
    <row r="123" spans="1:6" x14ac:dyDescent="0.25">
      <c r="A123" t="s">
        <v>608</v>
      </c>
      <c r="B123" t="s">
        <v>157</v>
      </c>
      <c r="C123" t="s">
        <v>319</v>
      </c>
      <c r="D123" t="s">
        <v>3</v>
      </c>
      <c r="E123" t="s">
        <v>53</v>
      </c>
      <c r="F123">
        <v>3</v>
      </c>
    </row>
    <row r="124" spans="1:6" x14ac:dyDescent="0.25">
      <c r="A124" t="s">
        <v>608</v>
      </c>
      <c r="B124" t="s">
        <v>156</v>
      </c>
      <c r="C124" t="s">
        <v>319</v>
      </c>
      <c r="D124" t="s">
        <v>3</v>
      </c>
      <c r="E124" t="s">
        <v>53</v>
      </c>
      <c r="F124">
        <v>3</v>
      </c>
    </row>
    <row r="125" spans="1:6" x14ac:dyDescent="0.25">
      <c r="A125" t="s">
        <v>608</v>
      </c>
      <c r="B125" t="s">
        <v>113</v>
      </c>
      <c r="C125" t="s">
        <v>319</v>
      </c>
      <c r="D125" t="s">
        <v>3</v>
      </c>
      <c r="E125" t="s">
        <v>53</v>
      </c>
      <c r="F125">
        <v>3</v>
      </c>
    </row>
    <row r="126" spans="1:6" x14ac:dyDescent="0.25">
      <c r="A126" t="s">
        <v>608</v>
      </c>
      <c r="B126" t="s">
        <v>108</v>
      </c>
      <c r="C126" t="s">
        <v>143</v>
      </c>
      <c r="D126" t="s">
        <v>3</v>
      </c>
      <c r="E126" t="s">
        <v>51</v>
      </c>
      <c r="F126">
        <v>0</v>
      </c>
    </row>
    <row r="127" spans="1:6" x14ac:dyDescent="0.25">
      <c r="A127" t="s">
        <v>608</v>
      </c>
      <c r="B127" t="s">
        <v>109</v>
      </c>
      <c r="C127" t="s">
        <v>143</v>
      </c>
      <c r="D127" t="s">
        <v>3</v>
      </c>
      <c r="E127" t="s">
        <v>51</v>
      </c>
      <c r="F127">
        <v>0</v>
      </c>
    </row>
    <row r="128" spans="1:6" x14ac:dyDescent="0.25">
      <c r="A128" t="s">
        <v>608</v>
      </c>
      <c r="B128" t="s">
        <v>110</v>
      </c>
      <c r="C128" t="s">
        <v>143</v>
      </c>
      <c r="D128" t="s">
        <v>3</v>
      </c>
      <c r="E128" t="s">
        <v>51</v>
      </c>
      <c r="F128">
        <v>0</v>
      </c>
    </row>
    <row r="129" spans="1:6" x14ac:dyDescent="0.25">
      <c r="A129" t="s">
        <v>608</v>
      </c>
      <c r="B129" t="s">
        <v>111</v>
      </c>
      <c r="C129" t="s">
        <v>143</v>
      </c>
      <c r="D129" t="s">
        <v>3</v>
      </c>
      <c r="E129" t="s">
        <v>51</v>
      </c>
      <c r="F129">
        <v>0</v>
      </c>
    </row>
    <row r="130" spans="1:6" x14ac:dyDescent="0.25">
      <c r="A130" t="s">
        <v>608</v>
      </c>
      <c r="B130" t="s">
        <v>112</v>
      </c>
      <c r="C130" t="s">
        <v>143</v>
      </c>
      <c r="D130" t="s">
        <v>3</v>
      </c>
      <c r="E130" t="s">
        <v>51</v>
      </c>
      <c r="F130">
        <v>0</v>
      </c>
    </row>
    <row r="131" spans="1:6" x14ac:dyDescent="0.25">
      <c r="A131" t="s">
        <v>608</v>
      </c>
      <c r="B131" t="s">
        <v>124</v>
      </c>
      <c r="C131" t="s">
        <v>143</v>
      </c>
      <c r="D131" t="s">
        <v>3</v>
      </c>
      <c r="E131" t="s">
        <v>51</v>
      </c>
      <c r="F131">
        <v>0</v>
      </c>
    </row>
    <row r="132" spans="1:6" x14ac:dyDescent="0.25">
      <c r="A132" t="s">
        <v>608</v>
      </c>
      <c r="B132" t="s">
        <v>160</v>
      </c>
      <c r="C132" t="s">
        <v>143</v>
      </c>
      <c r="D132" t="s">
        <v>3</v>
      </c>
      <c r="E132" t="s">
        <v>51</v>
      </c>
      <c r="F132">
        <v>0</v>
      </c>
    </row>
    <row r="133" spans="1:6" x14ac:dyDescent="0.25">
      <c r="A133" t="s">
        <v>608</v>
      </c>
      <c r="B133" t="s">
        <v>159</v>
      </c>
      <c r="C133" t="s">
        <v>143</v>
      </c>
      <c r="D133" t="s">
        <v>3</v>
      </c>
      <c r="E133" t="s">
        <v>51</v>
      </c>
      <c r="F133">
        <v>0</v>
      </c>
    </row>
    <row r="134" spans="1:6" x14ac:dyDescent="0.25">
      <c r="A134" t="s">
        <v>608</v>
      </c>
      <c r="B134" t="s">
        <v>157</v>
      </c>
      <c r="C134" t="s">
        <v>143</v>
      </c>
      <c r="D134" t="s">
        <v>3</v>
      </c>
      <c r="E134" t="s">
        <v>51</v>
      </c>
      <c r="F134">
        <v>60</v>
      </c>
    </row>
    <row r="135" spans="1:6" x14ac:dyDescent="0.25">
      <c r="A135" t="s">
        <v>608</v>
      </c>
      <c r="B135" t="s">
        <v>156</v>
      </c>
      <c r="C135" t="s">
        <v>143</v>
      </c>
      <c r="D135" t="s">
        <v>3</v>
      </c>
      <c r="E135" t="s">
        <v>51</v>
      </c>
      <c r="F135">
        <v>0</v>
      </c>
    </row>
    <row r="136" spans="1:6" x14ac:dyDescent="0.25">
      <c r="A136" t="s">
        <v>608</v>
      </c>
      <c r="B136" t="s">
        <v>113</v>
      </c>
      <c r="C136" t="s">
        <v>143</v>
      </c>
      <c r="D136" t="s">
        <v>3</v>
      </c>
      <c r="E136" t="s">
        <v>51</v>
      </c>
      <c r="F136">
        <v>0</v>
      </c>
    </row>
    <row r="137" spans="1:6" x14ac:dyDescent="0.25">
      <c r="A137" t="s">
        <v>608</v>
      </c>
      <c r="B137" t="s">
        <v>108</v>
      </c>
      <c r="C137" t="s">
        <v>185</v>
      </c>
      <c r="D137" t="s">
        <v>3</v>
      </c>
      <c r="E137" t="s">
        <v>211</v>
      </c>
      <c r="F137">
        <v>500</v>
      </c>
    </row>
    <row r="138" spans="1:6" x14ac:dyDescent="0.25">
      <c r="A138" t="s">
        <v>608</v>
      </c>
      <c r="B138" t="s">
        <v>109</v>
      </c>
      <c r="C138" t="s">
        <v>185</v>
      </c>
      <c r="D138" t="s">
        <v>3</v>
      </c>
      <c r="E138" t="s">
        <v>211</v>
      </c>
      <c r="F138">
        <v>500</v>
      </c>
    </row>
    <row r="139" spans="1:6" x14ac:dyDescent="0.25">
      <c r="A139" t="s">
        <v>608</v>
      </c>
      <c r="B139" t="s">
        <v>110</v>
      </c>
      <c r="C139" t="s">
        <v>185</v>
      </c>
      <c r="D139" t="s">
        <v>3</v>
      </c>
      <c r="E139" t="s">
        <v>211</v>
      </c>
      <c r="F139">
        <v>500</v>
      </c>
    </row>
    <row r="140" spans="1:6" x14ac:dyDescent="0.25">
      <c r="A140" t="s">
        <v>608</v>
      </c>
      <c r="B140" t="s">
        <v>111</v>
      </c>
      <c r="C140" t="s">
        <v>185</v>
      </c>
      <c r="D140" t="s">
        <v>3</v>
      </c>
      <c r="E140" t="s">
        <v>211</v>
      </c>
      <c r="F140">
        <v>500</v>
      </c>
    </row>
    <row r="141" spans="1:6" x14ac:dyDescent="0.25">
      <c r="A141" t="s">
        <v>608</v>
      </c>
      <c r="B141" t="s">
        <v>112</v>
      </c>
      <c r="C141" t="s">
        <v>185</v>
      </c>
      <c r="D141" t="s">
        <v>3</v>
      </c>
      <c r="E141" t="s">
        <v>211</v>
      </c>
      <c r="F141">
        <v>500</v>
      </c>
    </row>
    <row r="142" spans="1:6" x14ac:dyDescent="0.25">
      <c r="A142" t="s">
        <v>608</v>
      </c>
      <c r="B142" t="s">
        <v>124</v>
      </c>
      <c r="C142" t="s">
        <v>185</v>
      </c>
      <c r="D142" t="s">
        <v>3</v>
      </c>
      <c r="E142" t="s">
        <v>211</v>
      </c>
      <c r="F142">
        <v>500</v>
      </c>
    </row>
    <row r="143" spans="1:6" x14ac:dyDescent="0.25">
      <c r="A143" t="s">
        <v>608</v>
      </c>
      <c r="B143" t="s">
        <v>160</v>
      </c>
      <c r="C143" t="s">
        <v>185</v>
      </c>
      <c r="D143" t="s">
        <v>3</v>
      </c>
      <c r="E143" t="s">
        <v>211</v>
      </c>
      <c r="F143">
        <v>500</v>
      </c>
    </row>
    <row r="144" spans="1:6" x14ac:dyDescent="0.25">
      <c r="A144" t="s">
        <v>608</v>
      </c>
      <c r="B144" t="s">
        <v>159</v>
      </c>
      <c r="C144" t="s">
        <v>185</v>
      </c>
      <c r="D144" t="s">
        <v>3</v>
      </c>
      <c r="E144" t="s">
        <v>211</v>
      </c>
      <c r="F144">
        <v>500</v>
      </c>
    </row>
    <row r="145" spans="1:6" x14ac:dyDescent="0.25">
      <c r="A145" t="s">
        <v>608</v>
      </c>
      <c r="B145" t="s">
        <v>158</v>
      </c>
      <c r="C145" t="s">
        <v>185</v>
      </c>
      <c r="D145" t="s">
        <v>3</v>
      </c>
      <c r="E145" t="s">
        <v>211</v>
      </c>
      <c r="F145">
        <v>500</v>
      </c>
    </row>
    <row r="146" spans="1:6" x14ac:dyDescent="0.25">
      <c r="A146" t="s">
        <v>608</v>
      </c>
      <c r="B146" t="s">
        <v>157</v>
      </c>
      <c r="C146" t="s">
        <v>185</v>
      </c>
      <c r="D146" t="s">
        <v>3</v>
      </c>
      <c r="E146" t="s">
        <v>211</v>
      </c>
      <c r="F146">
        <v>500</v>
      </c>
    </row>
    <row r="147" spans="1:6" x14ac:dyDescent="0.25">
      <c r="A147" t="s">
        <v>608</v>
      </c>
      <c r="B147" t="s">
        <v>156</v>
      </c>
      <c r="C147" t="s">
        <v>185</v>
      </c>
      <c r="D147" t="s">
        <v>3</v>
      </c>
      <c r="E147" t="s">
        <v>211</v>
      </c>
      <c r="F147">
        <v>500</v>
      </c>
    </row>
    <row r="148" spans="1:6" x14ac:dyDescent="0.25">
      <c r="A148" t="s">
        <v>608</v>
      </c>
      <c r="B148" t="s">
        <v>113</v>
      </c>
      <c r="C148" t="s">
        <v>185</v>
      </c>
      <c r="D148" t="s">
        <v>3</v>
      </c>
      <c r="E148" t="s">
        <v>211</v>
      </c>
      <c r="F148">
        <v>500</v>
      </c>
    </row>
    <row r="149" spans="1:6" x14ac:dyDescent="0.25">
      <c r="A149" t="s">
        <v>608</v>
      </c>
      <c r="B149" t="s">
        <v>108</v>
      </c>
      <c r="C149" t="s">
        <v>235</v>
      </c>
      <c r="D149" t="s">
        <v>3</v>
      </c>
      <c r="E149" t="s">
        <v>211</v>
      </c>
      <c r="F149">
        <v>100</v>
      </c>
    </row>
    <row r="150" spans="1:6" x14ac:dyDescent="0.25">
      <c r="A150" t="s">
        <v>608</v>
      </c>
      <c r="B150" t="s">
        <v>109</v>
      </c>
      <c r="C150" t="s">
        <v>235</v>
      </c>
      <c r="D150" t="s">
        <v>3</v>
      </c>
      <c r="E150" t="s">
        <v>211</v>
      </c>
      <c r="F150">
        <v>100</v>
      </c>
    </row>
    <row r="151" spans="1:6" x14ac:dyDescent="0.25">
      <c r="A151" t="s">
        <v>608</v>
      </c>
      <c r="B151" t="s">
        <v>110</v>
      </c>
      <c r="C151" t="s">
        <v>235</v>
      </c>
      <c r="D151" t="s">
        <v>3</v>
      </c>
      <c r="E151" t="s">
        <v>211</v>
      </c>
      <c r="F151">
        <v>100</v>
      </c>
    </row>
    <row r="152" spans="1:6" x14ac:dyDescent="0.25">
      <c r="A152" t="s">
        <v>608</v>
      </c>
      <c r="B152" t="s">
        <v>111</v>
      </c>
      <c r="C152" t="s">
        <v>235</v>
      </c>
      <c r="D152" t="s">
        <v>3</v>
      </c>
      <c r="E152" t="s">
        <v>211</v>
      </c>
      <c r="F152">
        <v>100</v>
      </c>
    </row>
    <row r="153" spans="1:6" x14ac:dyDescent="0.25">
      <c r="A153" t="s">
        <v>608</v>
      </c>
      <c r="B153" t="s">
        <v>112</v>
      </c>
      <c r="C153" t="s">
        <v>235</v>
      </c>
      <c r="D153" t="s">
        <v>3</v>
      </c>
      <c r="E153" t="s">
        <v>211</v>
      </c>
      <c r="F153">
        <v>100</v>
      </c>
    </row>
    <row r="154" spans="1:6" x14ac:dyDescent="0.25">
      <c r="A154" t="s">
        <v>608</v>
      </c>
      <c r="B154" t="s">
        <v>124</v>
      </c>
      <c r="C154" t="s">
        <v>235</v>
      </c>
      <c r="D154" t="s">
        <v>3</v>
      </c>
      <c r="E154" t="s">
        <v>211</v>
      </c>
      <c r="F154">
        <v>100</v>
      </c>
    </row>
    <row r="155" spans="1:6" x14ac:dyDescent="0.25">
      <c r="A155" t="s">
        <v>608</v>
      </c>
      <c r="B155" t="s">
        <v>160</v>
      </c>
      <c r="C155" t="s">
        <v>235</v>
      </c>
      <c r="D155" t="s">
        <v>3</v>
      </c>
      <c r="E155" t="s">
        <v>211</v>
      </c>
      <c r="F155">
        <v>100</v>
      </c>
    </row>
    <row r="156" spans="1:6" x14ac:dyDescent="0.25">
      <c r="A156" t="s">
        <v>608</v>
      </c>
      <c r="B156" t="s">
        <v>159</v>
      </c>
      <c r="C156" t="s">
        <v>235</v>
      </c>
      <c r="D156" t="s">
        <v>3</v>
      </c>
      <c r="E156" t="s">
        <v>211</v>
      </c>
      <c r="F156">
        <v>100</v>
      </c>
    </row>
    <row r="157" spans="1:6" x14ac:dyDescent="0.25">
      <c r="A157" t="s">
        <v>608</v>
      </c>
      <c r="B157" t="s">
        <v>158</v>
      </c>
      <c r="C157" t="s">
        <v>235</v>
      </c>
      <c r="D157" t="s">
        <v>3</v>
      </c>
      <c r="E157" t="s">
        <v>211</v>
      </c>
      <c r="F157">
        <v>100</v>
      </c>
    </row>
    <row r="158" spans="1:6" x14ac:dyDescent="0.25">
      <c r="A158" t="s">
        <v>608</v>
      </c>
      <c r="B158" t="s">
        <v>157</v>
      </c>
      <c r="C158" t="s">
        <v>235</v>
      </c>
      <c r="D158" t="s">
        <v>3</v>
      </c>
      <c r="E158" t="s">
        <v>211</v>
      </c>
      <c r="F158">
        <v>100</v>
      </c>
    </row>
    <row r="159" spans="1:6" x14ac:dyDescent="0.25">
      <c r="A159" t="s">
        <v>608</v>
      </c>
      <c r="B159" t="s">
        <v>156</v>
      </c>
      <c r="C159" t="s">
        <v>235</v>
      </c>
      <c r="D159" t="s">
        <v>3</v>
      </c>
      <c r="E159" t="s">
        <v>211</v>
      </c>
      <c r="F159">
        <v>100</v>
      </c>
    </row>
    <row r="160" spans="1:6" x14ac:dyDescent="0.25">
      <c r="A160" t="s">
        <v>608</v>
      </c>
      <c r="B160" t="s">
        <v>113</v>
      </c>
      <c r="C160" t="s">
        <v>235</v>
      </c>
      <c r="D160" t="s">
        <v>3</v>
      </c>
      <c r="E160" t="s">
        <v>211</v>
      </c>
      <c r="F160">
        <v>100</v>
      </c>
    </row>
    <row r="161" spans="1:6" x14ac:dyDescent="0.25">
      <c r="A161" t="s">
        <v>608</v>
      </c>
      <c r="B161" t="s">
        <v>108</v>
      </c>
      <c r="C161" t="s">
        <v>144</v>
      </c>
      <c r="D161" t="s">
        <v>3</v>
      </c>
      <c r="E161" t="s">
        <v>129</v>
      </c>
      <c r="F161">
        <v>0</v>
      </c>
    </row>
    <row r="162" spans="1:6" x14ac:dyDescent="0.25">
      <c r="A162" t="s">
        <v>608</v>
      </c>
      <c r="B162" t="s">
        <v>109</v>
      </c>
      <c r="C162" t="s">
        <v>144</v>
      </c>
      <c r="D162" t="s">
        <v>3</v>
      </c>
      <c r="E162" t="s">
        <v>129</v>
      </c>
      <c r="F162">
        <v>0</v>
      </c>
    </row>
    <row r="163" spans="1:6" x14ac:dyDescent="0.25">
      <c r="A163" t="s">
        <v>608</v>
      </c>
      <c r="B163" t="s">
        <v>110</v>
      </c>
      <c r="C163" t="s">
        <v>144</v>
      </c>
      <c r="D163" t="s">
        <v>3</v>
      </c>
      <c r="E163" t="s">
        <v>129</v>
      </c>
      <c r="F163">
        <v>0</v>
      </c>
    </row>
    <row r="164" spans="1:6" x14ac:dyDescent="0.25">
      <c r="A164" t="s">
        <v>608</v>
      </c>
      <c r="B164" t="s">
        <v>111</v>
      </c>
      <c r="C164" t="s">
        <v>144</v>
      </c>
      <c r="D164" t="s">
        <v>3</v>
      </c>
      <c r="E164" t="s">
        <v>129</v>
      </c>
      <c r="F164">
        <v>0</v>
      </c>
    </row>
    <row r="165" spans="1:6" x14ac:dyDescent="0.25">
      <c r="A165" t="s">
        <v>608</v>
      </c>
      <c r="B165" t="s">
        <v>112</v>
      </c>
      <c r="C165" t="s">
        <v>144</v>
      </c>
      <c r="D165" t="s">
        <v>3</v>
      </c>
      <c r="E165" t="s">
        <v>129</v>
      </c>
      <c r="F165">
        <v>0</v>
      </c>
    </row>
    <row r="166" spans="1:6" x14ac:dyDescent="0.25">
      <c r="A166" t="s">
        <v>608</v>
      </c>
      <c r="B166" t="s">
        <v>124</v>
      </c>
      <c r="C166" t="s">
        <v>144</v>
      </c>
      <c r="D166" t="s">
        <v>3</v>
      </c>
      <c r="E166" t="s">
        <v>129</v>
      </c>
      <c r="F166">
        <v>0</v>
      </c>
    </row>
    <row r="167" spans="1:6" x14ac:dyDescent="0.25">
      <c r="A167" t="s">
        <v>608</v>
      </c>
      <c r="B167" t="s">
        <v>160</v>
      </c>
      <c r="C167" t="s">
        <v>144</v>
      </c>
      <c r="D167" t="s">
        <v>3</v>
      </c>
      <c r="E167" t="s">
        <v>129</v>
      </c>
      <c r="F167">
        <v>0</v>
      </c>
    </row>
    <row r="168" spans="1:6" x14ac:dyDescent="0.25">
      <c r="A168" t="s">
        <v>608</v>
      </c>
      <c r="B168" t="s">
        <v>159</v>
      </c>
      <c r="C168" t="s">
        <v>144</v>
      </c>
      <c r="D168" t="s">
        <v>3</v>
      </c>
      <c r="E168" t="s">
        <v>129</v>
      </c>
      <c r="F168">
        <v>0</v>
      </c>
    </row>
    <row r="169" spans="1:6" x14ac:dyDescent="0.25">
      <c r="A169" t="s">
        <v>608</v>
      </c>
      <c r="B169" t="s">
        <v>158</v>
      </c>
      <c r="C169" t="s">
        <v>144</v>
      </c>
      <c r="D169" t="s">
        <v>3</v>
      </c>
      <c r="E169" t="s">
        <v>129</v>
      </c>
      <c r="F169">
        <v>123.17</v>
      </c>
    </row>
    <row r="170" spans="1:6" x14ac:dyDescent="0.25">
      <c r="A170" t="s">
        <v>608</v>
      </c>
      <c r="B170" t="s">
        <v>157</v>
      </c>
      <c r="C170" t="s">
        <v>144</v>
      </c>
      <c r="D170" t="s">
        <v>3</v>
      </c>
      <c r="E170" t="s">
        <v>129</v>
      </c>
      <c r="F170">
        <v>0</v>
      </c>
    </row>
    <row r="171" spans="1:6" x14ac:dyDescent="0.25">
      <c r="A171" t="s">
        <v>608</v>
      </c>
      <c r="B171" t="s">
        <v>156</v>
      </c>
      <c r="C171" t="s">
        <v>144</v>
      </c>
      <c r="D171" t="s">
        <v>3</v>
      </c>
      <c r="E171" t="s">
        <v>129</v>
      </c>
      <c r="F171">
        <v>0</v>
      </c>
    </row>
    <row r="172" spans="1:6" x14ac:dyDescent="0.25">
      <c r="A172" t="s">
        <v>608</v>
      </c>
      <c r="B172" t="s">
        <v>113</v>
      </c>
      <c r="C172" t="s">
        <v>144</v>
      </c>
      <c r="D172" t="s">
        <v>3</v>
      </c>
      <c r="E172" t="s">
        <v>129</v>
      </c>
      <c r="F172">
        <v>0</v>
      </c>
    </row>
    <row r="173" spans="1:6" x14ac:dyDescent="0.25">
      <c r="A173" t="s">
        <v>608</v>
      </c>
      <c r="B173" t="s">
        <v>108</v>
      </c>
      <c r="C173" t="s">
        <v>141</v>
      </c>
      <c r="D173" t="s">
        <v>3</v>
      </c>
      <c r="E173" t="s">
        <v>129</v>
      </c>
      <c r="F173">
        <v>0</v>
      </c>
    </row>
    <row r="174" spans="1:6" x14ac:dyDescent="0.25">
      <c r="A174" t="s">
        <v>608</v>
      </c>
      <c r="B174" t="s">
        <v>109</v>
      </c>
      <c r="C174" t="s">
        <v>141</v>
      </c>
      <c r="D174" t="s">
        <v>3</v>
      </c>
      <c r="E174" t="s">
        <v>129</v>
      </c>
      <c r="F174">
        <v>0</v>
      </c>
    </row>
    <row r="175" spans="1:6" x14ac:dyDescent="0.25">
      <c r="A175" t="s">
        <v>608</v>
      </c>
      <c r="B175" t="s">
        <v>110</v>
      </c>
      <c r="C175" t="s">
        <v>141</v>
      </c>
      <c r="D175" t="s">
        <v>3</v>
      </c>
      <c r="E175" t="s">
        <v>129</v>
      </c>
      <c r="F175">
        <v>0</v>
      </c>
    </row>
    <row r="176" spans="1:6" x14ac:dyDescent="0.25">
      <c r="A176" t="s">
        <v>608</v>
      </c>
      <c r="B176" t="s">
        <v>111</v>
      </c>
      <c r="C176" t="s">
        <v>141</v>
      </c>
      <c r="D176" t="s">
        <v>3</v>
      </c>
      <c r="E176" t="s">
        <v>129</v>
      </c>
      <c r="F176">
        <v>0</v>
      </c>
    </row>
    <row r="177" spans="1:6" x14ac:dyDescent="0.25">
      <c r="A177" t="s">
        <v>608</v>
      </c>
      <c r="B177" t="s">
        <v>112</v>
      </c>
      <c r="C177" t="s">
        <v>141</v>
      </c>
      <c r="D177" t="s">
        <v>3</v>
      </c>
      <c r="E177" t="s">
        <v>129</v>
      </c>
      <c r="F177">
        <v>0</v>
      </c>
    </row>
    <row r="178" spans="1:6" x14ac:dyDescent="0.25">
      <c r="A178" t="s">
        <v>608</v>
      </c>
      <c r="B178" t="s">
        <v>160</v>
      </c>
      <c r="C178" t="s">
        <v>141</v>
      </c>
      <c r="D178" t="s">
        <v>3</v>
      </c>
      <c r="E178" t="s">
        <v>129</v>
      </c>
      <c r="F178">
        <v>0</v>
      </c>
    </row>
    <row r="179" spans="1:6" x14ac:dyDescent="0.25">
      <c r="A179" t="s">
        <v>608</v>
      </c>
      <c r="B179" t="s">
        <v>159</v>
      </c>
      <c r="C179" t="s">
        <v>141</v>
      </c>
      <c r="D179" t="s">
        <v>3</v>
      </c>
      <c r="E179" t="s">
        <v>129</v>
      </c>
      <c r="F179">
        <v>0</v>
      </c>
    </row>
    <row r="180" spans="1:6" x14ac:dyDescent="0.25">
      <c r="A180" t="s">
        <v>608</v>
      </c>
      <c r="B180" t="s">
        <v>158</v>
      </c>
      <c r="C180" t="s">
        <v>141</v>
      </c>
      <c r="D180" t="s">
        <v>3</v>
      </c>
      <c r="E180" t="s">
        <v>129</v>
      </c>
      <c r="F180">
        <v>142.99</v>
      </c>
    </row>
    <row r="181" spans="1:6" x14ac:dyDescent="0.25">
      <c r="A181" t="s">
        <v>608</v>
      </c>
      <c r="B181" t="s">
        <v>157</v>
      </c>
      <c r="C181" t="s">
        <v>141</v>
      </c>
      <c r="D181" t="s">
        <v>3</v>
      </c>
      <c r="E181" t="s">
        <v>129</v>
      </c>
      <c r="F181">
        <v>0</v>
      </c>
    </row>
    <row r="182" spans="1:6" x14ac:dyDescent="0.25">
      <c r="A182" t="s">
        <v>608</v>
      </c>
      <c r="B182" t="s">
        <v>156</v>
      </c>
      <c r="C182" t="s">
        <v>141</v>
      </c>
      <c r="D182" t="s">
        <v>3</v>
      </c>
      <c r="E182" t="s">
        <v>129</v>
      </c>
      <c r="F182">
        <v>0</v>
      </c>
    </row>
    <row r="183" spans="1:6" x14ac:dyDescent="0.25">
      <c r="A183" t="s">
        <v>608</v>
      </c>
      <c r="B183" t="s">
        <v>113</v>
      </c>
      <c r="C183" t="s">
        <v>141</v>
      </c>
      <c r="D183" t="s">
        <v>3</v>
      </c>
      <c r="E183" t="s">
        <v>129</v>
      </c>
      <c r="F183">
        <v>0</v>
      </c>
    </row>
    <row r="184" spans="1:6" x14ac:dyDescent="0.25">
      <c r="A184" t="s">
        <v>608</v>
      </c>
      <c r="B184" t="s">
        <v>108</v>
      </c>
      <c r="C184" t="s">
        <v>137</v>
      </c>
      <c r="D184" t="s">
        <v>3</v>
      </c>
      <c r="E184" t="s">
        <v>129</v>
      </c>
      <c r="F184">
        <v>0</v>
      </c>
    </row>
    <row r="185" spans="1:6" x14ac:dyDescent="0.25">
      <c r="A185" t="s">
        <v>608</v>
      </c>
      <c r="B185" t="s">
        <v>109</v>
      </c>
      <c r="C185" t="s">
        <v>137</v>
      </c>
      <c r="D185" t="s">
        <v>3</v>
      </c>
      <c r="E185" t="s">
        <v>129</v>
      </c>
      <c r="F185">
        <v>0</v>
      </c>
    </row>
    <row r="186" spans="1:6" x14ac:dyDescent="0.25">
      <c r="A186" t="s">
        <v>608</v>
      </c>
      <c r="B186" t="s">
        <v>110</v>
      </c>
      <c r="C186" t="s">
        <v>137</v>
      </c>
      <c r="D186" t="s">
        <v>3</v>
      </c>
      <c r="E186" t="s">
        <v>129</v>
      </c>
      <c r="F186">
        <v>0</v>
      </c>
    </row>
    <row r="187" spans="1:6" x14ac:dyDescent="0.25">
      <c r="A187" t="s">
        <v>608</v>
      </c>
      <c r="B187" t="s">
        <v>111</v>
      </c>
      <c r="C187" t="s">
        <v>137</v>
      </c>
      <c r="D187" t="s">
        <v>3</v>
      </c>
      <c r="E187" t="s">
        <v>129</v>
      </c>
      <c r="F187">
        <v>0</v>
      </c>
    </row>
    <row r="188" spans="1:6" x14ac:dyDescent="0.25">
      <c r="A188" t="s">
        <v>608</v>
      </c>
      <c r="B188" t="s">
        <v>112</v>
      </c>
      <c r="C188" t="s">
        <v>137</v>
      </c>
      <c r="D188" t="s">
        <v>3</v>
      </c>
      <c r="E188" t="s">
        <v>129</v>
      </c>
      <c r="F188">
        <v>0</v>
      </c>
    </row>
    <row r="189" spans="1:6" x14ac:dyDescent="0.25">
      <c r="A189" t="s">
        <v>608</v>
      </c>
      <c r="B189" t="s">
        <v>124</v>
      </c>
      <c r="C189" t="s">
        <v>137</v>
      </c>
      <c r="D189" t="s">
        <v>3</v>
      </c>
      <c r="E189" t="s">
        <v>129</v>
      </c>
      <c r="F189">
        <v>0</v>
      </c>
    </row>
    <row r="190" spans="1:6" x14ac:dyDescent="0.25">
      <c r="A190" t="s">
        <v>608</v>
      </c>
      <c r="B190" t="s">
        <v>160</v>
      </c>
      <c r="C190" t="s">
        <v>137</v>
      </c>
      <c r="D190" t="s">
        <v>3</v>
      </c>
      <c r="E190" t="s">
        <v>129</v>
      </c>
      <c r="F190">
        <v>0</v>
      </c>
    </row>
    <row r="191" spans="1:6" x14ac:dyDescent="0.25">
      <c r="A191" t="s">
        <v>608</v>
      </c>
      <c r="B191" t="s">
        <v>159</v>
      </c>
      <c r="C191" t="s">
        <v>137</v>
      </c>
      <c r="D191" t="s">
        <v>3</v>
      </c>
      <c r="E191" t="s">
        <v>129</v>
      </c>
      <c r="F191">
        <v>0</v>
      </c>
    </row>
    <row r="192" spans="1:6" x14ac:dyDescent="0.25">
      <c r="A192" t="s">
        <v>608</v>
      </c>
      <c r="B192" t="s">
        <v>158</v>
      </c>
      <c r="C192" t="s">
        <v>137</v>
      </c>
      <c r="D192" t="s">
        <v>3</v>
      </c>
      <c r="E192" t="s">
        <v>129</v>
      </c>
      <c r="F192">
        <v>0</v>
      </c>
    </row>
    <row r="193" spans="1:6" x14ac:dyDescent="0.25">
      <c r="A193" t="s">
        <v>608</v>
      </c>
      <c r="B193" t="s">
        <v>157</v>
      </c>
      <c r="C193" t="s">
        <v>137</v>
      </c>
      <c r="D193" t="s">
        <v>3</v>
      </c>
      <c r="E193" t="s">
        <v>129</v>
      </c>
      <c r="F193">
        <v>27.59</v>
      </c>
    </row>
    <row r="194" spans="1:6" x14ac:dyDescent="0.25">
      <c r="A194" t="s">
        <v>608</v>
      </c>
      <c r="B194" t="s">
        <v>156</v>
      </c>
      <c r="C194" t="s">
        <v>137</v>
      </c>
      <c r="D194" t="s">
        <v>3</v>
      </c>
      <c r="E194" t="s">
        <v>129</v>
      </c>
      <c r="F194">
        <v>0</v>
      </c>
    </row>
    <row r="195" spans="1:6" x14ac:dyDescent="0.25">
      <c r="A195" t="s">
        <v>608</v>
      </c>
      <c r="B195" t="s">
        <v>113</v>
      </c>
      <c r="C195" t="s">
        <v>137</v>
      </c>
      <c r="D195" t="s">
        <v>3</v>
      </c>
      <c r="E195" t="s">
        <v>129</v>
      </c>
      <c r="F195">
        <v>0</v>
      </c>
    </row>
    <row r="196" spans="1:6" x14ac:dyDescent="0.25">
      <c r="A196" t="s">
        <v>608</v>
      </c>
      <c r="B196" t="s">
        <v>108</v>
      </c>
      <c r="C196" t="s">
        <v>152</v>
      </c>
      <c r="D196" t="s">
        <v>3</v>
      </c>
      <c r="E196" t="s">
        <v>129</v>
      </c>
      <c r="F196">
        <v>0</v>
      </c>
    </row>
    <row r="197" spans="1:6" x14ac:dyDescent="0.25">
      <c r="A197" t="s">
        <v>608</v>
      </c>
      <c r="B197" t="s">
        <v>109</v>
      </c>
      <c r="C197" t="s">
        <v>152</v>
      </c>
      <c r="D197" t="s">
        <v>3</v>
      </c>
      <c r="E197" t="s">
        <v>129</v>
      </c>
      <c r="F197">
        <v>0</v>
      </c>
    </row>
    <row r="198" spans="1:6" x14ac:dyDescent="0.25">
      <c r="A198" t="s">
        <v>608</v>
      </c>
      <c r="B198" t="s">
        <v>110</v>
      </c>
      <c r="C198" t="s">
        <v>152</v>
      </c>
      <c r="D198" t="s">
        <v>3</v>
      </c>
      <c r="E198" t="s">
        <v>129</v>
      </c>
      <c r="F198">
        <v>0</v>
      </c>
    </row>
    <row r="199" spans="1:6" x14ac:dyDescent="0.25">
      <c r="A199" t="s">
        <v>608</v>
      </c>
      <c r="B199" t="s">
        <v>111</v>
      </c>
      <c r="C199" t="s">
        <v>152</v>
      </c>
      <c r="D199" t="s">
        <v>3</v>
      </c>
      <c r="E199" t="s">
        <v>129</v>
      </c>
      <c r="F199">
        <v>0</v>
      </c>
    </row>
    <row r="200" spans="1:6" x14ac:dyDescent="0.25">
      <c r="A200" t="s">
        <v>608</v>
      </c>
      <c r="B200" t="s">
        <v>112</v>
      </c>
      <c r="C200" t="s">
        <v>152</v>
      </c>
      <c r="D200" t="s">
        <v>3</v>
      </c>
      <c r="E200" t="s">
        <v>129</v>
      </c>
      <c r="F200">
        <v>14.31</v>
      </c>
    </row>
    <row r="201" spans="1:6" x14ac:dyDescent="0.25">
      <c r="A201" t="s">
        <v>608</v>
      </c>
      <c r="B201" t="s">
        <v>124</v>
      </c>
      <c r="C201" t="s">
        <v>152</v>
      </c>
      <c r="D201" t="s">
        <v>3</v>
      </c>
      <c r="E201" t="s">
        <v>129</v>
      </c>
      <c r="F201">
        <v>14.31</v>
      </c>
    </row>
    <row r="202" spans="1:6" x14ac:dyDescent="0.25">
      <c r="A202" t="s">
        <v>608</v>
      </c>
      <c r="B202" t="s">
        <v>160</v>
      </c>
      <c r="C202" t="s">
        <v>152</v>
      </c>
      <c r="D202" t="s">
        <v>3</v>
      </c>
      <c r="E202" t="s">
        <v>129</v>
      </c>
      <c r="F202">
        <v>14.31</v>
      </c>
    </row>
    <row r="203" spans="1:6" x14ac:dyDescent="0.25">
      <c r="A203" t="s">
        <v>608</v>
      </c>
      <c r="B203" t="s">
        <v>159</v>
      </c>
      <c r="C203" t="s">
        <v>152</v>
      </c>
      <c r="D203" t="s">
        <v>3</v>
      </c>
      <c r="E203" t="s">
        <v>129</v>
      </c>
      <c r="F203">
        <v>14.31</v>
      </c>
    </row>
    <row r="204" spans="1:6" x14ac:dyDescent="0.25">
      <c r="A204" t="s">
        <v>608</v>
      </c>
      <c r="B204" t="s">
        <v>158</v>
      </c>
      <c r="C204" t="s">
        <v>152</v>
      </c>
      <c r="D204" t="s">
        <v>3</v>
      </c>
      <c r="E204" t="s">
        <v>129</v>
      </c>
      <c r="F204">
        <v>14.31</v>
      </c>
    </row>
    <row r="205" spans="1:6" x14ac:dyDescent="0.25">
      <c r="A205" t="s">
        <v>608</v>
      </c>
      <c r="B205" t="s">
        <v>157</v>
      </c>
      <c r="C205" t="s">
        <v>152</v>
      </c>
      <c r="D205" t="s">
        <v>3</v>
      </c>
      <c r="E205" t="s">
        <v>129</v>
      </c>
      <c r="F205">
        <v>14.31</v>
      </c>
    </row>
    <row r="206" spans="1:6" x14ac:dyDescent="0.25">
      <c r="A206" t="s">
        <v>608</v>
      </c>
      <c r="B206" t="s">
        <v>156</v>
      </c>
      <c r="C206" t="s">
        <v>152</v>
      </c>
      <c r="D206" t="s">
        <v>3</v>
      </c>
      <c r="E206" t="s">
        <v>129</v>
      </c>
      <c r="F206">
        <v>14.31</v>
      </c>
    </row>
    <row r="207" spans="1:6" x14ac:dyDescent="0.25">
      <c r="A207" t="s">
        <v>608</v>
      </c>
      <c r="B207" t="s">
        <v>113</v>
      </c>
      <c r="C207" t="s">
        <v>152</v>
      </c>
      <c r="D207" t="s">
        <v>3</v>
      </c>
      <c r="E207" t="s">
        <v>129</v>
      </c>
      <c r="F207">
        <v>14.31</v>
      </c>
    </row>
    <row r="208" spans="1:6" x14ac:dyDescent="0.25">
      <c r="A208" t="s">
        <v>608</v>
      </c>
      <c r="B208" t="s">
        <v>108</v>
      </c>
      <c r="C208" t="s">
        <v>151</v>
      </c>
      <c r="D208" t="s">
        <v>3</v>
      </c>
      <c r="E208" t="s">
        <v>129</v>
      </c>
      <c r="F208">
        <v>0</v>
      </c>
    </row>
    <row r="209" spans="1:6" x14ac:dyDescent="0.25">
      <c r="A209" t="s">
        <v>608</v>
      </c>
      <c r="B209" t="s">
        <v>109</v>
      </c>
      <c r="C209" t="s">
        <v>151</v>
      </c>
      <c r="D209" t="s">
        <v>3</v>
      </c>
      <c r="E209" t="s">
        <v>129</v>
      </c>
      <c r="F209">
        <v>0</v>
      </c>
    </row>
    <row r="210" spans="1:6" x14ac:dyDescent="0.25">
      <c r="A210" t="s">
        <v>608</v>
      </c>
      <c r="B210" t="s">
        <v>110</v>
      </c>
      <c r="C210" t="s">
        <v>151</v>
      </c>
      <c r="D210" t="s">
        <v>3</v>
      </c>
      <c r="E210" t="s">
        <v>129</v>
      </c>
      <c r="F210">
        <v>0</v>
      </c>
    </row>
    <row r="211" spans="1:6" x14ac:dyDescent="0.25">
      <c r="A211" t="s">
        <v>608</v>
      </c>
      <c r="B211" t="s">
        <v>111</v>
      </c>
      <c r="C211" t="s">
        <v>151</v>
      </c>
      <c r="D211" t="s">
        <v>3</v>
      </c>
      <c r="E211" t="s">
        <v>129</v>
      </c>
      <c r="F211">
        <v>31.92</v>
      </c>
    </row>
    <row r="212" spans="1:6" x14ac:dyDescent="0.25">
      <c r="A212" t="s">
        <v>608</v>
      </c>
      <c r="B212" t="s">
        <v>112</v>
      </c>
      <c r="C212" t="s">
        <v>151</v>
      </c>
      <c r="D212" t="s">
        <v>3</v>
      </c>
      <c r="E212" t="s">
        <v>129</v>
      </c>
      <c r="F212">
        <v>31.92</v>
      </c>
    </row>
    <row r="213" spans="1:6" x14ac:dyDescent="0.25">
      <c r="A213" t="s">
        <v>608</v>
      </c>
      <c r="B213" t="s">
        <v>124</v>
      </c>
      <c r="C213" t="s">
        <v>151</v>
      </c>
      <c r="D213" t="s">
        <v>3</v>
      </c>
      <c r="E213" t="s">
        <v>129</v>
      </c>
      <c r="F213">
        <v>31.92</v>
      </c>
    </row>
    <row r="214" spans="1:6" x14ac:dyDescent="0.25">
      <c r="A214" t="s">
        <v>608</v>
      </c>
      <c r="B214" t="s">
        <v>160</v>
      </c>
      <c r="C214" t="s">
        <v>151</v>
      </c>
      <c r="D214" t="s">
        <v>3</v>
      </c>
      <c r="E214" t="s">
        <v>129</v>
      </c>
      <c r="F214">
        <v>31.92</v>
      </c>
    </row>
    <row r="215" spans="1:6" x14ac:dyDescent="0.25">
      <c r="A215" t="s">
        <v>608</v>
      </c>
      <c r="B215" t="s">
        <v>159</v>
      </c>
      <c r="C215" t="s">
        <v>151</v>
      </c>
      <c r="D215" t="s">
        <v>3</v>
      </c>
      <c r="E215" t="s">
        <v>129</v>
      </c>
      <c r="F215">
        <v>31.92</v>
      </c>
    </row>
    <row r="216" spans="1:6" x14ac:dyDescent="0.25">
      <c r="A216" t="s">
        <v>608</v>
      </c>
      <c r="B216" t="s">
        <v>158</v>
      </c>
      <c r="C216" t="s">
        <v>151</v>
      </c>
      <c r="D216" t="s">
        <v>3</v>
      </c>
      <c r="E216" t="s">
        <v>129</v>
      </c>
      <c r="F216">
        <v>31.92</v>
      </c>
    </row>
    <row r="217" spans="1:6" x14ac:dyDescent="0.25">
      <c r="A217" t="s">
        <v>608</v>
      </c>
      <c r="B217" t="s">
        <v>157</v>
      </c>
      <c r="C217" t="s">
        <v>151</v>
      </c>
      <c r="D217" t="s">
        <v>3</v>
      </c>
      <c r="E217" t="s">
        <v>129</v>
      </c>
      <c r="F217">
        <v>31.92</v>
      </c>
    </row>
    <row r="218" spans="1:6" x14ac:dyDescent="0.25">
      <c r="A218" t="s">
        <v>608</v>
      </c>
      <c r="B218" t="s">
        <v>156</v>
      </c>
      <c r="C218" t="s">
        <v>151</v>
      </c>
      <c r="D218" t="s">
        <v>3</v>
      </c>
      <c r="E218" t="s">
        <v>129</v>
      </c>
      <c r="F218">
        <v>31.92</v>
      </c>
    </row>
    <row r="219" spans="1:6" x14ac:dyDescent="0.25">
      <c r="A219" t="s">
        <v>608</v>
      </c>
      <c r="B219" t="s">
        <v>113</v>
      </c>
      <c r="C219" t="s">
        <v>151</v>
      </c>
      <c r="D219" t="s">
        <v>3</v>
      </c>
      <c r="E219" t="s">
        <v>129</v>
      </c>
      <c r="F219">
        <v>31.92</v>
      </c>
    </row>
    <row r="220" spans="1:6" x14ac:dyDescent="0.25">
      <c r="A220" t="s">
        <v>608</v>
      </c>
      <c r="B220" t="s">
        <v>108</v>
      </c>
      <c r="C220" t="s">
        <v>139</v>
      </c>
      <c r="D220" t="s">
        <v>3</v>
      </c>
      <c r="E220" t="s">
        <v>129</v>
      </c>
      <c r="F220">
        <v>0</v>
      </c>
    </row>
    <row r="221" spans="1:6" x14ac:dyDescent="0.25">
      <c r="A221" t="s">
        <v>608</v>
      </c>
      <c r="B221" t="s">
        <v>109</v>
      </c>
      <c r="C221" t="s">
        <v>139</v>
      </c>
      <c r="D221" t="s">
        <v>3</v>
      </c>
      <c r="E221" t="s">
        <v>129</v>
      </c>
      <c r="F221">
        <v>0</v>
      </c>
    </row>
    <row r="222" spans="1:6" x14ac:dyDescent="0.25">
      <c r="A222" t="s">
        <v>608</v>
      </c>
      <c r="B222" t="s">
        <v>110</v>
      </c>
      <c r="C222" t="s">
        <v>139</v>
      </c>
      <c r="D222" t="s">
        <v>3</v>
      </c>
      <c r="E222" t="s">
        <v>129</v>
      </c>
      <c r="F222">
        <v>0</v>
      </c>
    </row>
    <row r="223" spans="1:6" x14ac:dyDescent="0.25">
      <c r="A223" t="s">
        <v>608</v>
      </c>
      <c r="B223" t="s">
        <v>111</v>
      </c>
      <c r="C223" t="s">
        <v>139</v>
      </c>
      <c r="D223" t="s">
        <v>3</v>
      </c>
      <c r="E223" t="s">
        <v>129</v>
      </c>
      <c r="F223">
        <v>0</v>
      </c>
    </row>
    <row r="224" spans="1:6" x14ac:dyDescent="0.25">
      <c r="A224" t="s">
        <v>608</v>
      </c>
      <c r="B224" t="s">
        <v>112</v>
      </c>
      <c r="C224" t="s">
        <v>139</v>
      </c>
      <c r="D224" t="s">
        <v>3</v>
      </c>
      <c r="E224" t="s">
        <v>129</v>
      </c>
      <c r="F224">
        <v>0</v>
      </c>
    </row>
    <row r="225" spans="1:6" x14ac:dyDescent="0.25">
      <c r="A225" t="s">
        <v>608</v>
      </c>
      <c r="B225" t="s">
        <v>124</v>
      </c>
      <c r="C225" t="s">
        <v>139</v>
      </c>
      <c r="D225" t="s">
        <v>3</v>
      </c>
      <c r="E225" t="s">
        <v>129</v>
      </c>
      <c r="F225">
        <v>0</v>
      </c>
    </row>
    <row r="226" spans="1:6" x14ac:dyDescent="0.25">
      <c r="A226" t="s">
        <v>608</v>
      </c>
      <c r="B226" t="s">
        <v>160</v>
      </c>
      <c r="C226" t="s">
        <v>139</v>
      </c>
      <c r="D226" t="s">
        <v>3</v>
      </c>
      <c r="E226" t="s">
        <v>129</v>
      </c>
      <c r="F226">
        <v>0</v>
      </c>
    </row>
    <row r="227" spans="1:6" x14ac:dyDescent="0.25">
      <c r="A227" t="s">
        <v>608</v>
      </c>
      <c r="B227" t="s">
        <v>159</v>
      </c>
      <c r="C227" t="s">
        <v>139</v>
      </c>
      <c r="D227" t="s">
        <v>3</v>
      </c>
      <c r="E227" t="s">
        <v>129</v>
      </c>
      <c r="F227">
        <v>0</v>
      </c>
    </row>
    <row r="228" spans="1:6" x14ac:dyDescent="0.25">
      <c r="A228" t="s">
        <v>608</v>
      </c>
      <c r="B228" t="s">
        <v>158</v>
      </c>
      <c r="C228" t="s">
        <v>139</v>
      </c>
      <c r="D228" t="s">
        <v>3</v>
      </c>
      <c r="E228" t="s">
        <v>129</v>
      </c>
      <c r="F228">
        <v>0</v>
      </c>
    </row>
    <row r="229" spans="1:6" x14ac:dyDescent="0.25">
      <c r="A229" t="s">
        <v>608</v>
      </c>
      <c r="B229" t="s">
        <v>157</v>
      </c>
      <c r="C229" t="s">
        <v>139</v>
      </c>
      <c r="D229" t="s">
        <v>3</v>
      </c>
      <c r="E229" t="s">
        <v>129</v>
      </c>
      <c r="F229">
        <v>41.4</v>
      </c>
    </row>
    <row r="230" spans="1:6" x14ac:dyDescent="0.25">
      <c r="A230" t="s">
        <v>608</v>
      </c>
      <c r="B230" t="s">
        <v>156</v>
      </c>
      <c r="C230" t="s">
        <v>139</v>
      </c>
      <c r="D230" t="s">
        <v>3</v>
      </c>
      <c r="E230" t="s">
        <v>129</v>
      </c>
      <c r="F230">
        <v>0</v>
      </c>
    </row>
    <row r="231" spans="1:6" x14ac:dyDescent="0.25">
      <c r="A231" t="s">
        <v>608</v>
      </c>
      <c r="B231" t="s">
        <v>113</v>
      </c>
      <c r="C231" t="s">
        <v>139</v>
      </c>
      <c r="D231" t="s">
        <v>3</v>
      </c>
      <c r="E231" t="s">
        <v>129</v>
      </c>
      <c r="F231">
        <v>0</v>
      </c>
    </row>
    <row r="232" spans="1:6" x14ac:dyDescent="0.25">
      <c r="A232" t="s">
        <v>608</v>
      </c>
      <c r="B232" t="s">
        <v>108</v>
      </c>
      <c r="C232" t="s">
        <v>138</v>
      </c>
      <c r="D232" t="s">
        <v>3</v>
      </c>
      <c r="E232" t="s">
        <v>129</v>
      </c>
      <c r="F232">
        <v>0</v>
      </c>
    </row>
    <row r="233" spans="1:6" x14ac:dyDescent="0.25">
      <c r="A233" t="s">
        <v>608</v>
      </c>
      <c r="B233" t="s">
        <v>109</v>
      </c>
      <c r="C233" t="s">
        <v>138</v>
      </c>
      <c r="D233" t="s">
        <v>3</v>
      </c>
      <c r="E233" t="s">
        <v>129</v>
      </c>
      <c r="F233">
        <v>0</v>
      </c>
    </row>
    <row r="234" spans="1:6" x14ac:dyDescent="0.25">
      <c r="A234" t="s">
        <v>608</v>
      </c>
      <c r="B234" t="s">
        <v>110</v>
      </c>
      <c r="C234" t="s">
        <v>138</v>
      </c>
      <c r="D234" t="s">
        <v>3</v>
      </c>
      <c r="E234" t="s">
        <v>129</v>
      </c>
      <c r="F234">
        <v>0</v>
      </c>
    </row>
    <row r="235" spans="1:6" x14ac:dyDescent="0.25">
      <c r="A235" t="s">
        <v>608</v>
      </c>
      <c r="B235" t="s">
        <v>111</v>
      </c>
      <c r="C235" t="s">
        <v>138</v>
      </c>
      <c r="D235" t="s">
        <v>3</v>
      </c>
      <c r="E235" t="s">
        <v>129</v>
      </c>
      <c r="F235">
        <v>0</v>
      </c>
    </row>
    <row r="236" spans="1:6" x14ac:dyDescent="0.25">
      <c r="A236" t="s">
        <v>608</v>
      </c>
      <c r="B236" t="s">
        <v>112</v>
      </c>
      <c r="C236" t="s">
        <v>138</v>
      </c>
      <c r="D236" t="s">
        <v>3</v>
      </c>
      <c r="E236" t="s">
        <v>129</v>
      </c>
      <c r="F236">
        <v>0</v>
      </c>
    </row>
    <row r="237" spans="1:6" x14ac:dyDescent="0.25">
      <c r="A237" t="s">
        <v>608</v>
      </c>
      <c r="B237" t="s">
        <v>124</v>
      </c>
      <c r="C237" t="s">
        <v>138</v>
      </c>
      <c r="D237" t="s">
        <v>3</v>
      </c>
      <c r="E237" t="s">
        <v>129</v>
      </c>
      <c r="F237">
        <v>0</v>
      </c>
    </row>
    <row r="238" spans="1:6" x14ac:dyDescent="0.25">
      <c r="A238" t="s">
        <v>608</v>
      </c>
      <c r="B238" t="s">
        <v>160</v>
      </c>
      <c r="C238" t="s">
        <v>138</v>
      </c>
      <c r="D238" t="s">
        <v>3</v>
      </c>
      <c r="E238" t="s">
        <v>129</v>
      </c>
      <c r="F238">
        <v>0</v>
      </c>
    </row>
    <row r="239" spans="1:6" x14ac:dyDescent="0.25">
      <c r="A239" t="s">
        <v>608</v>
      </c>
      <c r="B239" t="s">
        <v>159</v>
      </c>
      <c r="C239" t="s">
        <v>138</v>
      </c>
      <c r="D239" t="s">
        <v>3</v>
      </c>
      <c r="E239" t="s">
        <v>129</v>
      </c>
      <c r="F239">
        <v>0</v>
      </c>
    </row>
    <row r="240" spans="1:6" x14ac:dyDescent="0.25">
      <c r="A240" t="s">
        <v>608</v>
      </c>
      <c r="B240" t="s">
        <v>158</v>
      </c>
      <c r="C240" t="s">
        <v>138</v>
      </c>
      <c r="D240" t="s">
        <v>3</v>
      </c>
      <c r="E240" t="s">
        <v>129</v>
      </c>
      <c r="F240">
        <v>0</v>
      </c>
    </row>
    <row r="241" spans="1:6" x14ac:dyDescent="0.25">
      <c r="A241" t="s">
        <v>608</v>
      </c>
      <c r="B241" t="s">
        <v>157</v>
      </c>
      <c r="C241" t="s">
        <v>138</v>
      </c>
      <c r="D241" t="s">
        <v>3</v>
      </c>
      <c r="E241" t="s">
        <v>129</v>
      </c>
      <c r="F241">
        <v>31.68</v>
      </c>
    </row>
    <row r="242" spans="1:6" x14ac:dyDescent="0.25">
      <c r="A242" t="s">
        <v>608</v>
      </c>
      <c r="B242" t="s">
        <v>156</v>
      </c>
      <c r="C242" t="s">
        <v>138</v>
      </c>
      <c r="D242" t="s">
        <v>3</v>
      </c>
      <c r="E242" t="s">
        <v>129</v>
      </c>
      <c r="F242">
        <v>0</v>
      </c>
    </row>
    <row r="243" spans="1:6" x14ac:dyDescent="0.25">
      <c r="A243" t="s">
        <v>608</v>
      </c>
      <c r="B243" t="s">
        <v>113</v>
      </c>
      <c r="C243" t="s">
        <v>138</v>
      </c>
      <c r="D243" t="s">
        <v>3</v>
      </c>
      <c r="E243" t="s">
        <v>129</v>
      </c>
      <c r="F243">
        <v>0</v>
      </c>
    </row>
    <row r="244" spans="1:6" x14ac:dyDescent="0.25">
      <c r="A244" t="s">
        <v>608</v>
      </c>
      <c r="B244" t="s">
        <v>108</v>
      </c>
      <c r="C244" t="s">
        <v>131</v>
      </c>
      <c r="D244" t="s">
        <v>3</v>
      </c>
      <c r="E244" t="s">
        <v>36</v>
      </c>
      <c r="F244">
        <v>0</v>
      </c>
    </row>
    <row r="245" spans="1:6" x14ac:dyDescent="0.25">
      <c r="A245" t="s">
        <v>608</v>
      </c>
      <c r="B245" t="s">
        <v>109</v>
      </c>
      <c r="C245" t="s">
        <v>131</v>
      </c>
      <c r="D245" t="s">
        <v>3</v>
      </c>
      <c r="E245" t="s">
        <v>36</v>
      </c>
      <c r="F245">
        <v>55</v>
      </c>
    </row>
    <row r="246" spans="1:6" x14ac:dyDescent="0.25">
      <c r="A246" t="s">
        <v>608</v>
      </c>
      <c r="B246" t="s">
        <v>110</v>
      </c>
      <c r="C246" t="s">
        <v>131</v>
      </c>
      <c r="D246" t="s">
        <v>3</v>
      </c>
      <c r="E246" t="s">
        <v>36</v>
      </c>
      <c r="F246">
        <v>55</v>
      </c>
    </row>
    <row r="247" spans="1:6" x14ac:dyDescent="0.25">
      <c r="A247" t="s">
        <v>608</v>
      </c>
      <c r="B247" t="s">
        <v>111</v>
      </c>
      <c r="C247" t="s">
        <v>131</v>
      </c>
      <c r="D247" t="s">
        <v>3</v>
      </c>
      <c r="E247" t="s">
        <v>36</v>
      </c>
      <c r="F247">
        <v>55</v>
      </c>
    </row>
    <row r="248" spans="1:6" x14ac:dyDescent="0.25">
      <c r="A248" t="s">
        <v>608</v>
      </c>
      <c r="B248" t="s">
        <v>112</v>
      </c>
      <c r="C248" t="s">
        <v>131</v>
      </c>
      <c r="D248" t="s">
        <v>3</v>
      </c>
      <c r="E248" t="s">
        <v>36</v>
      </c>
      <c r="F248">
        <v>55</v>
      </c>
    </row>
    <row r="249" spans="1:6" x14ac:dyDescent="0.25">
      <c r="A249" t="s">
        <v>608</v>
      </c>
      <c r="B249" t="s">
        <v>124</v>
      </c>
      <c r="C249" t="s">
        <v>131</v>
      </c>
      <c r="D249" t="s">
        <v>3</v>
      </c>
      <c r="E249" t="s">
        <v>36</v>
      </c>
      <c r="F249">
        <v>55</v>
      </c>
    </row>
    <row r="250" spans="1:6" x14ac:dyDescent="0.25">
      <c r="A250" t="s">
        <v>608</v>
      </c>
      <c r="B250" t="s">
        <v>160</v>
      </c>
      <c r="C250" t="s">
        <v>131</v>
      </c>
      <c r="D250" t="s">
        <v>3</v>
      </c>
      <c r="E250" t="s">
        <v>36</v>
      </c>
      <c r="F250">
        <v>55</v>
      </c>
    </row>
    <row r="251" spans="1:6" x14ac:dyDescent="0.25">
      <c r="A251" t="s">
        <v>608</v>
      </c>
      <c r="B251" t="s">
        <v>159</v>
      </c>
      <c r="C251" t="s">
        <v>131</v>
      </c>
      <c r="D251" t="s">
        <v>3</v>
      </c>
      <c r="E251" t="s">
        <v>36</v>
      </c>
      <c r="F251">
        <v>55</v>
      </c>
    </row>
    <row r="252" spans="1:6" x14ac:dyDescent="0.25">
      <c r="A252" t="s">
        <v>608</v>
      </c>
      <c r="B252" t="s">
        <v>158</v>
      </c>
      <c r="C252" t="s">
        <v>131</v>
      </c>
      <c r="D252" t="s">
        <v>3</v>
      </c>
      <c r="E252" t="s">
        <v>36</v>
      </c>
      <c r="F252">
        <v>55</v>
      </c>
    </row>
    <row r="253" spans="1:6" x14ac:dyDescent="0.25">
      <c r="A253" t="s">
        <v>608</v>
      </c>
      <c r="B253" t="s">
        <v>157</v>
      </c>
      <c r="C253" t="s">
        <v>131</v>
      </c>
      <c r="D253" t="s">
        <v>3</v>
      </c>
      <c r="E253" t="s">
        <v>36</v>
      </c>
      <c r="F253">
        <v>55</v>
      </c>
    </row>
    <row r="254" spans="1:6" x14ac:dyDescent="0.25">
      <c r="A254" t="s">
        <v>608</v>
      </c>
      <c r="B254" t="s">
        <v>156</v>
      </c>
      <c r="C254" t="s">
        <v>131</v>
      </c>
      <c r="D254" t="s">
        <v>3</v>
      </c>
      <c r="E254" t="s">
        <v>36</v>
      </c>
      <c r="F254">
        <v>80</v>
      </c>
    </row>
    <row r="255" spans="1:6" x14ac:dyDescent="0.25">
      <c r="A255" t="s">
        <v>608</v>
      </c>
      <c r="B255" t="s">
        <v>113</v>
      </c>
      <c r="C255" t="s">
        <v>131</v>
      </c>
      <c r="D255" t="s">
        <v>3</v>
      </c>
      <c r="E255" t="s">
        <v>36</v>
      </c>
      <c r="F255">
        <v>80</v>
      </c>
    </row>
    <row r="256" spans="1:6" x14ac:dyDescent="0.25">
      <c r="A256" t="s">
        <v>608</v>
      </c>
      <c r="B256" t="s">
        <v>108</v>
      </c>
      <c r="C256" t="s">
        <v>132</v>
      </c>
      <c r="D256" t="s">
        <v>3</v>
      </c>
      <c r="E256" t="s">
        <v>34</v>
      </c>
      <c r="F256">
        <v>500</v>
      </c>
    </row>
    <row r="257" spans="1:6" x14ac:dyDescent="0.25">
      <c r="A257" t="s">
        <v>608</v>
      </c>
      <c r="B257" t="s">
        <v>109</v>
      </c>
      <c r="C257" t="s">
        <v>132</v>
      </c>
      <c r="D257" t="s">
        <v>3</v>
      </c>
      <c r="E257" t="s">
        <v>34</v>
      </c>
      <c r="F257">
        <v>500</v>
      </c>
    </row>
    <row r="258" spans="1:6" x14ac:dyDescent="0.25">
      <c r="A258" t="s">
        <v>608</v>
      </c>
      <c r="B258" t="s">
        <v>110</v>
      </c>
      <c r="C258" t="s">
        <v>132</v>
      </c>
      <c r="D258" t="s">
        <v>3</v>
      </c>
      <c r="E258" t="s">
        <v>34</v>
      </c>
      <c r="F258">
        <v>500</v>
      </c>
    </row>
    <row r="259" spans="1:6" x14ac:dyDescent="0.25">
      <c r="A259" t="s">
        <v>608</v>
      </c>
      <c r="B259" t="s">
        <v>111</v>
      </c>
      <c r="C259" t="s">
        <v>132</v>
      </c>
      <c r="D259" t="s">
        <v>3</v>
      </c>
      <c r="E259" t="s">
        <v>34</v>
      </c>
      <c r="F259">
        <v>500</v>
      </c>
    </row>
    <row r="260" spans="1:6" x14ac:dyDescent="0.25">
      <c r="A260" t="s">
        <v>608</v>
      </c>
      <c r="B260" t="s">
        <v>112</v>
      </c>
      <c r="C260" t="s">
        <v>132</v>
      </c>
      <c r="D260" t="s">
        <v>3</v>
      </c>
      <c r="E260" t="s">
        <v>34</v>
      </c>
      <c r="F260">
        <v>500</v>
      </c>
    </row>
    <row r="261" spans="1:6" x14ac:dyDescent="0.25">
      <c r="A261" t="s">
        <v>608</v>
      </c>
      <c r="B261" t="s">
        <v>124</v>
      </c>
      <c r="C261" t="s">
        <v>132</v>
      </c>
      <c r="D261" t="s">
        <v>3</v>
      </c>
      <c r="E261" t="s">
        <v>34</v>
      </c>
      <c r="F261">
        <v>500</v>
      </c>
    </row>
    <row r="262" spans="1:6" x14ac:dyDescent="0.25">
      <c r="A262" t="s">
        <v>608</v>
      </c>
      <c r="B262" t="s">
        <v>160</v>
      </c>
      <c r="C262" t="s">
        <v>132</v>
      </c>
      <c r="D262" t="s">
        <v>3</v>
      </c>
      <c r="E262" t="s">
        <v>34</v>
      </c>
      <c r="F262">
        <v>500</v>
      </c>
    </row>
    <row r="263" spans="1:6" x14ac:dyDescent="0.25">
      <c r="A263" t="s">
        <v>608</v>
      </c>
      <c r="B263" t="s">
        <v>159</v>
      </c>
      <c r="C263" t="s">
        <v>132</v>
      </c>
      <c r="D263" t="s">
        <v>3</v>
      </c>
      <c r="E263" t="s">
        <v>34</v>
      </c>
      <c r="F263">
        <v>500</v>
      </c>
    </row>
    <row r="264" spans="1:6" x14ac:dyDescent="0.25">
      <c r="A264" t="s">
        <v>608</v>
      </c>
      <c r="B264" t="s">
        <v>158</v>
      </c>
      <c r="C264" t="s">
        <v>132</v>
      </c>
      <c r="D264" t="s">
        <v>3</v>
      </c>
      <c r="E264" t="s">
        <v>34</v>
      </c>
      <c r="F264">
        <v>500</v>
      </c>
    </row>
    <row r="265" spans="1:6" x14ac:dyDescent="0.25">
      <c r="A265" t="s">
        <v>608</v>
      </c>
      <c r="B265" t="s">
        <v>157</v>
      </c>
      <c r="C265" t="s">
        <v>132</v>
      </c>
      <c r="D265" t="s">
        <v>3</v>
      </c>
      <c r="E265" t="s">
        <v>34</v>
      </c>
      <c r="F265">
        <v>500</v>
      </c>
    </row>
    <row r="266" spans="1:6" x14ac:dyDescent="0.25">
      <c r="A266" t="s">
        <v>608</v>
      </c>
      <c r="B266" t="s">
        <v>156</v>
      </c>
      <c r="C266" t="s">
        <v>132</v>
      </c>
      <c r="D266" t="s">
        <v>3</v>
      </c>
      <c r="E266" t="s">
        <v>34</v>
      </c>
      <c r="F266">
        <v>500</v>
      </c>
    </row>
    <row r="267" spans="1:6" x14ac:dyDescent="0.25">
      <c r="A267" t="s">
        <v>608</v>
      </c>
      <c r="B267" t="s">
        <v>113</v>
      </c>
      <c r="C267" t="s">
        <v>132</v>
      </c>
      <c r="D267" t="s">
        <v>3</v>
      </c>
      <c r="E267" t="s">
        <v>34</v>
      </c>
      <c r="F267">
        <v>500</v>
      </c>
    </row>
    <row r="268" spans="1:6" x14ac:dyDescent="0.25">
      <c r="A268" t="s">
        <v>608</v>
      </c>
      <c r="B268" t="s">
        <v>108</v>
      </c>
      <c r="C268" t="s">
        <v>153</v>
      </c>
      <c r="D268" t="s">
        <v>3</v>
      </c>
      <c r="E268" t="s">
        <v>54</v>
      </c>
      <c r="F268">
        <v>0</v>
      </c>
    </row>
    <row r="269" spans="1:6" x14ac:dyDescent="0.25">
      <c r="A269" t="s">
        <v>608</v>
      </c>
      <c r="B269" t="s">
        <v>109</v>
      </c>
      <c r="C269" t="s">
        <v>153</v>
      </c>
      <c r="D269" t="s">
        <v>3</v>
      </c>
      <c r="E269" t="s">
        <v>54</v>
      </c>
      <c r="F269">
        <v>0</v>
      </c>
    </row>
    <row r="270" spans="1:6" x14ac:dyDescent="0.25">
      <c r="A270" t="s">
        <v>608</v>
      </c>
      <c r="B270" t="s">
        <v>110</v>
      </c>
      <c r="C270" t="s">
        <v>153</v>
      </c>
      <c r="D270" t="s">
        <v>3</v>
      </c>
      <c r="E270" t="s">
        <v>54</v>
      </c>
      <c r="F270">
        <v>0</v>
      </c>
    </row>
    <row r="271" spans="1:6" x14ac:dyDescent="0.25">
      <c r="A271" t="s">
        <v>608</v>
      </c>
      <c r="B271" t="s">
        <v>111</v>
      </c>
      <c r="C271" t="s">
        <v>153</v>
      </c>
      <c r="D271" t="s">
        <v>3</v>
      </c>
      <c r="E271" t="s">
        <v>54</v>
      </c>
      <c r="F271">
        <v>0</v>
      </c>
    </row>
    <row r="272" spans="1:6" x14ac:dyDescent="0.25">
      <c r="A272" t="s">
        <v>608</v>
      </c>
      <c r="B272" t="s">
        <v>112</v>
      </c>
      <c r="C272" t="s">
        <v>153</v>
      </c>
      <c r="D272" t="s">
        <v>3</v>
      </c>
      <c r="E272" t="s">
        <v>54</v>
      </c>
      <c r="F272">
        <v>0</v>
      </c>
    </row>
    <row r="273" spans="1:6" x14ac:dyDescent="0.25">
      <c r="A273" t="s">
        <v>608</v>
      </c>
      <c r="B273" t="s">
        <v>124</v>
      </c>
      <c r="C273" t="s">
        <v>153</v>
      </c>
      <c r="D273" t="s">
        <v>3</v>
      </c>
      <c r="E273" t="s">
        <v>54</v>
      </c>
      <c r="F273">
        <v>0</v>
      </c>
    </row>
    <row r="274" spans="1:6" x14ac:dyDescent="0.25">
      <c r="A274" t="s">
        <v>608</v>
      </c>
      <c r="B274" t="s">
        <v>160</v>
      </c>
      <c r="C274" t="s">
        <v>153</v>
      </c>
      <c r="D274" t="s">
        <v>3</v>
      </c>
      <c r="E274" t="s">
        <v>54</v>
      </c>
      <c r="F274">
        <v>0</v>
      </c>
    </row>
    <row r="275" spans="1:6" x14ac:dyDescent="0.25">
      <c r="A275" t="s">
        <v>608</v>
      </c>
      <c r="B275" t="s">
        <v>159</v>
      </c>
      <c r="C275" t="s">
        <v>153</v>
      </c>
      <c r="D275" t="s">
        <v>3</v>
      </c>
      <c r="E275" t="s">
        <v>54</v>
      </c>
      <c r="F275">
        <v>0</v>
      </c>
    </row>
    <row r="276" spans="1:6" x14ac:dyDescent="0.25">
      <c r="A276" t="s">
        <v>608</v>
      </c>
      <c r="B276" t="s">
        <v>158</v>
      </c>
      <c r="C276" t="s">
        <v>153</v>
      </c>
      <c r="D276" t="s">
        <v>3</v>
      </c>
      <c r="E276" t="s">
        <v>54</v>
      </c>
      <c r="F276">
        <v>0</v>
      </c>
    </row>
    <row r="277" spans="1:6" x14ac:dyDescent="0.25">
      <c r="A277" t="s">
        <v>608</v>
      </c>
      <c r="B277" t="s">
        <v>157</v>
      </c>
      <c r="C277" t="s">
        <v>153</v>
      </c>
      <c r="D277" t="s">
        <v>3</v>
      </c>
      <c r="E277" t="s">
        <v>54</v>
      </c>
      <c r="F277">
        <v>0</v>
      </c>
    </row>
    <row r="278" spans="1:6" x14ac:dyDescent="0.25">
      <c r="A278" t="s">
        <v>608</v>
      </c>
      <c r="B278" t="s">
        <v>156</v>
      </c>
      <c r="C278" t="s">
        <v>153</v>
      </c>
      <c r="D278" t="s">
        <v>3</v>
      </c>
      <c r="E278" t="s">
        <v>54</v>
      </c>
      <c r="F278">
        <v>0</v>
      </c>
    </row>
    <row r="279" spans="1:6" x14ac:dyDescent="0.25">
      <c r="A279" t="s">
        <v>608</v>
      </c>
      <c r="B279" t="s">
        <v>113</v>
      </c>
      <c r="C279" t="s">
        <v>153</v>
      </c>
      <c r="D279" t="s">
        <v>3</v>
      </c>
      <c r="E279" t="s">
        <v>54</v>
      </c>
      <c r="F279">
        <v>0</v>
      </c>
    </row>
    <row r="280" spans="1:6" x14ac:dyDescent="0.25">
      <c r="A280" t="s">
        <v>608</v>
      </c>
      <c r="B280" t="s">
        <v>108</v>
      </c>
      <c r="C280" t="s">
        <v>142</v>
      </c>
      <c r="D280" t="s">
        <v>3</v>
      </c>
      <c r="E280" t="s">
        <v>54</v>
      </c>
      <c r="F280">
        <v>11.29</v>
      </c>
    </row>
    <row r="281" spans="1:6" x14ac:dyDescent="0.25">
      <c r="A281" t="s">
        <v>608</v>
      </c>
      <c r="B281" t="s">
        <v>109</v>
      </c>
      <c r="C281" t="s">
        <v>142</v>
      </c>
      <c r="D281" t="s">
        <v>3</v>
      </c>
      <c r="E281" t="s">
        <v>54</v>
      </c>
      <c r="F281">
        <v>11.29</v>
      </c>
    </row>
    <row r="282" spans="1:6" x14ac:dyDescent="0.25">
      <c r="A282" t="s">
        <v>608</v>
      </c>
      <c r="B282" t="s">
        <v>110</v>
      </c>
      <c r="C282" t="s">
        <v>142</v>
      </c>
      <c r="D282" t="s">
        <v>3</v>
      </c>
      <c r="E282" t="s">
        <v>54</v>
      </c>
      <c r="F282">
        <v>11.29</v>
      </c>
    </row>
    <row r="283" spans="1:6" x14ac:dyDescent="0.25">
      <c r="A283" t="s">
        <v>608</v>
      </c>
      <c r="B283" t="s">
        <v>111</v>
      </c>
      <c r="C283" t="s">
        <v>142</v>
      </c>
      <c r="D283" t="s">
        <v>3</v>
      </c>
      <c r="E283" t="s">
        <v>54</v>
      </c>
      <c r="F283">
        <v>11.29</v>
      </c>
    </row>
    <row r="284" spans="1:6" x14ac:dyDescent="0.25">
      <c r="A284" t="s">
        <v>608</v>
      </c>
      <c r="B284" t="s">
        <v>112</v>
      </c>
      <c r="C284" t="s">
        <v>142</v>
      </c>
      <c r="D284" t="s">
        <v>3</v>
      </c>
      <c r="E284" t="s">
        <v>54</v>
      </c>
      <c r="F284">
        <v>11.29</v>
      </c>
    </row>
    <row r="285" spans="1:6" x14ac:dyDescent="0.25">
      <c r="A285" t="s">
        <v>608</v>
      </c>
      <c r="B285" t="s">
        <v>124</v>
      </c>
      <c r="C285" t="s">
        <v>142</v>
      </c>
      <c r="D285" t="s">
        <v>3</v>
      </c>
      <c r="E285" t="s">
        <v>54</v>
      </c>
      <c r="F285">
        <v>11.29</v>
      </c>
    </row>
    <row r="286" spans="1:6" x14ac:dyDescent="0.25">
      <c r="A286" t="s">
        <v>608</v>
      </c>
      <c r="B286" t="s">
        <v>160</v>
      </c>
      <c r="C286" t="s">
        <v>142</v>
      </c>
      <c r="D286" t="s">
        <v>3</v>
      </c>
      <c r="E286" t="s">
        <v>54</v>
      </c>
      <c r="F286">
        <v>11.29</v>
      </c>
    </row>
    <row r="287" spans="1:6" x14ac:dyDescent="0.25">
      <c r="A287" t="s">
        <v>608</v>
      </c>
      <c r="B287" t="s">
        <v>159</v>
      </c>
      <c r="C287" t="s">
        <v>142</v>
      </c>
      <c r="D287" t="s">
        <v>3</v>
      </c>
      <c r="E287" t="s">
        <v>54</v>
      </c>
      <c r="F287">
        <v>11.29</v>
      </c>
    </row>
    <row r="288" spans="1:6" x14ac:dyDescent="0.25">
      <c r="A288" t="s">
        <v>608</v>
      </c>
      <c r="B288" t="s">
        <v>158</v>
      </c>
      <c r="C288" t="s">
        <v>142</v>
      </c>
      <c r="D288" t="s">
        <v>3</v>
      </c>
      <c r="E288" t="s">
        <v>54</v>
      </c>
      <c r="F288">
        <v>11.29</v>
      </c>
    </row>
    <row r="289" spans="1:6" x14ac:dyDescent="0.25">
      <c r="A289" t="s">
        <v>608</v>
      </c>
      <c r="B289" t="s">
        <v>157</v>
      </c>
      <c r="C289" t="s">
        <v>142</v>
      </c>
      <c r="D289" t="s">
        <v>3</v>
      </c>
      <c r="E289" t="s">
        <v>54</v>
      </c>
      <c r="F289">
        <v>11.29</v>
      </c>
    </row>
    <row r="290" spans="1:6" x14ac:dyDescent="0.25">
      <c r="A290" t="s">
        <v>608</v>
      </c>
      <c r="B290" t="s">
        <v>156</v>
      </c>
      <c r="C290" t="s">
        <v>142</v>
      </c>
      <c r="D290" t="s">
        <v>3</v>
      </c>
      <c r="E290" t="s">
        <v>54</v>
      </c>
      <c r="F290">
        <v>11.29</v>
      </c>
    </row>
    <row r="291" spans="1:6" x14ac:dyDescent="0.25">
      <c r="A291" t="s">
        <v>608</v>
      </c>
      <c r="B291" t="s">
        <v>113</v>
      </c>
      <c r="C291" t="s">
        <v>142</v>
      </c>
      <c r="D291" t="s">
        <v>3</v>
      </c>
      <c r="E291" t="s">
        <v>54</v>
      </c>
      <c r="F291">
        <v>11.29</v>
      </c>
    </row>
    <row r="292" spans="1:6" x14ac:dyDescent="0.25">
      <c r="A292" t="s">
        <v>608</v>
      </c>
      <c r="B292" t="s">
        <v>108</v>
      </c>
      <c r="C292" t="s">
        <v>140</v>
      </c>
      <c r="D292" t="s">
        <v>3</v>
      </c>
      <c r="E292" t="s">
        <v>54</v>
      </c>
      <c r="F292">
        <v>0</v>
      </c>
    </row>
    <row r="293" spans="1:6" x14ac:dyDescent="0.25">
      <c r="A293" t="s">
        <v>608</v>
      </c>
      <c r="B293" t="s">
        <v>109</v>
      </c>
      <c r="C293" t="s">
        <v>140</v>
      </c>
      <c r="D293" t="s">
        <v>3</v>
      </c>
      <c r="E293" t="s">
        <v>54</v>
      </c>
      <c r="F293">
        <v>0</v>
      </c>
    </row>
    <row r="294" spans="1:6" x14ac:dyDescent="0.25">
      <c r="A294" t="s">
        <v>608</v>
      </c>
      <c r="B294" t="s">
        <v>110</v>
      </c>
      <c r="C294" t="s">
        <v>140</v>
      </c>
      <c r="D294" t="s">
        <v>3</v>
      </c>
      <c r="E294" t="s">
        <v>54</v>
      </c>
      <c r="F294">
        <v>0</v>
      </c>
    </row>
    <row r="295" spans="1:6" x14ac:dyDescent="0.25">
      <c r="A295" t="s">
        <v>608</v>
      </c>
      <c r="B295" t="s">
        <v>111</v>
      </c>
      <c r="C295" t="s">
        <v>140</v>
      </c>
      <c r="D295" t="s">
        <v>3</v>
      </c>
      <c r="E295" t="s">
        <v>54</v>
      </c>
      <c r="F295">
        <v>0</v>
      </c>
    </row>
    <row r="296" spans="1:6" x14ac:dyDescent="0.25">
      <c r="A296" t="s">
        <v>608</v>
      </c>
      <c r="B296" t="s">
        <v>112</v>
      </c>
      <c r="C296" t="s">
        <v>140</v>
      </c>
      <c r="D296" t="s">
        <v>3</v>
      </c>
      <c r="E296" t="s">
        <v>54</v>
      </c>
      <c r="F296">
        <v>0</v>
      </c>
    </row>
    <row r="297" spans="1:6" x14ac:dyDescent="0.25">
      <c r="A297" t="s">
        <v>608</v>
      </c>
      <c r="B297" t="s">
        <v>124</v>
      </c>
      <c r="C297" t="s">
        <v>140</v>
      </c>
      <c r="D297" t="s">
        <v>3</v>
      </c>
      <c r="E297" t="s">
        <v>54</v>
      </c>
      <c r="F297">
        <v>0</v>
      </c>
    </row>
    <row r="298" spans="1:6" x14ac:dyDescent="0.25">
      <c r="A298" t="s">
        <v>608</v>
      </c>
      <c r="B298" t="s">
        <v>160</v>
      </c>
      <c r="C298" t="s">
        <v>140</v>
      </c>
      <c r="D298" t="s">
        <v>3</v>
      </c>
      <c r="E298" t="s">
        <v>54</v>
      </c>
      <c r="F298">
        <v>0</v>
      </c>
    </row>
    <row r="299" spans="1:6" x14ac:dyDescent="0.25">
      <c r="A299" t="s">
        <v>608</v>
      </c>
      <c r="B299" t="s">
        <v>159</v>
      </c>
      <c r="C299" t="s">
        <v>140</v>
      </c>
      <c r="D299" t="s">
        <v>3</v>
      </c>
      <c r="E299" t="s">
        <v>54</v>
      </c>
      <c r="F299">
        <v>0</v>
      </c>
    </row>
    <row r="300" spans="1:6" x14ac:dyDescent="0.25">
      <c r="A300" t="s">
        <v>608</v>
      </c>
      <c r="B300" t="s">
        <v>158</v>
      </c>
      <c r="C300" t="s">
        <v>140</v>
      </c>
      <c r="D300" t="s">
        <v>3</v>
      </c>
      <c r="E300" t="s">
        <v>54</v>
      </c>
      <c r="F300">
        <v>111.87</v>
      </c>
    </row>
    <row r="301" spans="1:6" x14ac:dyDescent="0.25">
      <c r="A301" t="s">
        <v>608</v>
      </c>
      <c r="B301" t="s">
        <v>157</v>
      </c>
      <c r="C301" t="s">
        <v>140</v>
      </c>
      <c r="D301" t="s">
        <v>3</v>
      </c>
      <c r="E301" t="s">
        <v>54</v>
      </c>
      <c r="F301">
        <v>0</v>
      </c>
    </row>
    <row r="302" spans="1:6" x14ac:dyDescent="0.25">
      <c r="A302" t="s">
        <v>608</v>
      </c>
      <c r="B302" t="s">
        <v>156</v>
      </c>
      <c r="C302" t="s">
        <v>140</v>
      </c>
      <c r="D302" t="s">
        <v>3</v>
      </c>
      <c r="E302" t="s">
        <v>54</v>
      </c>
      <c r="F302">
        <v>0</v>
      </c>
    </row>
    <row r="303" spans="1:6" x14ac:dyDescent="0.25">
      <c r="A303" t="s">
        <v>608</v>
      </c>
      <c r="B303" t="s">
        <v>113</v>
      </c>
      <c r="C303" t="s">
        <v>140</v>
      </c>
      <c r="D303" t="s">
        <v>3</v>
      </c>
      <c r="E303" t="s">
        <v>54</v>
      </c>
      <c r="F303">
        <v>0</v>
      </c>
    </row>
    <row r="304" spans="1:6" x14ac:dyDescent="0.25">
      <c r="A304" t="s">
        <v>608</v>
      </c>
      <c r="B304" t="s">
        <v>108</v>
      </c>
      <c r="C304" t="s">
        <v>136</v>
      </c>
      <c r="D304" t="s">
        <v>3</v>
      </c>
      <c r="E304" t="s">
        <v>54</v>
      </c>
      <c r="F304">
        <v>0</v>
      </c>
    </row>
    <row r="305" spans="1:6" x14ac:dyDescent="0.25">
      <c r="A305" t="s">
        <v>608</v>
      </c>
      <c r="B305" t="s">
        <v>109</v>
      </c>
      <c r="C305" t="s">
        <v>136</v>
      </c>
      <c r="D305" t="s">
        <v>3</v>
      </c>
      <c r="E305" t="s">
        <v>54</v>
      </c>
      <c r="F305">
        <v>13.55</v>
      </c>
    </row>
    <row r="306" spans="1:6" x14ac:dyDescent="0.25">
      <c r="A306" t="s">
        <v>608</v>
      </c>
      <c r="B306" t="s">
        <v>110</v>
      </c>
      <c r="C306" t="s">
        <v>136</v>
      </c>
      <c r="D306" t="s">
        <v>3</v>
      </c>
      <c r="E306" t="s">
        <v>54</v>
      </c>
      <c r="F306">
        <v>13.55</v>
      </c>
    </row>
    <row r="307" spans="1:6" x14ac:dyDescent="0.25">
      <c r="A307" t="s">
        <v>608</v>
      </c>
      <c r="B307" t="s">
        <v>111</v>
      </c>
      <c r="C307" t="s">
        <v>136</v>
      </c>
      <c r="D307" t="s">
        <v>3</v>
      </c>
      <c r="E307" t="s">
        <v>54</v>
      </c>
      <c r="F307">
        <v>13.55</v>
      </c>
    </row>
    <row r="308" spans="1:6" x14ac:dyDescent="0.25">
      <c r="A308" t="s">
        <v>608</v>
      </c>
      <c r="B308" t="s">
        <v>112</v>
      </c>
      <c r="C308" t="s">
        <v>136</v>
      </c>
      <c r="D308" t="s">
        <v>3</v>
      </c>
      <c r="E308" t="s">
        <v>54</v>
      </c>
      <c r="F308">
        <v>13.55</v>
      </c>
    </row>
    <row r="309" spans="1:6" x14ac:dyDescent="0.25">
      <c r="A309" t="s">
        <v>608</v>
      </c>
      <c r="B309" t="s">
        <v>124</v>
      </c>
      <c r="C309" t="s">
        <v>136</v>
      </c>
      <c r="D309" t="s">
        <v>3</v>
      </c>
      <c r="E309" t="s">
        <v>54</v>
      </c>
      <c r="F309">
        <v>13.55</v>
      </c>
    </row>
    <row r="310" spans="1:6" x14ac:dyDescent="0.25">
      <c r="A310" t="s">
        <v>608</v>
      </c>
      <c r="B310" t="s">
        <v>160</v>
      </c>
      <c r="C310" t="s">
        <v>136</v>
      </c>
      <c r="D310" t="s">
        <v>3</v>
      </c>
      <c r="E310" t="s">
        <v>54</v>
      </c>
      <c r="F310">
        <v>13.55</v>
      </c>
    </row>
    <row r="311" spans="1:6" x14ac:dyDescent="0.25">
      <c r="A311" t="s">
        <v>608</v>
      </c>
      <c r="B311" t="s">
        <v>159</v>
      </c>
      <c r="C311" t="s">
        <v>136</v>
      </c>
      <c r="D311" t="s">
        <v>3</v>
      </c>
      <c r="E311" t="s">
        <v>54</v>
      </c>
      <c r="F311">
        <v>13.55</v>
      </c>
    </row>
    <row r="312" spans="1:6" x14ac:dyDescent="0.25">
      <c r="A312" t="s">
        <v>608</v>
      </c>
      <c r="B312" t="s">
        <v>158</v>
      </c>
      <c r="C312" t="s">
        <v>136</v>
      </c>
      <c r="D312" t="s">
        <v>3</v>
      </c>
      <c r="E312" t="s">
        <v>54</v>
      </c>
      <c r="F312">
        <v>13.55</v>
      </c>
    </row>
    <row r="313" spans="1:6" x14ac:dyDescent="0.25">
      <c r="A313" t="s">
        <v>608</v>
      </c>
      <c r="B313" t="s">
        <v>157</v>
      </c>
      <c r="C313" t="s">
        <v>136</v>
      </c>
      <c r="D313" t="s">
        <v>3</v>
      </c>
      <c r="E313" t="s">
        <v>54</v>
      </c>
      <c r="F313">
        <v>13.55</v>
      </c>
    </row>
    <row r="314" spans="1:6" x14ac:dyDescent="0.25">
      <c r="A314" t="s">
        <v>608</v>
      </c>
      <c r="B314" t="s">
        <v>156</v>
      </c>
      <c r="C314" t="s">
        <v>136</v>
      </c>
      <c r="D314" t="s">
        <v>3</v>
      </c>
      <c r="E314" t="s">
        <v>54</v>
      </c>
      <c r="F314">
        <v>13.55</v>
      </c>
    </row>
    <row r="315" spans="1:6" x14ac:dyDescent="0.25">
      <c r="A315" t="s">
        <v>608</v>
      </c>
      <c r="B315" t="s">
        <v>113</v>
      </c>
      <c r="C315" t="s">
        <v>136</v>
      </c>
      <c r="D315" t="s">
        <v>3</v>
      </c>
      <c r="E315" t="s">
        <v>54</v>
      </c>
      <c r="F315">
        <v>13.55</v>
      </c>
    </row>
    <row r="316" spans="1:6" x14ac:dyDescent="0.25">
      <c r="A316" t="s">
        <v>608</v>
      </c>
      <c r="B316" t="s">
        <v>108</v>
      </c>
      <c r="C316" t="s">
        <v>149</v>
      </c>
      <c r="D316" t="s">
        <v>3</v>
      </c>
      <c r="E316" t="s">
        <v>54</v>
      </c>
      <c r="F316">
        <v>0</v>
      </c>
    </row>
    <row r="317" spans="1:6" x14ac:dyDescent="0.25">
      <c r="A317" t="s">
        <v>608</v>
      </c>
      <c r="B317" t="s">
        <v>109</v>
      </c>
      <c r="C317" t="s">
        <v>149</v>
      </c>
      <c r="D317" t="s">
        <v>3</v>
      </c>
      <c r="E317" t="s">
        <v>54</v>
      </c>
      <c r="F317">
        <v>0</v>
      </c>
    </row>
    <row r="318" spans="1:6" x14ac:dyDescent="0.25">
      <c r="A318" t="s">
        <v>608</v>
      </c>
      <c r="B318" t="s">
        <v>110</v>
      </c>
      <c r="C318" t="s">
        <v>149</v>
      </c>
      <c r="D318" t="s">
        <v>3</v>
      </c>
      <c r="E318" t="s">
        <v>54</v>
      </c>
      <c r="F318">
        <v>0</v>
      </c>
    </row>
    <row r="319" spans="1:6" x14ac:dyDescent="0.25">
      <c r="A319" t="s">
        <v>608</v>
      </c>
      <c r="B319" t="s">
        <v>111</v>
      </c>
      <c r="C319" t="s">
        <v>149</v>
      </c>
      <c r="D319" t="s">
        <v>3</v>
      </c>
      <c r="E319" t="s">
        <v>54</v>
      </c>
      <c r="F319">
        <v>0</v>
      </c>
    </row>
    <row r="320" spans="1:6" x14ac:dyDescent="0.25">
      <c r="A320" t="s">
        <v>608</v>
      </c>
      <c r="B320" t="s">
        <v>112</v>
      </c>
      <c r="C320" t="s">
        <v>149</v>
      </c>
      <c r="D320" t="s">
        <v>3</v>
      </c>
      <c r="E320" t="s">
        <v>54</v>
      </c>
      <c r="F320">
        <v>0</v>
      </c>
    </row>
    <row r="321" spans="1:6" x14ac:dyDescent="0.25">
      <c r="A321" t="s">
        <v>608</v>
      </c>
      <c r="B321" t="s">
        <v>124</v>
      </c>
      <c r="C321" t="s">
        <v>149</v>
      </c>
      <c r="D321" t="s">
        <v>3</v>
      </c>
      <c r="E321" t="s">
        <v>54</v>
      </c>
      <c r="F321">
        <v>7.65</v>
      </c>
    </row>
    <row r="322" spans="1:6" x14ac:dyDescent="0.25">
      <c r="A322" t="s">
        <v>608</v>
      </c>
      <c r="B322" t="s">
        <v>160</v>
      </c>
      <c r="C322" t="s">
        <v>149</v>
      </c>
      <c r="D322" t="s">
        <v>3</v>
      </c>
      <c r="E322" t="s">
        <v>54</v>
      </c>
      <c r="F322">
        <v>7.65</v>
      </c>
    </row>
    <row r="323" spans="1:6" x14ac:dyDescent="0.25">
      <c r="A323" t="s">
        <v>608</v>
      </c>
      <c r="B323" t="s">
        <v>159</v>
      </c>
      <c r="C323" t="s">
        <v>149</v>
      </c>
      <c r="D323" t="s">
        <v>3</v>
      </c>
      <c r="E323" t="s">
        <v>54</v>
      </c>
      <c r="F323">
        <v>7.65</v>
      </c>
    </row>
    <row r="324" spans="1:6" x14ac:dyDescent="0.25">
      <c r="A324" t="s">
        <v>608</v>
      </c>
      <c r="B324" t="s">
        <v>158</v>
      </c>
      <c r="C324" t="s">
        <v>149</v>
      </c>
      <c r="D324" t="s">
        <v>3</v>
      </c>
      <c r="E324" t="s">
        <v>54</v>
      </c>
      <c r="F324">
        <v>7.65</v>
      </c>
    </row>
    <row r="325" spans="1:6" x14ac:dyDescent="0.25">
      <c r="A325" t="s">
        <v>608</v>
      </c>
      <c r="B325" t="s">
        <v>157</v>
      </c>
      <c r="C325" t="s">
        <v>149</v>
      </c>
      <c r="D325" t="s">
        <v>3</v>
      </c>
      <c r="E325" t="s">
        <v>54</v>
      </c>
      <c r="F325">
        <v>7.65</v>
      </c>
    </row>
    <row r="326" spans="1:6" x14ac:dyDescent="0.25">
      <c r="A326" t="s">
        <v>608</v>
      </c>
      <c r="B326" t="s">
        <v>156</v>
      </c>
      <c r="C326" t="s">
        <v>149</v>
      </c>
      <c r="D326" t="s">
        <v>3</v>
      </c>
      <c r="E326" t="s">
        <v>54</v>
      </c>
      <c r="F326">
        <v>7.65</v>
      </c>
    </row>
    <row r="327" spans="1:6" x14ac:dyDescent="0.25">
      <c r="A327" t="s">
        <v>608</v>
      </c>
      <c r="B327" t="s">
        <v>113</v>
      </c>
      <c r="C327" t="s">
        <v>149</v>
      </c>
      <c r="D327" t="s">
        <v>3</v>
      </c>
      <c r="E327" t="s">
        <v>54</v>
      </c>
      <c r="F327">
        <v>7.65</v>
      </c>
    </row>
    <row r="328" spans="1:6" x14ac:dyDescent="0.25">
      <c r="A328" t="s">
        <v>608</v>
      </c>
      <c r="B328" t="s">
        <v>108</v>
      </c>
      <c r="C328" t="s">
        <v>246</v>
      </c>
      <c r="D328" t="s">
        <v>3</v>
      </c>
      <c r="E328" t="s">
        <v>54</v>
      </c>
      <c r="F328">
        <v>0</v>
      </c>
    </row>
    <row r="329" spans="1:6" x14ac:dyDescent="0.25">
      <c r="A329" t="s">
        <v>608</v>
      </c>
      <c r="B329" t="s">
        <v>109</v>
      </c>
      <c r="C329" t="s">
        <v>246</v>
      </c>
      <c r="D329" t="s">
        <v>3</v>
      </c>
      <c r="E329" t="s">
        <v>54</v>
      </c>
      <c r="F329">
        <v>0</v>
      </c>
    </row>
    <row r="330" spans="1:6" x14ac:dyDescent="0.25">
      <c r="A330" t="s">
        <v>608</v>
      </c>
      <c r="B330" t="s">
        <v>110</v>
      </c>
      <c r="C330" t="s">
        <v>246</v>
      </c>
      <c r="D330" t="s">
        <v>3</v>
      </c>
      <c r="E330" t="s">
        <v>54</v>
      </c>
      <c r="F330">
        <v>0</v>
      </c>
    </row>
    <row r="331" spans="1:6" x14ac:dyDescent="0.25">
      <c r="A331" t="s">
        <v>608</v>
      </c>
      <c r="B331" t="s">
        <v>111</v>
      </c>
      <c r="C331" t="s">
        <v>246</v>
      </c>
      <c r="D331" t="s">
        <v>3</v>
      </c>
      <c r="E331" t="s">
        <v>54</v>
      </c>
      <c r="F331">
        <v>0</v>
      </c>
    </row>
    <row r="332" spans="1:6" x14ac:dyDescent="0.25">
      <c r="A332" t="s">
        <v>608</v>
      </c>
      <c r="B332" t="s">
        <v>112</v>
      </c>
      <c r="C332" t="s">
        <v>246</v>
      </c>
      <c r="D332" t="s">
        <v>3</v>
      </c>
      <c r="E332" t="s">
        <v>54</v>
      </c>
      <c r="F332">
        <v>0</v>
      </c>
    </row>
    <row r="333" spans="1:6" x14ac:dyDescent="0.25">
      <c r="A333" t="s">
        <v>608</v>
      </c>
      <c r="B333" t="s">
        <v>124</v>
      </c>
      <c r="C333" t="s">
        <v>246</v>
      </c>
      <c r="D333" t="s">
        <v>3</v>
      </c>
      <c r="E333" t="s">
        <v>54</v>
      </c>
      <c r="F333">
        <v>3.38</v>
      </c>
    </row>
    <row r="334" spans="1:6" x14ac:dyDescent="0.25">
      <c r="A334" t="s">
        <v>608</v>
      </c>
      <c r="B334" t="s">
        <v>160</v>
      </c>
      <c r="C334" t="s">
        <v>246</v>
      </c>
      <c r="D334" t="s">
        <v>3</v>
      </c>
      <c r="E334" t="s">
        <v>54</v>
      </c>
      <c r="F334">
        <v>3.38</v>
      </c>
    </row>
    <row r="335" spans="1:6" x14ac:dyDescent="0.25">
      <c r="A335" t="s">
        <v>608</v>
      </c>
      <c r="B335" t="s">
        <v>159</v>
      </c>
      <c r="C335" t="s">
        <v>246</v>
      </c>
      <c r="D335" t="s">
        <v>3</v>
      </c>
      <c r="E335" t="s">
        <v>54</v>
      </c>
      <c r="F335">
        <v>3.38</v>
      </c>
    </row>
    <row r="336" spans="1:6" x14ac:dyDescent="0.25">
      <c r="A336" t="s">
        <v>608</v>
      </c>
      <c r="B336" t="s">
        <v>158</v>
      </c>
      <c r="C336" t="s">
        <v>246</v>
      </c>
      <c r="D336" t="s">
        <v>3</v>
      </c>
      <c r="E336" t="s">
        <v>54</v>
      </c>
      <c r="F336">
        <v>3.38</v>
      </c>
    </row>
    <row r="337" spans="1:6" x14ac:dyDescent="0.25">
      <c r="A337" t="s">
        <v>608</v>
      </c>
      <c r="B337" t="s">
        <v>157</v>
      </c>
      <c r="C337" t="s">
        <v>246</v>
      </c>
      <c r="D337" t="s">
        <v>3</v>
      </c>
      <c r="E337" t="s">
        <v>54</v>
      </c>
      <c r="F337">
        <v>3.38</v>
      </c>
    </row>
    <row r="338" spans="1:6" x14ac:dyDescent="0.25">
      <c r="A338" t="s">
        <v>608</v>
      </c>
      <c r="B338" t="s">
        <v>156</v>
      </c>
      <c r="C338" t="s">
        <v>246</v>
      </c>
      <c r="D338" t="s">
        <v>3</v>
      </c>
      <c r="E338" t="s">
        <v>54</v>
      </c>
      <c r="F338">
        <v>3.38</v>
      </c>
    </row>
    <row r="339" spans="1:6" x14ac:dyDescent="0.25">
      <c r="A339" t="s">
        <v>608</v>
      </c>
      <c r="B339" t="s">
        <v>113</v>
      </c>
      <c r="C339" t="s">
        <v>246</v>
      </c>
      <c r="D339" t="s">
        <v>3</v>
      </c>
      <c r="E339" t="s">
        <v>54</v>
      </c>
      <c r="F339">
        <v>3.38</v>
      </c>
    </row>
    <row r="340" spans="1:6" x14ac:dyDescent="0.25">
      <c r="A340" t="s">
        <v>608</v>
      </c>
      <c r="B340" t="s">
        <v>112</v>
      </c>
      <c r="C340" t="s">
        <v>155</v>
      </c>
      <c r="D340" t="s">
        <v>3</v>
      </c>
      <c r="E340" t="s">
        <v>54</v>
      </c>
      <c r="F340">
        <v>6.77</v>
      </c>
    </row>
    <row r="341" spans="1:6" x14ac:dyDescent="0.25">
      <c r="A341" t="s">
        <v>608</v>
      </c>
      <c r="B341" t="s">
        <v>124</v>
      </c>
      <c r="C341" t="s">
        <v>155</v>
      </c>
      <c r="D341" t="s">
        <v>3</v>
      </c>
      <c r="E341" t="s">
        <v>54</v>
      </c>
      <c r="F341">
        <v>6.77</v>
      </c>
    </row>
    <row r="342" spans="1:6" x14ac:dyDescent="0.25">
      <c r="A342" t="s">
        <v>608</v>
      </c>
      <c r="B342" t="s">
        <v>160</v>
      </c>
      <c r="C342" t="s">
        <v>155</v>
      </c>
      <c r="D342" t="s">
        <v>3</v>
      </c>
      <c r="E342" t="s">
        <v>54</v>
      </c>
      <c r="F342">
        <v>6.77</v>
      </c>
    </row>
    <row r="343" spans="1:6" x14ac:dyDescent="0.25">
      <c r="A343" t="s">
        <v>608</v>
      </c>
      <c r="B343" t="s">
        <v>159</v>
      </c>
      <c r="C343" t="s">
        <v>155</v>
      </c>
      <c r="D343" t="s">
        <v>3</v>
      </c>
      <c r="E343" t="s">
        <v>54</v>
      </c>
      <c r="F343">
        <v>6.77</v>
      </c>
    </row>
    <row r="344" spans="1:6" x14ac:dyDescent="0.25">
      <c r="A344" t="s">
        <v>608</v>
      </c>
      <c r="B344" t="s">
        <v>158</v>
      </c>
      <c r="C344" t="s">
        <v>155</v>
      </c>
      <c r="D344" t="s">
        <v>3</v>
      </c>
      <c r="E344" t="s">
        <v>54</v>
      </c>
      <c r="F344">
        <v>6.77</v>
      </c>
    </row>
    <row r="345" spans="1:6" x14ac:dyDescent="0.25">
      <c r="A345" t="s">
        <v>608</v>
      </c>
      <c r="B345" t="s">
        <v>157</v>
      </c>
      <c r="C345" t="s">
        <v>155</v>
      </c>
      <c r="D345" t="s">
        <v>3</v>
      </c>
      <c r="E345" t="s">
        <v>54</v>
      </c>
      <c r="F345">
        <v>6.77</v>
      </c>
    </row>
    <row r="346" spans="1:6" x14ac:dyDescent="0.25">
      <c r="A346" t="s">
        <v>608</v>
      </c>
      <c r="B346" t="s">
        <v>156</v>
      </c>
      <c r="C346" t="s">
        <v>155</v>
      </c>
      <c r="D346" t="s">
        <v>3</v>
      </c>
      <c r="E346" t="s">
        <v>54</v>
      </c>
      <c r="F346">
        <v>6.77</v>
      </c>
    </row>
    <row r="347" spans="1:6" x14ac:dyDescent="0.25">
      <c r="A347" t="s">
        <v>608</v>
      </c>
      <c r="B347" t="s">
        <v>113</v>
      </c>
      <c r="C347" t="s">
        <v>155</v>
      </c>
      <c r="D347" t="s">
        <v>3</v>
      </c>
      <c r="E347" t="s">
        <v>54</v>
      </c>
      <c r="F347">
        <v>6.77</v>
      </c>
    </row>
    <row r="348" spans="1:6" x14ac:dyDescent="0.25">
      <c r="A348" t="s">
        <v>608</v>
      </c>
      <c r="B348" t="s">
        <v>111</v>
      </c>
      <c r="C348" t="s">
        <v>232</v>
      </c>
      <c r="D348" t="s">
        <v>3</v>
      </c>
      <c r="E348" t="s">
        <v>54</v>
      </c>
      <c r="F348">
        <v>100</v>
      </c>
    </row>
    <row r="349" spans="1:6" x14ac:dyDescent="0.25">
      <c r="A349" t="s">
        <v>608</v>
      </c>
      <c r="B349" t="s">
        <v>159</v>
      </c>
      <c r="C349" t="s">
        <v>232</v>
      </c>
      <c r="D349" t="s">
        <v>3</v>
      </c>
      <c r="E349" t="s">
        <v>54</v>
      </c>
      <c r="F349">
        <v>30</v>
      </c>
    </row>
    <row r="350" spans="1:6" x14ac:dyDescent="0.25">
      <c r="A350" t="s">
        <v>608</v>
      </c>
      <c r="B350" t="s">
        <v>108</v>
      </c>
      <c r="C350" t="s">
        <v>320</v>
      </c>
      <c r="D350" t="s">
        <v>3</v>
      </c>
      <c r="E350" t="s">
        <v>54</v>
      </c>
      <c r="F350">
        <v>0</v>
      </c>
    </row>
    <row r="351" spans="1:6" x14ac:dyDescent="0.25">
      <c r="A351" t="s">
        <v>608</v>
      </c>
      <c r="B351" t="s">
        <v>109</v>
      </c>
      <c r="C351" t="s">
        <v>320</v>
      </c>
      <c r="D351" t="s">
        <v>3</v>
      </c>
      <c r="E351" t="s">
        <v>54</v>
      </c>
      <c r="F351">
        <v>8.39</v>
      </c>
    </row>
    <row r="352" spans="1:6" x14ac:dyDescent="0.25">
      <c r="A352" t="s">
        <v>608</v>
      </c>
      <c r="B352" t="s">
        <v>110</v>
      </c>
      <c r="C352" t="s">
        <v>320</v>
      </c>
      <c r="D352" t="s">
        <v>3</v>
      </c>
      <c r="E352" t="s">
        <v>54</v>
      </c>
      <c r="F352">
        <v>8.39</v>
      </c>
    </row>
    <row r="353" spans="1:6" x14ac:dyDescent="0.25">
      <c r="A353" t="s">
        <v>608</v>
      </c>
      <c r="B353" t="s">
        <v>111</v>
      </c>
      <c r="C353" t="s">
        <v>320</v>
      </c>
      <c r="D353" t="s">
        <v>3</v>
      </c>
      <c r="E353" t="s">
        <v>54</v>
      </c>
      <c r="F353">
        <v>8.39</v>
      </c>
    </row>
    <row r="354" spans="1:6" x14ac:dyDescent="0.25">
      <c r="A354" t="s">
        <v>608</v>
      </c>
      <c r="B354" t="s">
        <v>112</v>
      </c>
      <c r="C354" t="s">
        <v>320</v>
      </c>
      <c r="D354" t="s">
        <v>3</v>
      </c>
      <c r="E354" t="s">
        <v>54</v>
      </c>
      <c r="F354">
        <v>8.39</v>
      </c>
    </row>
    <row r="355" spans="1:6" x14ac:dyDescent="0.25">
      <c r="A355" t="s">
        <v>608</v>
      </c>
      <c r="B355" t="s">
        <v>124</v>
      </c>
      <c r="C355" t="s">
        <v>320</v>
      </c>
      <c r="D355" t="s">
        <v>3</v>
      </c>
      <c r="E355" t="s">
        <v>54</v>
      </c>
      <c r="F355">
        <v>8.39</v>
      </c>
    </row>
    <row r="356" spans="1:6" x14ac:dyDescent="0.25">
      <c r="A356" t="s">
        <v>608</v>
      </c>
      <c r="B356" t="s">
        <v>160</v>
      </c>
      <c r="C356" t="s">
        <v>320</v>
      </c>
      <c r="D356" t="s">
        <v>3</v>
      </c>
      <c r="E356" t="s">
        <v>54</v>
      </c>
      <c r="F356">
        <v>8.39</v>
      </c>
    </row>
    <row r="357" spans="1:6" x14ac:dyDescent="0.25">
      <c r="A357" t="s">
        <v>608</v>
      </c>
      <c r="B357" t="s">
        <v>159</v>
      </c>
      <c r="C357" t="s">
        <v>320</v>
      </c>
      <c r="D357" t="s">
        <v>3</v>
      </c>
      <c r="E357" t="s">
        <v>54</v>
      </c>
      <c r="F357">
        <v>8.39</v>
      </c>
    </row>
    <row r="358" spans="1:6" x14ac:dyDescent="0.25">
      <c r="A358" t="s">
        <v>608</v>
      </c>
      <c r="B358" t="s">
        <v>158</v>
      </c>
      <c r="C358" t="s">
        <v>320</v>
      </c>
      <c r="D358" t="s">
        <v>3</v>
      </c>
      <c r="E358" t="s">
        <v>54</v>
      </c>
      <c r="F358">
        <v>8.39</v>
      </c>
    </row>
    <row r="359" spans="1:6" x14ac:dyDescent="0.25">
      <c r="A359" t="s">
        <v>608</v>
      </c>
      <c r="B359" t="s">
        <v>157</v>
      </c>
      <c r="C359" t="s">
        <v>320</v>
      </c>
      <c r="D359" t="s">
        <v>3</v>
      </c>
      <c r="E359" t="s">
        <v>54</v>
      </c>
      <c r="F359">
        <v>8.39</v>
      </c>
    </row>
    <row r="360" spans="1:6" x14ac:dyDescent="0.25">
      <c r="A360" t="s">
        <v>608</v>
      </c>
      <c r="B360" t="s">
        <v>156</v>
      </c>
      <c r="C360" t="s">
        <v>320</v>
      </c>
      <c r="D360" t="s">
        <v>3</v>
      </c>
      <c r="E360" t="s">
        <v>54</v>
      </c>
      <c r="F360">
        <v>8.39</v>
      </c>
    </row>
    <row r="361" spans="1:6" x14ac:dyDescent="0.25">
      <c r="A361" t="s">
        <v>608</v>
      </c>
      <c r="B361" t="s">
        <v>113</v>
      </c>
      <c r="C361" t="s">
        <v>320</v>
      </c>
      <c r="D361" t="s">
        <v>3</v>
      </c>
      <c r="E361" t="s">
        <v>54</v>
      </c>
      <c r="F361">
        <v>8.39</v>
      </c>
    </row>
    <row r="362" spans="1:6" x14ac:dyDescent="0.25">
      <c r="A362" t="s">
        <v>608</v>
      </c>
      <c r="B362" t="s">
        <v>108</v>
      </c>
      <c r="C362" t="s">
        <v>180</v>
      </c>
      <c r="D362" t="s">
        <v>3</v>
      </c>
      <c r="E362" t="s">
        <v>50</v>
      </c>
      <c r="F362">
        <v>65</v>
      </c>
    </row>
    <row r="363" spans="1:6" x14ac:dyDescent="0.25">
      <c r="A363" t="s">
        <v>608</v>
      </c>
      <c r="B363" t="s">
        <v>109</v>
      </c>
      <c r="C363" t="s">
        <v>180</v>
      </c>
      <c r="D363" t="s">
        <v>3</v>
      </c>
      <c r="E363" t="s">
        <v>50</v>
      </c>
      <c r="F363">
        <v>65</v>
      </c>
    </row>
    <row r="364" spans="1:6" x14ac:dyDescent="0.25">
      <c r="A364" t="s">
        <v>608</v>
      </c>
      <c r="B364" t="s">
        <v>110</v>
      </c>
      <c r="C364" t="s">
        <v>180</v>
      </c>
      <c r="D364" t="s">
        <v>3</v>
      </c>
      <c r="E364" t="s">
        <v>50</v>
      </c>
      <c r="F364">
        <v>65</v>
      </c>
    </row>
    <row r="365" spans="1:6" x14ac:dyDescent="0.25">
      <c r="A365" t="s">
        <v>608</v>
      </c>
      <c r="B365" t="s">
        <v>111</v>
      </c>
      <c r="C365" t="s">
        <v>180</v>
      </c>
      <c r="D365" t="s">
        <v>3</v>
      </c>
      <c r="E365" t="s">
        <v>50</v>
      </c>
      <c r="F365">
        <v>65</v>
      </c>
    </row>
    <row r="366" spans="1:6" x14ac:dyDescent="0.25">
      <c r="A366" t="s">
        <v>608</v>
      </c>
      <c r="B366" t="s">
        <v>112</v>
      </c>
      <c r="C366" t="s">
        <v>180</v>
      </c>
      <c r="D366" t="s">
        <v>3</v>
      </c>
      <c r="E366" t="s">
        <v>50</v>
      </c>
      <c r="F366">
        <v>65</v>
      </c>
    </row>
    <row r="367" spans="1:6" x14ac:dyDescent="0.25">
      <c r="A367" t="s">
        <v>608</v>
      </c>
      <c r="B367" t="s">
        <v>124</v>
      </c>
      <c r="C367" t="s">
        <v>180</v>
      </c>
      <c r="D367" t="s">
        <v>3</v>
      </c>
      <c r="E367" t="s">
        <v>50</v>
      </c>
      <c r="F367">
        <v>65</v>
      </c>
    </row>
    <row r="368" spans="1:6" x14ac:dyDescent="0.25">
      <c r="A368" t="s">
        <v>608</v>
      </c>
      <c r="B368" t="s">
        <v>160</v>
      </c>
      <c r="C368" t="s">
        <v>180</v>
      </c>
      <c r="D368" t="s">
        <v>3</v>
      </c>
      <c r="E368" t="s">
        <v>50</v>
      </c>
      <c r="F368">
        <v>65</v>
      </c>
    </row>
    <row r="369" spans="1:6" x14ac:dyDescent="0.25">
      <c r="A369" t="s">
        <v>608</v>
      </c>
      <c r="B369" t="s">
        <v>159</v>
      </c>
      <c r="C369" t="s">
        <v>180</v>
      </c>
      <c r="D369" t="s">
        <v>3</v>
      </c>
      <c r="E369" t="s">
        <v>50</v>
      </c>
      <c r="F369">
        <v>65</v>
      </c>
    </row>
    <row r="370" spans="1:6" x14ac:dyDescent="0.25">
      <c r="A370" t="s">
        <v>608</v>
      </c>
      <c r="B370" t="s">
        <v>158</v>
      </c>
      <c r="C370" t="s">
        <v>180</v>
      </c>
      <c r="D370" t="s">
        <v>3</v>
      </c>
      <c r="E370" t="s">
        <v>50</v>
      </c>
      <c r="F370">
        <v>65</v>
      </c>
    </row>
    <row r="371" spans="1:6" x14ac:dyDescent="0.25">
      <c r="A371" t="s">
        <v>608</v>
      </c>
      <c r="B371" t="s">
        <v>157</v>
      </c>
      <c r="C371" t="s">
        <v>180</v>
      </c>
      <c r="D371" t="s">
        <v>3</v>
      </c>
      <c r="E371" t="s">
        <v>50</v>
      </c>
      <c r="F371">
        <v>65</v>
      </c>
    </row>
    <row r="372" spans="1:6" x14ac:dyDescent="0.25">
      <c r="A372" t="s">
        <v>608</v>
      </c>
      <c r="B372" t="s">
        <v>156</v>
      </c>
      <c r="C372" t="s">
        <v>180</v>
      </c>
      <c r="D372" t="s">
        <v>3</v>
      </c>
      <c r="E372" t="s">
        <v>50</v>
      </c>
      <c r="F372">
        <v>65</v>
      </c>
    </row>
    <row r="373" spans="1:6" x14ac:dyDescent="0.25">
      <c r="A373" t="s">
        <v>608</v>
      </c>
      <c r="B373" t="s">
        <v>113</v>
      </c>
      <c r="C373" t="s">
        <v>180</v>
      </c>
      <c r="D373" t="s">
        <v>3</v>
      </c>
      <c r="E373" t="s">
        <v>50</v>
      </c>
      <c r="F373">
        <v>65</v>
      </c>
    </row>
    <row r="374" spans="1:6" x14ac:dyDescent="0.25">
      <c r="A374" t="s">
        <v>608</v>
      </c>
      <c r="B374" t="s">
        <v>124</v>
      </c>
      <c r="C374" t="s">
        <v>119</v>
      </c>
      <c r="D374" t="s">
        <v>3</v>
      </c>
      <c r="E374" t="s">
        <v>50</v>
      </c>
      <c r="F374">
        <v>100</v>
      </c>
    </row>
    <row r="375" spans="1:6" x14ac:dyDescent="0.25">
      <c r="A375" t="s">
        <v>608</v>
      </c>
      <c r="B375" t="s">
        <v>108</v>
      </c>
      <c r="C375" t="s">
        <v>115</v>
      </c>
      <c r="D375" t="s">
        <v>3</v>
      </c>
      <c r="E375" t="s">
        <v>50</v>
      </c>
      <c r="F375">
        <v>0</v>
      </c>
    </row>
    <row r="376" spans="1:6" x14ac:dyDescent="0.25">
      <c r="A376" t="s">
        <v>608</v>
      </c>
      <c r="B376" t="s">
        <v>109</v>
      </c>
      <c r="C376" t="s">
        <v>115</v>
      </c>
      <c r="D376" t="s">
        <v>3</v>
      </c>
      <c r="E376" t="s">
        <v>50</v>
      </c>
      <c r="F376">
        <v>0</v>
      </c>
    </row>
    <row r="377" spans="1:6" x14ac:dyDescent="0.25">
      <c r="A377" t="s">
        <v>608</v>
      </c>
      <c r="B377" t="s">
        <v>110</v>
      </c>
      <c r="C377" t="s">
        <v>115</v>
      </c>
      <c r="D377" t="s">
        <v>3</v>
      </c>
      <c r="E377" t="s">
        <v>50</v>
      </c>
      <c r="F377">
        <v>0</v>
      </c>
    </row>
    <row r="378" spans="1:6" x14ac:dyDescent="0.25">
      <c r="A378" t="s">
        <v>608</v>
      </c>
      <c r="B378" t="s">
        <v>111</v>
      </c>
      <c r="C378" t="s">
        <v>115</v>
      </c>
      <c r="D378" t="s">
        <v>3</v>
      </c>
      <c r="E378" t="s">
        <v>50</v>
      </c>
      <c r="F378">
        <v>0</v>
      </c>
    </row>
    <row r="379" spans="1:6" x14ac:dyDescent="0.25">
      <c r="A379" t="s">
        <v>608</v>
      </c>
      <c r="B379" t="s">
        <v>112</v>
      </c>
      <c r="C379" t="s">
        <v>115</v>
      </c>
      <c r="D379" t="s">
        <v>3</v>
      </c>
      <c r="E379" t="s">
        <v>50</v>
      </c>
      <c r="F379">
        <v>0</v>
      </c>
    </row>
    <row r="380" spans="1:6" x14ac:dyDescent="0.25">
      <c r="A380" t="s">
        <v>608</v>
      </c>
      <c r="B380" t="s">
        <v>124</v>
      </c>
      <c r="C380" t="s">
        <v>115</v>
      </c>
      <c r="D380" t="s">
        <v>3</v>
      </c>
      <c r="E380" t="s">
        <v>50</v>
      </c>
      <c r="F380">
        <v>0</v>
      </c>
    </row>
    <row r="381" spans="1:6" x14ac:dyDescent="0.25">
      <c r="A381" t="s">
        <v>608</v>
      </c>
      <c r="B381" t="s">
        <v>160</v>
      </c>
      <c r="C381" t="s">
        <v>115</v>
      </c>
      <c r="D381" t="s">
        <v>3</v>
      </c>
      <c r="E381" t="s">
        <v>50</v>
      </c>
      <c r="F381">
        <v>0</v>
      </c>
    </row>
    <row r="382" spans="1:6" x14ac:dyDescent="0.25">
      <c r="A382" t="s">
        <v>608</v>
      </c>
      <c r="B382" t="s">
        <v>159</v>
      </c>
      <c r="C382" t="s">
        <v>115</v>
      </c>
      <c r="D382" t="s">
        <v>3</v>
      </c>
      <c r="E382" t="s">
        <v>50</v>
      </c>
      <c r="F382">
        <v>0</v>
      </c>
    </row>
    <row r="383" spans="1:6" x14ac:dyDescent="0.25">
      <c r="A383" t="s">
        <v>608</v>
      </c>
      <c r="B383" t="s">
        <v>158</v>
      </c>
      <c r="C383" t="s">
        <v>115</v>
      </c>
      <c r="D383" t="s">
        <v>3</v>
      </c>
      <c r="E383" t="s">
        <v>50</v>
      </c>
      <c r="F383">
        <v>0</v>
      </c>
    </row>
    <row r="384" spans="1:6" x14ac:dyDescent="0.25">
      <c r="A384" t="s">
        <v>608</v>
      </c>
      <c r="B384" t="s">
        <v>157</v>
      </c>
      <c r="C384" t="s">
        <v>115</v>
      </c>
      <c r="D384" t="s">
        <v>3</v>
      </c>
      <c r="E384" t="s">
        <v>50</v>
      </c>
      <c r="F384">
        <v>0</v>
      </c>
    </row>
    <row r="385" spans="1:6" x14ac:dyDescent="0.25">
      <c r="A385" t="s">
        <v>608</v>
      </c>
      <c r="B385" t="s">
        <v>156</v>
      </c>
      <c r="C385" t="s">
        <v>115</v>
      </c>
      <c r="D385" t="s">
        <v>3</v>
      </c>
      <c r="E385" t="s">
        <v>50</v>
      </c>
      <c r="F385">
        <v>0</v>
      </c>
    </row>
    <row r="386" spans="1:6" x14ac:dyDescent="0.25">
      <c r="A386" t="s">
        <v>608</v>
      </c>
      <c r="B386" t="s">
        <v>113</v>
      </c>
      <c r="C386" t="s">
        <v>115</v>
      </c>
      <c r="D386" t="s">
        <v>3</v>
      </c>
      <c r="E386" t="s">
        <v>50</v>
      </c>
      <c r="F386">
        <v>0</v>
      </c>
    </row>
    <row r="387" spans="1:6" x14ac:dyDescent="0.25">
      <c r="A387" t="s">
        <v>608</v>
      </c>
      <c r="B387" t="s">
        <v>108</v>
      </c>
      <c r="C387" t="s">
        <v>146</v>
      </c>
      <c r="D387" t="s">
        <v>3</v>
      </c>
      <c r="E387" t="s">
        <v>37</v>
      </c>
      <c r="F387">
        <v>0</v>
      </c>
    </row>
    <row r="388" spans="1:6" x14ac:dyDescent="0.25">
      <c r="A388" t="s">
        <v>608</v>
      </c>
      <c r="B388" t="s">
        <v>109</v>
      </c>
      <c r="C388" t="s">
        <v>146</v>
      </c>
      <c r="D388" t="s">
        <v>3</v>
      </c>
      <c r="E388" t="s">
        <v>37</v>
      </c>
      <c r="F388">
        <v>0</v>
      </c>
    </row>
    <row r="389" spans="1:6" x14ac:dyDescent="0.25">
      <c r="A389" t="s">
        <v>608</v>
      </c>
      <c r="B389" t="s">
        <v>110</v>
      </c>
      <c r="C389" t="s">
        <v>146</v>
      </c>
      <c r="D389" t="s">
        <v>3</v>
      </c>
      <c r="E389" t="s">
        <v>37</v>
      </c>
      <c r="F389">
        <v>0</v>
      </c>
    </row>
    <row r="390" spans="1:6" x14ac:dyDescent="0.25">
      <c r="A390" t="s">
        <v>608</v>
      </c>
      <c r="B390" t="s">
        <v>111</v>
      </c>
      <c r="C390" t="s">
        <v>146</v>
      </c>
      <c r="D390" t="s">
        <v>3</v>
      </c>
      <c r="E390" t="s">
        <v>37</v>
      </c>
      <c r="F390">
        <v>0</v>
      </c>
    </row>
    <row r="391" spans="1:6" x14ac:dyDescent="0.25">
      <c r="A391" t="s">
        <v>608</v>
      </c>
      <c r="B391" t="s">
        <v>112</v>
      </c>
      <c r="C391" t="s">
        <v>146</v>
      </c>
      <c r="D391" t="s">
        <v>3</v>
      </c>
      <c r="E391" t="s">
        <v>37</v>
      </c>
      <c r="F391">
        <v>250</v>
      </c>
    </row>
    <row r="392" spans="1:6" x14ac:dyDescent="0.25">
      <c r="A392" t="s">
        <v>608</v>
      </c>
      <c r="B392" t="s">
        <v>124</v>
      </c>
      <c r="C392" t="s">
        <v>146</v>
      </c>
      <c r="D392" t="s">
        <v>3</v>
      </c>
      <c r="E392" t="s">
        <v>37</v>
      </c>
      <c r="F392">
        <v>250</v>
      </c>
    </row>
    <row r="393" spans="1:6" x14ac:dyDescent="0.25">
      <c r="A393" t="s">
        <v>608</v>
      </c>
      <c r="B393" t="s">
        <v>160</v>
      </c>
      <c r="C393" t="s">
        <v>146</v>
      </c>
      <c r="D393" t="s">
        <v>3</v>
      </c>
      <c r="E393" t="s">
        <v>37</v>
      </c>
      <c r="F393">
        <v>250</v>
      </c>
    </row>
    <row r="394" spans="1:6" x14ac:dyDescent="0.25">
      <c r="A394" t="s">
        <v>608</v>
      </c>
      <c r="B394" t="s">
        <v>159</v>
      </c>
      <c r="C394" t="s">
        <v>146</v>
      </c>
      <c r="D394" t="s">
        <v>3</v>
      </c>
      <c r="E394" t="s">
        <v>37</v>
      </c>
      <c r="F394">
        <v>250</v>
      </c>
    </row>
    <row r="395" spans="1:6" x14ac:dyDescent="0.25">
      <c r="A395" t="s">
        <v>608</v>
      </c>
      <c r="B395" t="s">
        <v>158</v>
      </c>
      <c r="C395" t="s">
        <v>146</v>
      </c>
      <c r="D395" t="s">
        <v>3</v>
      </c>
      <c r="E395" t="s">
        <v>37</v>
      </c>
      <c r="F395">
        <v>250</v>
      </c>
    </row>
    <row r="396" spans="1:6" x14ac:dyDescent="0.25">
      <c r="A396" t="s">
        <v>609</v>
      </c>
      <c r="B396" t="s">
        <v>160</v>
      </c>
      <c r="C396" t="s">
        <v>198</v>
      </c>
      <c r="D396" t="s">
        <v>3</v>
      </c>
      <c r="E396" t="s">
        <v>129</v>
      </c>
      <c r="F396">
        <v>450</v>
      </c>
    </row>
    <row r="397" spans="1:6" x14ac:dyDescent="0.25">
      <c r="A397" t="s">
        <v>609</v>
      </c>
      <c r="B397" t="s">
        <v>124</v>
      </c>
      <c r="C397" t="s">
        <v>223</v>
      </c>
      <c r="D397" t="s">
        <v>3</v>
      </c>
      <c r="E397" t="s">
        <v>50</v>
      </c>
      <c r="F397">
        <v>65</v>
      </c>
    </row>
    <row r="398" spans="1:6" x14ac:dyDescent="0.25">
      <c r="A398" t="s">
        <v>609</v>
      </c>
      <c r="B398" t="s">
        <v>158</v>
      </c>
      <c r="C398" t="s">
        <v>227</v>
      </c>
      <c r="D398" t="s">
        <v>3</v>
      </c>
      <c r="E398" t="s">
        <v>129</v>
      </c>
      <c r="F398">
        <v>100</v>
      </c>
    </row>
    <row r="399" spans="1:6" x14ac:dyDescent="0.25">
      <c r="A399" t="s">
        <v>609</v>
      </c>
      <c r="B399" t="s">
        <v>156</v>
      </c>
      <c r="C399" t="s">
        <v>213</v>
      </c>
      <c r="D399" t="s">
        <v>3</v>
      </c>
      <c r="E399" t="s">
        <v>212</v>
      </c>
      <c r="F399">
        <v>50</v>
      </c>
    </row>
    <row r="400" spans="1:6" x14ac:dyDescent="0.25">
      <c r="A400" t="s">
        <v>609</v>
      </c>
      <c r="B400" t="s">
        <v>157</v>
      </c>
      <c r="C400" t="s">
        <v>247</v>
      </c>
      <c r="D400" t="s">
        <v>3</v>
      </c>
      <c r="E400" t="s">
        <v>51</v>
      </c>
      <c r="F400">
        <v>750</v>
      </c>
    </row>
    <row r="401" spans="1:6" x14ac:dyDescent="0.25">
      <c r="A401" t="s">
        <v>609</v>
      </c>
      <c r="B401" t="s">
        <v>157</v>
      </c>
      <c r="C401" t="s">
        <v>460</v>
      </c>
      <c r="D401" t="s">
        <v>3</v>
      </c>
      <c r="E401" t="s">
        <v>51</v>
      </c>
      <c r="F401">
        <v>150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FFF7A-3964-448F-9B2F-F05AF94239A4}">
  <sheetPr codeName="Sheet10"/>
  <dimension ref="B3:G206"/>
  <sheetViews>
    <sheetView workbookViewId="0">
      <selection activeCell="D16" sqref="D16"/>
    </sheetView>
  </sheetViews>
  <sheetFormatPr defaultRowHeight="15" x14ac:dyDescent="0.25"/>
  <cols>
    <col min="2" max="2" width="7" bestFit="1" customWidth="1"/>
    <col min="3" max="3" width="27.5703125" bestFit="1" customWidth="1"/>
    <col min="4" max="4" width="13.85546875" bestFit="1" customWidth="1"/>
    <col min="5" max="5" width="9.5703125" bestFit="1" customWidth="1"/>
  </cols>
  <sheetData>
    <row r="3" spans="2:5" x14ac:dyDescent="0.25">
      <c r="B3" t="s">
        <v>12</v>
      </c>
      <c r="C3" t="s">
        <v>10</v>
      </c>
      <c r="D3" t="s">
        <v>523</v>
      </c>
      <c r="E3" t="s">
        <v>95</v>
      </c>
    </row>
    <row r="4" spans="2:5" x14ac:dyDescent="0.25">
      <c r="B4">
        <v>1</v>
      </c>
      <c r="C4" t="s">
        <v>7</v>
      </c>
      <c r="D4" t="s">
        <v>4</v>
      </c>
      <c r="E4">
        <v>-743.13</v>
      </c>
    </row>
    <row r="5" spans="2:5" x14ac:dyDescent="0.25">
      <c r="B5">
        <v>1</v>
      </c>
      <c r="C5" t="s">
        <v>2</v>
      </c>
      <c r="D5" t="s">
        <v>5</v>
      </c>
      <c r="E5">
        <v>-116.58</v>
      </c>
    </row>
    <row r="6" spans="2:5" x14ac:dyDescent="0.25">
      <c r="B6">
        <v>1</v>
      </c>
      <c r="C6" t="s">
        <v>87</v>
      </c>
      <c r="D6" t="s">
        <v>16</v>
      </c>
      <c r="E6">
        <v>858.13</v>
      </c>
    </row>
    <row r="7" spans="2:5" x14ac:dyDescent="0.25">
      <c r="B7">
        <v>1</v>
      </c>
      <c r="C7" t="s">
        <v>27</v>
      </c>
      <c r="D7" t="s">
        <v>5</v>
      </c>
      <c r="E7">
        <v>3419.7999999999993</v>
      </c>
    </row>
    <row r="8" spans="2:5" x14ac:dyDescent="0.25">
      <c r="B8">
        <v>1</v>
      </c>
      <c r="C8" t="s">
        <v>88</v>
      </c>
      <c r="D8" t="s">
        <v>3</v>
      </c>
      <c r="E8">
        <v>3364.9599999999996</v>
      </c>
    </row>
    <row r="9" spans="2:5" x14ac:dyDescent="0.25">
      <c r="B9">
        <v>1</v>
      </c>
      <c r="C9" t="s">
        <v>28</v>
      </c>
      <c r="D9" t="s">
        <v>5</v>
      </c>
      <c r="E9">
        <v>992.82</v>
      </c>
    </row>
    <row r="10" spans="2:5" x14ac:dyDescent="0.25">
      <c r="B10">
        <v>1</v>
      </c>
      <c r="C10" t="s">
        <v>11</v>
      </c>
      <c r="D10" t="s">
        <v>4</v>
      </c>
      <c r="E10">
        <v>0.75</v>
      </c>
    </row>
    <row r="11" spans="2:5" x14ac:dyDescent="0.25">
      <c r="B11">
        <v>1</v>
      </c>
      <c r="C11" t="s">
        <v>54</v>
      </c>
      <c r="D11" t="s">
        <v>3</v>
      </c>
      <c r="E11">
        <v>72.739999999999995</v>
      </c>
    </row>
    <row r="12" spans="2:5" x14ac:dyDescent="0.25">
      <c r="B12">
        <v>1</v>
      </c>
      <c r="C12" t="s">
        <v>55</v>
      </c>
      <c r="D12" t="s">
        <v>15</v>
      </c>
      <c r="E12">
        <v>7666.42</v>
      </c>
    </row>
    <row r="13" spans="2:5" x14ac:dyDescent="0.25">
      <c r="B13">
        <v>1</v>
      </c>
      <c r="C13" t="s">
        <v>47</v>
      </c>
      <c r="D13" t="s">
        <v>4</v>
      </c>
      <c r="E13">
        <v>6970</v>
      </c>
    </row>
    <row r="14" spans="2:5" x14ac:dyDescent="0.25">
      <c r="B14">
        <v>1</v>
      </c>
      <c r="C14" t="s">
        <v>53</v>
      </c>
      <c r="D14" t="s">
        <v>3</v>
      </c>
      <c r="E14">
        <v>7157.13</v>
      </c>
    </row>
    <row r="15" spans="2:5" x14ac:dyDescent="0.25">
      <c r="B15">
        <v>1</v>
      </c>
      <c r="C15" t="s">
        <v>50</v>
      </c>
      <c r="D15" t="s">
        <v>3</v>
      </c>
      <c r="E15">
        <v>119.87</v>
      </c>
    </row>
    <row r="16" spans="2:5" x14ac:dyDescent="0.25">
      <c r="B16">
        <v>1</v>
      </c>
      <c r="C16" t="s">
        <v>211</v>
      </c>
      <c r="D16" t="s">
        <v>3</v>
      </c>
      <c r="E16">
        <v>483.79999999999984</v>
      </c>
    </row>
    <row r="17" spans="2:7" x14ac:dyDescent="0.25">
      <c r="B17">
        <v>1</v>
      </c>
      <c r="C17" t="s">
        <v>8</v>
      </c>
      <c r="D17" t="s">
        <v>3</v>
      </c>
      <c r="E17">
        <v>587.57000000000005</v>
      </c>
    </row>
    <row r="18" spans="2:7" x14ac:dyDescent="0.25">
      <c r="B18">
        <v>1</v>
      </c>
      <c r="C18" t="s">
        <v>212</v>
      </c>
      <c r="D18" t="s">
        <v>3</v>
      </c>
      <c r="E18">
        <v>176.26</v>
      </c>
    </row>
    <row r="19" spans="2:7" x14ac:dyDescent="0.25">
      <c r="B19">
        <v>1</v>
      </c>
      <c r="C19" t="s">
        <v>34</v>
      </c>
      <c r="D19" t="s">
        <v>3</v>
      </c>
      <c r="E19">
        <v>500</v>
      </c>
    </row>
    <row r="20" spans="2:7" x14ac:dyDescent="0.25">
      <c r="B20">
        <v>1</v>
      </c>
      <c r="C20" t="s">
        <v>35</v>
      </c>
      <c r="D20" t="s">
        <v>3</v>
      </c>
      <c r="E20">
        <v>0</v>
      </c>
    </row>
    <row r="21" spans="2:7" x14ac:dyDescent="0.25">
      <c r="B21">
        <v>1</v>
      </c>
      <c r="C21" t="s">
        <v>214</v>
      </c>
      <c r="D21" t="s">
        <v>16</v>
      </c>
      <c r="E21">
        <v>2192.2799999999997</v>
      </c>
    </row>
    <row r="22" spans="2:7" x14ac:dyDescent="0.25">
      <c r="B22">
        <v>1</v>
      </c>
      <c r="C22" t="s">
        <v>215</v>
      </c>
      <c r="D22" t="s">
        <v>16</v>
      </c>
      <c r="E22">
        <v>122</v>
      </c>
    </row>
    <row r="23" spans="2:7" x14ac:dyDescent="0.25">
      <c r="B23">
        <v>1</v>
      </c>
      <c r="C23" t="s">
        <v>36</v>
      </c>
      <c r="D23" t="s">
        <v>3</v>
      </c>
      <c r="E23">
        <v>54.18</v>
      </c>
    </row>
    <row r="24" spans="2:7" x14ac:dyDescent="0.25">
      <c r="B24">
        <v>1</v>
      </c>
      <c r="C24" t="s">
        <v>51</v>
      </c>
      <c r="D24" t="s">
        <v>3</v>
      </c>
      <c r="E24">
        <v>253.9</v>
      </c>
      <c r="G24">
        <f>SUMIFS(Agg_ActName_ActType[Amount],Agg_ActName_ActType[AccountType],"Expense")</f>
        <v>43071.69999999999</v>
      </c>
    </row>
    <row r="25" spans="2:7" x14ac:dyDescent="0.25">
      <c r="B25">
        <v>2</v>
      </c>
      <c r="C25" t="s">
        <v>54</v>
      </c>
      <c r="D25" t="s">
        <v>3</v>
      </c>
      <c r="E25">
        <v>166.23</v>
      </c>
      <c r="G25">
        <f>SUMIFS(Agg_ActName_ActType[Amount],Agg_ActName_ActType[AccountType],"Revenue")</f>
        <v>29907.22</v>
      </c>
    </row>
    <row r="26" spans="2:7" x14ac:dyDescent="0.25">
      <c r="B26">
        <v>2</v>
      </c>
      <c r="C26" t="s">
        <v>27</v>
      </c>
      <c r="D26" t="s">
        <v>5</v>
      </c>
      <c r="E26">
        <v>-1700.49</v>
      </c>
    </row>
    <row r="27" spans="2:7" x14ac:dyDescent="0.25">
      <c r="B27">
        <v>2</v>
      </c>
      <c r="C27" t="s">
        <v>34</v>
      </c>
      <c r="D27" t="s">
        <v>3</v>
      </c>
      <c r="E27">
        <v>500</v>
      </c>
    </row>
    <row r="28" spans="2:7" x14ac:dyDescent="0.25">
      <c r="B28">
        <v>2</v>
      </c>
      <c r="C28" t="s">
        <v>8</v>
      </c>
      <c r="D28" t="s">
        <v>3</v>
      </c>
      <c r="E28">
        <v>460.91999999999996</v>
      </c>
    </row>
    <row r="29" spans="2:7" x14ac:dyDescent="0.25">
      <c r="B29">
        <v>2</v>
      </c>
      <c r="C29" t="s">
        <v>211</v>
      </c>
      <c r="D29" t="s">
        <v>3</v>
      </c>
      <c r="E29">
        <v>426.76</v>
      </c>
    </row>
    <row r="30" spans="2:7" x14ac:dyDescent="0.25">
      <c r="B30">
        <v>2</v>
      </c>
      <c r="C30" t="s">
        <v>50</v>
      </c>
      <c r="D30" t="s">
        <v>3</v>
      </c>
      <c r="E30">
        <v>2.35</v>
      </c>
    </row>
    <row r="31" spans="2:7" x14ac:dyDescent="0.25">
      <c r="B31">
        <v>2</v>
      </c>
      <c r="C31" t="s">
        <v>51</v>
      </c>
      <c r="D31" t="s">
        <v>3</v>
      </c>
      <c r="E31">
        <v>667.7</v>
      </c>
    </row>
    <row r="32" spans="2:7" x14ac:dyDescent="0.25">
      <c r="B32">
        <v>2</v>
      </c>
      <c r="C32" t="s">
        <v>88</v>
      </c>
      <c r="D32" t="s">
        <v>3</v>
      </c>
      <c r="E32">
        <v>62</v>
      </c>
    </row>
    <row r="33" spans="2:5" x14ac:dyDescent="0.25">
      <c r="B33">
        <v>2</v>
      </c>
      <c r="C33" t="s">
        <v>35</v>
      </c>
      <c r="D33" t="s">
        <v>3</v>
      </c>
      <c r="E33">
        <v>26.96</v>
      </c>
    </row>
    <row r="34" spans="2:5" x14ac:dyDescent="0.25">
      <c r="B34">
        <v>2</v>
      </c>
      <c r="C34" t="s">
        <v>2</v>
      </c>
      <c r="D34" t="s">
        <v>5</v>
      </c>
      <c r="E34">
        <v>-27</v>
      </c>
    </row>
    <row r="35" spans="2:5" x14ac:dyDescent="0.25">
      <c r="B35">
        <v>2</v>
      </c>
      <c r="C35" t="s">
        <v>91</v>
      </c>
      <c r="D35" t="s">
        <v>16</v>
      </c>
      <c r="E35">
        <v>391.13</v>
      </c>
    </row>
    <row r="36" spans="2:5" x14ac:dyDescent="0.25">
      <c r="B36">
        <v>2</v>
      </c>
      <c r="C36" t="s">
        <v>53</v>
      </c>
      <c r="D36" t="s">
        <v>3</v>
      </c>
      <c r="E36">
        <v>11</v>
      </c>
    </row>
    <row r="37" spans="2:5" x14ac:dyDescent="0.25">
      <c r="B37">
        <v>2</v>
      </c>
      <c r="C37" t="s">
        <v>36</v>
      </c>
      <c r="D37" t="s">
        <v>3</v>
      </c>
      <c r="E37">
        <v>101.7</v>
      </c>
    </row>
    <row r="38" spans="2:5" x14ac:dyDescent="0.25">
      <c r="B38">
        <v>2</v>
      </c>
      <c r="C38" t="s">
        <v>87</v>
      </c>
      <c r="D38" t="s">
        <v>16</v>
      </c>
      <c r="E38">
        <v>307</v>
      </c>
    </row>
    <row r="39" spans="2:5" x14ac:dyDescent="0.25">
      <c r="B39">
        <v>3</v>
      </c>
      <c r="C39" t="s">
        <v>54</v>
      </c>
      <c r="D39" t="s">
        <v>3</v>
      </c>
      <c r="E39">
        <v>215.79999999999998</v>
      </c>
    </row>
    <row r="40" spans="2:5" x14ac:dyDescent="0.25">
      <c r="B40">
        <v>3</v>
      </c>
      <c r="C40" t="s">
        <v>211</v>
      </c>
      <c r="D40" t="s">
        <v>3</v>
      </c>
      <c r="E40">
        <v>585.74999999999989</v>
      </c>
    </row>
    <row r="41" spans="2:5" x14ac:dyDescent="0.25">
      <c r="B41">
        <v>3</v>
      </c>
      <c r="C41" t="s">
        <v>27</v>
      </c>
      <c r="D41" t="s">
        <v>5</v>
      </c>
      <c r="E41">
        <v>-632.04999999999995</v>
      </c>
    </row>
    <row r="42" spans="2:5" x14ac:dyDescent="0.25">
      <c r="B42">
        <v>3</v>
      </c>
      <c r="C42" t="s">
        <v>87</v>
      </c>
      <c r="D42" t="s">
        <v>16</v>
      </c>
      <c r="E42">
        <v>943</v>
      </c>
    </row>
    <row r="43" spans="2:5" x14ac:dyDescent="0.25">
      <c r="B43">
        <v>3</v>
      </c>
      <c r="C43" t="s">
        <v>212</v>
      </c>
      <c r="D43" t="s">
        <v>3</v>
      </c>
      <c r="E43">
        <v>86.25</v>
      </c>
    </row>
    <row r="44" spans="2:5" x14ac:dyDescent="0.25">
      <c r="B44">
        <v>3</v>
      </c>
      <c r="C44" t="s">
        <v>88</v>
      </c>
      <c r="D44" t="s">
        <v>3</v>
      </c>
      <c r="E44">
        <v>327.66999999999996</v>
      </c>
    </row>
    <row r="45" spans="2:5" x14ac:dyDescent="0.25">
      <c r="B45">
        <v>3</v>
      </c>
      <c r="C45" t="s">
        <v>34</v>
      </c>
      <c r="D45" t="s">
        <v>3</v>
      </c>
      <c r="E45">
        <v>445</v>
      </c>
    </row>
    <row r="46" spans="2:5" x14ac:dyDescent="0.25">
      <c r="B46">
        <v>3</v>
      </c>
      <c r="C46" t="s">
        <v>129</v>
      </c>
      <c r="D46" t="s">
        <v>3</v>
      </c>
      <c r="E46">
        <v>177.07999999999998</v>
      </c>
    </row>
    <row r="47" spans="2:5" x14ac:dyDescent="0.25">
      <c r="B47">
        <v>3</v>
      </c>
      <c r="C47" t="s">
        <v>8</v>
      </c>
      <c r="D47" t="s">
        <v>3</v>
      </c>
      <c r="E47">
        <v>17.23</v>
      </c>
    </row>
    <row r="48" spans="2:5" x14ac:dyDescent="0.25">
      <c r="B48">
        <v>3</v>
      </c>
      <c r="C48" t="s">
        <v>53</v>
      </c>
      <c r="D48" t="s">
        <v>3</v>
      </c>
      <c r="E48">
        <v>47.67</v>
      </c>
    </row>
    <row r="49" spans="2:5" x14ac:dyDescent="0.25">
      <c r="B49">
        <v>3</v>
      </c>
      <c r="C49" t="s">
        <v>35</v>
      </c>
      <c r="D49" t="s">
        <v>3</v>
      </c>
      <c r="E49">
        <v>-26.96</v>
      </c>
    </row>
    <row r="50" spans="2:5" x14ac:dyDescent="0.25">
      <c r="B50">
        <v>3</v>
      </c>
      <c r="C50" t="s">
        <v>214</v>
      </c>
      <c r="D50" t="s">
        <v>16</v>
      </c>
      <c r="E50">
        <v>463.01</v>
      </c>
    </row>
    <row r="51" spans="2:5" x14ac:dyDescent="0.25">
      <c r="B51">
        <v>3</v>
      </c>
      <c r="C51" t="s">
        <v>48</v>
      </c>
      <c r="D51" t="s">
        <v>3</v>
      </c>
      <c r="E51">
        <v>45.19</v>
      </c>
    </row>
    <row r="52" spans="2:5" x14ac:dyDescent="0.25">
      <c r="B52">
        <v>3</v>
      </c>
      <c r="C52" t="s">
        <v>50</v>
      </c>
      <c r="D52" t="s">
        <v>3</v>
      </c>
      <c r="E52">
        <v>65</v>
      </c>
    </row>
    <row r="53" spans="2:5" x14ac:dyDescent="0.25">
      <c r="B53">
        <v>3</v>
      </c>
      <c r="C53" t="s">
        <v>36</v>
      </c>
      <c r="D53" t="s">
        <v>3</v>
      </c>
      <c r="E53">
        <v>52.38</v>
      </c>
    </row>
    <row r="54" spans="2:5" x14ac:dyDescent="0.25">
      <c r="B54">
        <v>4</v>
      </c>
      <c r="C54" t="s">
        <v>54</v>
      </c>
      <c r="D54" t="s">
        <v>3</v>
      </c>
      <c r="E54">
        <v>156.13</v>
      </c>
    </row>
    <row r="55" spans="2:5" x14ac:dyDescent="0.25">
      <c r="B55">
        <v>4</v>
      </c>
      <c r="C55" t="s">
        <v>27</v>
      </c>
      <c r="D55" t="s">
        <v>5</v>
      </c>
      <c r="E55">
        <v>2282.5200000000004</v>
      </c>
    </row>
    <row r="56" spans="2:5" x14ac:dyDescent="0.25">
      <c r="B56">
        <v>4</v>
      </c>
      <c r="C56" t="s">
        <v>34</v>
      </c>
      <c r="D56" t="s">
        <v>3</v>
      </c>
      <c r="E56">
        <v>515</v>
      </c>
    </row>
    <row r="57" spans="2:5" x14ac:dyDescent="0.25">
      <c r="B57">
        <v>4</v>
      </c>
      <c r="C57" t="s">
        <v>8</v>
      </c>
      <c r="D57" t="s">
        <v>3</v>
      </c>
      <c r="E57">
        <v>598.69999999999993</v>
      </c>
    </row>
    <row r="58" spans="2:5" x14ac:dyDescent="0.25">
      <c r="B58">
        <v>4</v>
      </c>
      <c r="C58" t="s">
        <v>211</v>
      </c>
      <c r="D58" t="s">
        <v>3</v>
      </c>
      <c r="E58">
        <v>459.8</v>
      </c>
    </row>
    <row r="59" spans="2:5" x14ac:dyDescent="0.25">
      <c r="B59">
        <v>4</v>
      </c>
      <c r="C59" t="s">
        <v>35</v>
      </c>
      <c r="D59" t="s">
        <v>3</v>
      </c>
      <c r="E59">
        <v>26.96</v>
      </c>
    </row>
    <row r="60" spans="2:5" x14ac:dyDescent="0.25">
      <c r="B60">
        <v>4</v>
      </c>
      <c r="C60" t="s">
        <v>215</v>
      </c>
      <c r="D60" t="s">
        <v>16</v>
      </c>
      <c r="E60">
        <v>3944.68</v>
      </c>
    </row>
    <row r="61" spans="2:5" x14ac:dyDescent="0.25">
      <c r="B61">
        <v>4</v>
      </c>
      <c r="C61" t="s">
        <v>129</v>
      </c>
      <c r="D61" t="s">
        <v>3</v>
      </c>
      <c r="E61">
        <v>93.08</v>
      </c>
    </row>
    <row r="62" spans="2:5" x14ac:dyDescent="0.25">
      <c r="B62">
        <v>4</v>
      </c>
      <c r="C62" t="s">
        <v>7</v>
      </c>
      <c r="D62" t="s">
        <v>4</v>
      </c>
      <c r="E62">
        <v>143.14000000000007</v>
      </c>
    </row>
    <row r="63" spans="2:5" x14ac:dyDescent="0.25">
      <c r="B63">
        <v>4</v>
      </c>
      <c r="C63" t="s">
        <v>2</v>
      </c>
      <c r="D63" t="s">
        <v>5</v>
      </c>
      <c r="E63">
        <v>-44.37</v>
      </c>
    </row>
    <row r="64" spans="2:5" x14ac:dyDescent="0.25">
      <c r="B64">
        <v>4</v>
      </c>
      <c r="C64" t="s">
        <v>105</v>
      </c>
      <c r="D64" t="s">
        <v>4</v>
      </c>
      <c r="E64">
        <v>0</v>
      </c>
    </row>
    <row r="65" spans="2:5" x14ac:dyDescent="0.25">
      <c r="B65">
        <v>4</v>
      </c>
      <c r="C65" t="s">
        <v>11</v>
      </c>
      <c r="D65" t="s">
        <v>4</v>
      </c>
      <c r="E65">
        <v>0</v>
      </c>
    </row>
    <row r="66" spans="2:5" x14ac:dyDescent="0.25">
      <c r="B66">
        <v>5</v>
      </c>
      <c r="C66" t="s">
        <v>211</v>
      </c>
      <c r="D66" t="s">
        <v>3</v>
      </c>
    </row>
    <row r="67" spans="2:5" x14ac:dyDescent="0.25">
      <c r="B67">
        <v>5</v>
      </c>
      <c r="C67" t="s">
        <v>8</v>
      </c>
      <c r="D67" t="s">
        <v>3</v>
      </c>
      <c r="E67">
        <v>1010.03</v>
      </c>
    </row>
    <row r="68" spans="2:5" x14ac:dyDescent="0.25">
      <c r="B68">
        <v>5</v>
      </c>
      <c r="C68" t="s">
        <v>27</v>
      </c>
      <c r="D68" t="s">
        <v>5</v>
      </c>
      <c r="E68">
        <v>385.05999999999995</v>
      </c>
    </row>
    <row r="69" spans="2:5" x14ac:dyDescent="0.25">
      <c r="B69">
        <v>5</v>
      </c>
      <c r="C69" t="s">
        <v>54</v>
      </c>
      <c r="D69" t="s">
        <v>3</v>
      </c>
      <c r="E69">
        <v>199.87</v>
      </c>
    </row>
    <row r="70" spans="2:5" x14ac:dyDescent="0.25">
      <c r="B70">
        <v>5</v>
      </c>
      <c r="C70" t="s">
        <v>7</v>
      </c>
      <c r="D70" t="s">
        <v>4</v>
      </c>
    </row>
    <row r="71" spans="2:5" x14ac:dyDescent="0.25">
      <c r="B71">
        <v>5</v>
      </c>
      <c r="C71" t="s">
        <v>34</v>
      </c>
      <c r="D71" t="s">
        <v>3</v>
      </c>
      <c r="E71">
        <v>500</v>
      </c>
    </row>
    <row r="72" spans="2:5" x14ac:dyDescent="0.25">
      <c r="B72">
        <v>5</v>
      </c>
      <c r="C72" t="s">
        <v>36</v>
      </c>
      <c r="D72" t="s">
        <v>3</v>
      </c>
      <c r="E72">
        <v>101.7</v>
      </c>
    </row>
    <row r="73" spans="2:5" x14ac:dyDescent="0.25">
      <c r="B73">
        <v>5</v>
      </c>
      <c r="C73" t="s">
        <v>102</v>
      </c>
      <c r="D73" t="s">
        <v>5</v>
      </c>
      <c r="E73">
        <v>5.2</v>
      </c>
    </row>
    <row r="74" spans="2:5" x14ac:dyDescent="0.25">
      <c r="B74">
        <v>5</v>
      </c>
      <c r="C74" t="s">
        <v>2</v>
      </c>
      <c r="D74" t="s">
        <v>5</v>
      </c>
      <c r="E74">
        <v>-2.0500000000000007</v>
      </c>
    </row>
    <row r="75" spans="2:5" x14ac:dyDescent="0.25">
      <c r="B75">
        <v>5</v>
      </c>
      <c r="C75" t="s">
        <v>50</v>
      </c>
      <c r="D75" t="s">
        <v>3</v>
      </c>
      <c r="E75">
        <v>201.95999999999998</v>
      </c>
    </row>
    <row r="76" spans="2:5" x14ac:dyDescent="0.25">
      <c r="B76">
        <v>5</v>
      </c>
      <c r="C76" t="s">
        <v>53</v>
      </c>
      <c r="D76" t="s">
        <v>3</v>
      </c>
      <c r="E76">
        <v>41.81</v>
      </c>
    </row>
    <row r="77" spans="2:5" x14ac:dyDescent="0.25">
      <c r="B77">
        <v>5</v>
      </c>
      <c r="C77" t="s">
        <v>129</v>
      </c>
      <c r="D77" t="s">
        <v>3</v>
      </c>
      <c r="E77">
        <v>78.73</v>
      </c>
    </row>
    <row r="78" spans="2:5" x14ac:dyDescent="0.25">
      <c r="B78">
        <v>5</v>
      </c>
      <c r="C78" t="s">
        <v>105</v>
      </c>
      <c r="D78" t="s">
        <v>4</v>
      </c>
      <c r="E78">
        <v>0</v>
      </c>
    </row>
    <row r="79" spans="2:5" x14ac:dyDescent="0.25">
      <c r="B79">
        <v>5</v>
      </c>
      <c r="C79" t="s">
        <v>87</v>
      </c>
      <c r="D79" t="s">
        <v>16</v>
      </c>
      <c r="E79">
        <v>27</v>
      </c>
    </row>
    <row r="80" spans="2:5" x14ac:dyDescent="0.25">
      <c r="B80">
        <v>5</v>
      </c>
      <c r="C80" t="s">
        <v>35</v>
      </c>
      <c r="D80" t="s">
        <v>3</v>
      </c>
      <c r="E80">
        <v>26.96</v>
      </c>
    </row>
    <row r="81" spans="2:5" x14ac:dyDescent="0.25">
      <c r="B81">
        <v>5</v>
      </c>
      <c r="C81" t="s">
        <v>48</v>
      </c>
      <c r="D81" t="s">
        <v>3</v>
      </c>
      <c r="E81">
        <v>4.29</v>
      </c>
    </row>
    <row r="82" spans="2:5" x14ac:dyDescent="0.25">
      <c r="B82">
        <v>5</v>
      </c>
      <c r="C82" t="s">
        <v>33</v>
      </c>
      <c r="D82" t="s">
        <v>5</v>
      </c>
      <c r="E82">
        <v>0</v>
      </c>
    </row>
    <row r="83" spans="2:5" x14ac:dyDescent="0.25">
      <c r="B83">
        <v>5</v>
      </c>
      <c r="C83" t="s">
        <v>214</v>
      </c>
      <c r="D83" t="s">
        <v>16</v>
      </c>
      <c r="E83">
        <v>2483.44</v>
      </c>
    </row>
    <row r="84" spans="2:5" x14ac:dyDescent="0.25">
      <c r="B84">
        <v>6</v>
      </c>
      <c r="C84" t="s">
        <v>54</v>
      </c>
      <c r="D84" t="s">
        <v>3</v>
      </c>
      <c r="E84">
        <v>445.65999999999997</v>
      </c>
    </row>
    <row r="85" spans="2:5" x14ac:dyDescent="0.25">
      <c r="B85">
        <v>6</v>
      </c>
      <c r="C85" t="s">
        <v>7</v>
      </c>
      <c r="D85" t="s">
        <v>4</v>
      </c>
      <c r="E85">
        <v>-117.58000000000001</v>
      </c>
    </row>
    <row r="86" spans="2:5" x14ac:dyDescent="0.25">
      <c r="B86">
        <v>6</v>
      </c>
      <c r="C86" t="s">
        <v>211</v>
      </c>
      <c r="D86" t="s">
        <v>3</v>
      </c>
      <c r="E86">
        <v>598.20000000000005</v>
      </c>
    </row>
    <row r="87" spans="2:5" x14ac:dyDescent="0.25">
      <c r="B87">
        <v>6</v>
      </c>
      <c r="C87" t="s">
        <v>8</v>
      </c>
      <c r="D87" t="s">
        <v>3</v>
      </c>
      <c r="E87">
        <v>1312.26</v>
      </c>
    </row>
    <row r="88" spans="2:5" x14ac:dyDescent="0.25">
      <c r="B88">
        <v>6</v>
      </c>
      <c r="C88" t="s">
        <v>50</v>
      </c>
      <c r="D88" t="s">
        <v>3</v>
      </c>
      <c r="E88">
        <v>247.32999999999998</v>
      </c>
    </row>
    <row r="89" spans="2:5" x14ac:dyDescent="0.25">
      <c r="B89">
        <v>6</v>
      </c>
      <c r="C89" t="s">
        <v>27</v>
      </c>
      <c r="D89" t="s">
        <v>5</v>
      </c>
      <c r="E89">
        <v>-1014.52</v>
      </c>
    </row>
    <row r="90" spans="2:5" x14ac:dyDescent="0.25">
      <c r="B90">
        <v>6</v>
      </c>
      <c r="C90" t="s">
        <v>34</v>
      </c>
      <c r="D90" t="s">
        <v>3</v>
      </c>
      <c r="E90">
        <v>500</v>
      </c>
    </row>
    <row r="91" spans="2:5" x14ac:dyDescent="0.25">
      <c r="B91">
        <v>6</v>
      </c>
      <c r="C91" t="s">
        <v>2</v>
      </c>
      <c r="D91" t="s">
        <v>5</v>
      </c>
      <c r="E91">
        <v>55</v>
      </c>
    </row>
    <row r="92" spans="2:5" x14ac:dyDescent="0.25">
      <c r="B92">
        <v>6</v>
      </c>
      <c r="C92" t="s">
        <v>129</v>
      </c>
      <c r="D92" t="s">
        <v>3</v>
      </c>
      <c r="E92">
        <v>452.62</v>
      </c>
    </row>
    <row r="93" spans="2:5" x14ac:dyDescent="0.25">
      <c r="B93">
        <v>6</v>
      </c>
      <c r="C93" t="s">
        <v>35</v>
      </c>
      <c r="D93" t="s">
        <v>3</v>
      </c>
      <c r="E93">
        <v>26.96</v>
      </c>
    </row>
    <row r="94" spans="2:5" x14ac:dyDescent="0.25">
      <c r="B94">
        <v>6</v>
      </c>
      <c r="C94" t="s">
        <v>120</v>
      </c>
      <c r="D94" t="s">
        <v>3</v>
      </c>
      <c r="E94">
        <v>8.6199999999999992</v>
      </c>
    </row>
    <row r="95" spans="2:5" x14ac:dyDescent="0.25">
      <c r="B95">
        <v>6</v>
      </c>
      <c r="C95" t="s">
        <v>214</v>
      </c>
      <c r="D95" t="s">
        <v>16</v>
      </c>
      <c r="E95">
        <v>3032.85</v>
      </c>
    </row>
    <row r="96" spans="2:5" x14ac:dyDescent="0.25">
      <c r="B96">
        <v>6</v>
      </c>
      <c r="C96" t="s">
        <v>48</v>
      </c>
      <c r="D96" t="s">
        <v>3</v>
      </c>
      <c r="E96">
        <v>131</v>
      </c>
    </row>
    <row r="97" spans="2:5" x14ac:dyDescent="0.25">
      <c r="B97">
        <v>6</v>
      </c>
      <c r="C97" t="s">
        <v>212</v>
      </c>
      <c r="D97" t="s">
        <v>3</v>
      </c>
      <c r="E97">
        <v>171.39</v>
      </c>
    </row>
    <row r="98" spans="2:5" x14ac:dyDescent="0.25">
      <c r="B98">
        <v>6</v>
      </c>
      <c r="C98" t="s">
        <v>33</v>
      </c>
      <c r="D98" t="s">
        <v>5</v>
      </c>
      <c r="E98">
        <v>0</v>
      </c>
    </row>
    <row r="99" spans="2:5" x14ac:dyDescent="0.25">
      <c r="B99">
        <v>6</v>
      </c>
      <c r="C99" t="s">
        <v>87</v>
      </c>
      <c r="D99" t="s">
        <v>16</v>
      </c>
      <c r="E99">
        <v>20</v>
      </c>
    </row>
    <row r="100" spans="2:5" x14ac:dyDescent="0.25">
      <c r="B100">
        <v>6</v>
      </c>
      <c r="C100" t="s">
        <v>11</v>
      </c>
      <c r="D100" t="s">
        <v>4</v>
      </c>
      <c r="E100">
        <v>-0.75</v>
      </c>
    </row>
    <row r="101" spans="2:5" x14ac:dyDescent="0.25">
      <c r="B101">
        <v>7</v>
      </c>
      <c r="C101" t="s">
        <v>50</v>
      </c>
      <c r="D101" t="s">
        <v>3</v>
      </c>
      <c r="E101">
        <v>68.8</v>
      </c>
    </row>
    <row r="102" spans="2:5" x14ac:dyDescent="0.25">
      <c r="B102">
        <v>7</v>
      </c>
      <c r="C102" t="s">
        <v>27</v>
      </c>
      <c r="D102" t="s">
        <v>5</v>
      </c>
      <c r="E102">
        <v>1129.1299999999999</v>
      </c>
    </row>
    <row r="103" spans="2:5" x14ac:dyDescent="0.25">
      <c r="B103">
        <v>7</v>
      </c>
      <c r="C103" t="s">
        <v>54</v>
      </c>
      <c r="D103" t="s">
        <v>3</v>
      </c>
      <c r="E103">
        <v>176.14</v>
      </c>
    </row>
    <row r="104" spans="2:5" x14ac:dyDescent="0.25">
      <c r="B104">
        <v>7</v>
      </c>
      <c r="C104" t="s">
        <v>129</v>
      </c>
      <c r="D104" t="s">
        <v>3</v>
      </c>
      <c r="E104">
        <v>372.15</v>
      </c>
    </row>
    <row r="105" spans="2:5" x14ac:dyDescent="0.25">
      <c r="B105">
        <v>7</v>
      </c>
      <c r="C105" t="s">
        <v>7</v>
      </c>
      <c r="D105" t="s">
        <v>4</v>
      </c>
      <c r="E105">
        <v>-1.8499999999999659</v>
      </c>
    </row>
    <row r="106" spans="2:5" x14ac:dyDescent="0.25">
      <c r="B106">
        <v>7</v>
      </c>
      <c r="C106" t="s">
        <v>34</v>
      </c>
      <c r="D106" t="s">
        <v>3</v>
      </c>
      <c r="E106">
        <v>500</v>
      </c>
    </row>
    <row r="107" spans="2:5" x14ac:dyDescent="0.25">
      <c r="B107">
        <v>7</v>
      </c>
      <c r="C107" t="s">
        <v>211</v>
      </c>
      <c r="D107" t="s">
        <v>3</v>
      </c>
      <c r="E107">
        <v>516.71999999999991</v>
      </c>
    </row>
    <row r="108" spans="2:5" x14ac:dyDescent="0.25">
      <c r="B108">
        <v>7</v>
      </c>
      <c r="C108" t="s">
        <v>8</v>
      </c>
      <c r="D108" t="s">
        <v>3</v>
      </c>
      <c r="E108">
        <v>160.79</v>
      </c>
    </row>
    <row r="109" spans="2:5" x14ac:dyDescent="0.25">
      <c r="B109">
        <v>7</v>
      </c>
      <c r="C109" t="s">
        <v>215</v>
      </c>
      <c r="D109" t="s">
        <v>16</v>
      </c>
      <c r="E109">
        <v>129.75</v>
      </c>
    </row>
    <row r="110" spans="2:5" x14ac:dyDescent="0.25">
      <c r="B110">
        <v>7</v>
      </c>
      <c r="C110" t="s">
        <v>36</v>
      </c>
      <c r="D110" t="s">
        <v>3</v>
      </c>
      <c r="E110">
        <v>192.10000000000002</v>
      </c>
    </row>
    <row r="111" spans="2:5" x14ac:dyDescent="0.25">
      <c r="B111">
        <v>7</v>
      </c>
      <c r="C111" t="s">
        <v>35</v>
      </c>
      <c r="D111" t="s">
        <v>3</v>
      </c>
      <c r="E111">
        <v>26.96</v>
      </c>
    </row>
    <row r="112" spans="2:5" x14ac:dyDescent="0.25">
      <c r="B112">
        <v>7</v>
      </c>
      <c r="C112" t="s">
        <v>53</v>
      </c>
      <c r="D112" t="s">
        <v>3</v>
      </c>
      <c r="E112">
        <v>4338.2499999999991</v>
      </c>
    </row>
    <row r="113" spans="2:5" x14ac:dyDescent="0.25">
      <c r="B113">
        <v>7</v>
      </c>
      <c r="C113" t="s">
        <v>214</v>
      </c>
      <c r="D113" t="s">
        <v>16</v>
      </c>
      <c r="E113">
        <v>3201.33</v>
      </c>
    </row>
    <row r="114" spans="2:5" x14ac:dyDescent="0.25">
      <c r="B114">
        <v>7</v>
      </c>
      <c r="C114" t="s">
        <v>212</v>
      </c>
      <c r="D114" t="s">
        <v>3</v>
      </c>
      <c r="E114">
        <v>133.30000000000001</v>
      </c>
    </row>
    <row r="115" spans="2:5" x14ac:dyDescent="0.25">
      <c r="B115">
        <v>7</v>
      </c>
      <c r="C115" t="s">
        <v>323</v>
      </c>
      <c r="D115" t="s">
        <v>5</v>
      </c>
      <c r="E115">
        <v>86</v>
      </c>
    </row>
    <row r="116" spans="2:5" x14ac:dyDescent="0.25">
      <c r="B116">
        <v>7</v>
      </c>
      <c r="C116" t="s">
        <v>87</v>
      </c>
      <c r="D116" t="s">
        <v>16</v>
      </c>
      <c r="E116">
        <v>206</v>
      </c>
    </row>
    <row r="117" spans="2:5" x14ac:dyDescent="0.25">
      <c r="B117">
        <v>7</v>
      </c>
      <c r="C117" t="s">
        <v>102</v>
      </c>
      <c r="D117" t="s">
        <v>5</v>
      </c>
      <c r="E117">
        <v>-3.8</v>
      </c>
    </row>
    <row r="118" spans="2:5" x14ac:dyDescent="0.25">
      <c r="B118">
        <v>7</v>
      </c>
      <c r="C118" t="s">
        <v>2</v>
      </c>
      <c r="D118" t="s">
        <v>5</v>
      </c>
      <c r="E118">
        <v>70</v>
      </c>
    </row>
    <row r="119" spans="2:5" x14ac:dyDescent="0.25">
      <c r="B119">
        <v>7</v>
      </c>
      <c r="C119" t="s">
        <v>478</v>
      </c>
      <c r="D119" t="s">
        <v>4</v>
      </c>
      <c r="E119">
        <v>4323.96</v>
      </c>
    </row>
    <row r="120" spans="2:5" x14ac:dyDescent="0.25">
      <c r="B120">
        <v>7</v>
      </c>
      <c r="C120" t="s">
        <v>52</v>
      </c>
      <c r="D120" t="s">
        <v>3</v>
      </c>
      <c r="E120">
        <v>92.65</v>
      </c>
    </row>
    <row r="121" spans="2:5" x14ac:dyDescent="0.25">
      <c r="B121">
        <v>7</v>
      </c>
      <c r="C121" t="s">
        <v>91</v>
      </c>
      <c r="D121" t="s">
        <v>16</v>
      </c>
      <c r="E121">
        <v>-13.5</v>
      </c>
    </row>
    <row r="122" spans="2:5" x14ac:dyDescent="0.25">
      <c r="B122">
        <v>7</v>
      </c>
      <c r="C122" t="s">
        <v>105</v>
      </c>
      <c r="D122" t="s">
        <v>4</v>
      </c>
      <c r="E122">
        <v>13.5</v>
      </c>
    </row>
    <row r="123" spans="2:5" x14ac:dyDescent="0.25">
      <c r="B123">
        <v>7</v>
      </c>
      <c r="C123" t="s">
        <v>48</v>
      </c>
      <c r="D123" t="s">
        <v>3</v>
      </c>
      <c r="E123">
        <v>218.09</v>
      </c>
    </row>
    <row r="124" spans="2:5" x14ac:dyDescent="0.25">
      <c r="B124">
        <v>7</v>
      </c>
      <c r="C124" t="s">
        <v>361</v>
      </c>
      <c r="D124" t="s">
        <v>4</v>
      </c>
      <c r="E124">
        <v>218.09</v>
      </c>
    </row>
    <row r="125" spans="2:5" x14ac:dyDescent="0.25">
      <c r="B125">
        <v>8</v>
      </c>
      <c r="C125" t="s">
        <v>8</v>
      </c>
      <c r="D125" t="s">
        <v>3</v>
      </c>
      <c r="E125">
        <v>816.01</v>
      </c>
    </row>
    <row r="126" spans="2:5" x14ac:dyDescent="0.25">
      <c r="B126">
        <v>8</v>
      </c>
      <c r="C126" t="s">
        <v>27</v>
      </c>
      <c r="D126" t="s">
        <v>5</v>
      </c>
      <c r="E126">
        <v>760.11000000000013</v>
      </c>
    </row>
    <row r="127" spans="2:5" x14ac:dyDescent="0.25">
      <c r="B127">
        <v>8</v>
      </c>
      <c r="C127" t="s">
        <v>50</v>
      </c>
      <c r="D127" t="s">
        <v>3</v>
      </c>
      <c r="E127">
        <v>88.02000000000001</v>
      </c>
    </row>
    <row r="128" spans="2:5" x14ac:dyDescent="0.25">
      <c r="B128">
        <v>8</v>
      </c>
      <c r="C128" t="s">
        <v>54</v>
      </c>
      <c r="D128" t="s">
        <v>3</v>
      </c>
      <c r="E128">
        <v>161.6</v>
      </c>
    </row>
    <row r="129" spans="2:5" x14ac:dyDescent="0.25">
      <c r="B129">
        <v>8</v>
      </c>
      <c r="C129" t="s">
        <v>7</v>
      </c>
      <c r="D129" t="s">
        <v>4</v>
      </c>
      <c r="E129">
        <v>0.78000000000000114</v>
      </c>
    </row>
    <row r="130" spans="2:5" x14ac:dyDescent="0.25">
      <c r="B130">
        <v>8</v>
      </c>
      <c r="C130" t="s">
        <v>34</v>
      </c>
      <c r="D130" t="s">
        <v>3</v>
      </c>
      <c r="E130">
        <v>500</v>
      </c>
    </row>
    <row r="131" spans="2:5" x14ac:dyDescent="0.25">
      <c r="B131">
        <v>8</v>
      </c>
      <c r="C131" t="s">
        <v>129</v>
      </c>
      <c r="D131" t="s">
        <v>3</v>
      </c>
      <c r="E131">
        <v>235.72</v>
      </c>
    </row>
    <row r="132" spans="2:5" x14ac:dyDescent="0.25">
      <c r="B132">
        <v>8</v>
      </c>
      <c r="C132" t="s">
        <v>361</v>
      </c>
      <c r="D132" t="s">
        <v>4</v>
      </c>
      <c r="E132">
        <v>-218.09</v>
      </c>
    </row>
    <row r="133" spans="2:5" x14ac:dyDescent="0.25">
      <c r="B133">
        <v>8</v>
      </c>
      <c r="C133" t="s">
        <v>211</v>
      </c>
      <c r="D133" t="s">
        <v>3</v>
      </c>
    </row>
    <row r="134" spans="2:5" x14ac:dyDescent="0.25">
      <c r="B134">
        <v>8</v>
      </c>
      <c r="C134" t="s">
        <v>48</v>
      </c>
      <c r="D134" t="s">
        <v>3</v>
      </c>
      <c r="E134">
        <v>150.41999999999999</v>
      </c>
    </row>
    <row r="135" spans="2:5" x14ac:dyDescent="0.25">
      <c r="B135">
        <v>8</v>
      </c>
      <c r="C135" t="s">
        <v>2</v>
      </c>
      <c r="D135" t="s">
        <v>5</v>
      </c>
    </row>
    <row r="136" spans="2:5" x14ac:dyDescent="0.25">
      <c r="B136">
        <v>8</v>
      </c>
      <c r="C136" t="s">
        <v>104</v>
      </c>
      <c r="D136" t="s">
        <v>5</v>
      </c>
      <c r="E136">
        <v>27524.46</v>
      </c>
    </row>
    <row r="137" spans="2:5" x14ac:dyDescent="0.25">
      <c r="B137">
        <v>8</v>
      </c>
      <c r="C137" t="s">
        <v>55</v>
      </c>
      <c r="D137" t="s">
        <v>15</v>
      </c>
      <c r="E137">
        <v>35359.47</v>
      </c>
    </row>
    <row r="138" spans="2:5" x14ac:dyDescent="0.25">
      <c r="B138">
        <v>8</v>
      </c>
      <c r="C138" t="s">
        <v>103</v>
      </c>
      <c r="D138" t="s">
        <v>5</v>
      </c>
      <c r="E138">
        <v>7675.01</v>
      </c>
    </row>
    <row r="139" spans="2:5" x14ac:dyDescent="0.25">
      <c r="B139">
        <v>8</v>
      </c>
      <c r="C139" t="s">
        <v>105</v>
      </c>
      <c r="D139" t="s">
        <v>4</v>
      </c>
      <c r="E139">
        <v>-3.5</v>
      </c>
    </row>
    <row r="140" spans="2:5" x14ac:dyDescent="0.25">
      <c r="B140">
        <v>8</v>
      </c>
      <c r="C140" t="s">
        <v>212</v>
      </c>
      <c r="D140" t="s">
        <v>3</v>
      </c>
      <c r="E140">
        <v>158.31</v>
      </c>
    </row>
    <row r="141" spans="2:5" x14ac:dyDescent="0.25">
      <c r="B141">
        <v>8</v>
      </c>
      <c r="C141" t="s">
        <v>35</v>
      </c>
      <c r="D141" t="s">
        <v>3</v>
      </c>
      <c r="E141">
        <v>26.96</v>
      </c>
    </row>
    <row r="142" spans="2:5" x14ac:dyDescent="0.25">
      <c r="B142">
        <v>8</v>
      </c>
      <c r="C142" t="s">
        <v>214</v>
      </c>
      <c r="D142" t="s">
        <v>16</v>
      </c>
      <c r="E142">
        <v>3798.26</v>
      </c>
    </row>
    <row r="143" spans="2:5" x14ac:dyDescent="0.25">
      <c r="B143">
        <v>8</v>
      </c>
      <c r="C143" t="s">
        <v>102</v>
      </c>
      <c r="D143" t="s">
        <v>5</v>
      </c>
      <c r="E143">
        <v>30</v>
      </c>
    </row>
    <row r="144" spans="2:5" x14ac:dyDescent="0.25">
      <c r="B144">
        <v>8</v>
      </c>
      <c r="C144" t="s">
        <v>53</v>
      </c>
      <c r="D144" t="s">
        <v>3</v>
      </c>
      <c r="E144">
        <v>171.63</v>
      </c>
    </row>
    <row r="145" spans="2:5" x14ac:dyDescent="0.25">
      <c r="B145">
        <v>8</v>
      </c>
      <c r="C145" t="s">
        <v>36</v>
      </c>
      <c r="D145" t="s">
        <v>3</v>
      </c>
      <c r="E145">
        <v>18.07</v>
      </c>
    </row>
    <row r="146" spans="2:5" x14ac:dyDescent="0.25">
      <c r="B146">
        <v>8</v>
      </c>
      <c r="C146" t="s">
        <v>87</v>
      </c>
      <c r="D146" t="s">
        <v>16</v>
      </c>
      <c r="E146">
        <v>110.28</v>
      </c>
    </row>
    <row r="147" spans="2:5" x14ac:dyDescent="0.25">
      <c r="B147">
        <v>8</v>
      </c>
      <c r="C147" t="s">
        <v>33</v>
      </c>
      <c r="D147" t="s">
        <v>5</v>
      </c>
      <c r="E147">
        <v>0</v>
      </c>
    </row>
    <row r="148" spans="2:5" x14ac:dyDescent="0.25">
      <c r="B148">
        <v>8</v>
      </c>
      <c r="C148" t="s">
        <v>88</v>
      </c>
      <c r="D148" t="s">
        <v>3</v>
      </c>
      <c r="E148">
        <v>86.78</v>
      </c>
    </row>
    <row r="149" spans="2:5" x14ac:dyDescent="0.25">
      <c r="B149">
        <v>8</v>
      </c>
      <c r="C149" t="s">
        <v>28</v>
      </c>
      <c r="D149" t="s">
        <v>5</v>
      </c>
      <c r="E149">
        <v>0.28000000000000003</v>
      </c>
    </row>
    <row r="150" spans="2:5" x14ac:dyDescent="0.25">
      <c r="B150">
        <v>8</v>
      </c>
      <c r="C150" t="s">
        <v>323</v>
      </c>
      <c r="D150" t="s">
        <v>5</v>
      </c>
      <c r="E150">
        <v>-56</v>
      </c>
    </row>
    <row r="151" spans="2:5" x14ac:dyDescent="0.25">
      <c r="B151">
        <v>8</v>
      </c>
      <c r="C151" t="s">
        <v>58</v>
      </c>
      <c r="D151" t="s">
        <v>16</v>
      </c>
      <c r="E151">
        <v>1000</v>
      </c>
    </row>
    <row r="152" spans="2:5" x14ac:dyDescent="0.25">
      <c r="B152">
        <v>9</v>
      </c>
      <c r="C152" t="s">
        <v>54</v>
      </c>
      <c r="D152" t="s">
        <v>3</v>
      </c>
      <c r="E152">
        <v>244.01</v>
      </c>
    </row>
    <row r="153" spans="2:5" x14ac:dyDescent="0.25">
      <c r="B153">
        <v>9</v>
      </c>
      <c r="C153" t="s">
        <v>7</v>
      </c>
      <c r="D153" t="s">
        <v>4</v>
      </c>
      <c r="E153">
        <v>-14.11</v>
      </c>
    </row>
    <row r="154" spans="2:5" x14ac:dyDescent="0.25">
      <c r="B154">
        <v>9</v>
      </c>
      <c r="C154" t="s">
        <v>53</v>
      </c>
      <c r="D154" t="s">
        <v>3</v>
      </c>
      <c r="E154">
        <v>131.54</v>
      </c>
    </row>
    <row r="155" spans="2:5" x14ac:dyDescent="0.25">
      <c r="B155">
        <v>9</v>
      </c>
      <c r="C155" t="s">
        <v>129</v>
      </c>
      <c r="D155" t="s">
        <v>3</v>
      </c>
      <c r="E155">
        <v>563.45000000000005</v>
      </c>
    </row>
    <row r="156" spans="2:5" x14ac:dyDescent="0.25">
      <c r="B156">
        <v>9</v>
      </c>
      <c r="C156" t="s">
        <v>211</v>
      </c>
      <c r="D156" t="s">
        <v>3</v>
      </c>
      <c r="E156">
        <v>458.35</v>
      </c>
    </row>
    <row r="157" spans="2:5" x14ac:dyDescent="0.25">
      <c r="B157">
        <v>9</v>
      </c>
      <c r="C157" t="s">
        <v>2</v>
      </c>
      <c r="D157" t="s">
        <v>5</v>
      </c>
      <c r="E157">
        <v>-1044.93</v>
      </c>
    </row>
    <row r="158" spans="2:5" x14ac:dyDescent="0.25">
      <c r="B158">
        <v>9</v>
      </c>
      <c r="C158" t="s">
        <v>27</v>
      </c>
      <c r="D158" t="s">
        <v>5</v>
      </c>
      <c r="E158">
        <v>-143.51000000000101</v>
      </c>
    </row>
    <row r="159" spans="2:5" x14ac:dyDescent="0.25">
      <c r="B159">
        <v>9</v>
      </c>
      <c r="C159" t="s">
        <v>8</v>
      </c>
      <c r="D159" t="s">
        <v>3</v>
      </c>
      <c r="E159">
        <v>121.44999999999999</v>
      </c>
    </row>
    <row r="160" spans="2:5" x14ac:dyDescent="0.25">
      <c r="B160">
        <v>9</v>
      </c>
      <c r="C160" t="s">
        <v>47</v>
      </c>
      <c r="D160" t="s">
        <v>4</v>
      </c>
      <c r="E160">
        <v>3428</v>
      </c>
    </row>
    <row r="161" spans="2:5" x14ac:dyDescent="0.25">
      <c r="B161">
        <v>9</v>
      </c>
      <c r="C161" t="s">
        <v>478</v>
      </c>
      <c r="D161" t="s">
        <v>4</v>
      </c>
      <c r="E161">
        <v>-4323.96</v>
      </c>
    </row>
    <row r="162" spans="2:5" x14ac:dyDescent="0.25">
      <c r="B162">
        <v>9</v>
      </c>
      <c r="C162" t="s">
        <v>215</v>
      </c>
      <c r="D162" t="s">
        <v>16</v>
      </c>
      <c r="E162">
        <v>2298</v>
      </c>
    </row>
    <row r="163" spans="2:5" x14ac:dyDescent="0.25">
      <c r="B163">
        <v>9</v>
      </c>
      <c r="C163" t="s">
        <v>34</v>
      </c>
      <c r="D163" t="s">
        <v>3</v>
      </c>
      <c r="E163">
        <v>2500</v>
      </c>
    </row>
    <row r="164" spans="2:5" x14ac:dyDescent="0.25">
      <c r="B164">
        <v>9</v>
      </c>
      <c r="C164" t="s">
        <v>50</v>
      </c>
      <c r="D164" t="s">
        <v>3</v>
      </c>
      <c r="E164">
        <v>65</v>
      </c>
    </row>
    <row r="165" spans="2:5" x14ac:dyDescent="0.25">
      <c r="B165">
        <v>9</v>
      </c>
      <c r="C165" t="s">
        <v>323</v>
      </c>
      <c r="D165" t="s">
        <v>5</v>
      </c>
      <c r="E165">
        <v>0</v>
      </c>
    </row>
    <row r="166" spans="2:5" x14ac:dyDescent="0.25">
      <c r="B166">
        <v>9</v>
      </c>
      <c r="C166" t="s">
        <v>214</v>
      </c>
      <c r="D166" t="s">
        <v>16</v>
      </c>
      <c r="E166">
        <v>2415.67</v>
      </c>
    </row>
    <row r="167" spans="2:5" x14ac:dyDescent="0.25">
      <c r="B167">
        <v>9</v>
      </c>
      <c r="C167" t="s">
        <v>486</v>
      </c>
      <c r="D167" t="s">
        <v>16</v>
      </c>
      <c r="E167">
        <v>277.83</v>
      </c>
    </row>
    <row r="168" spans="2:5" x14ac:dyDescent="0.25">
      <c r="B168">
        <v>9</v>
      </c>
      <c r="C168" t="s">
        <v>35</v>
      </c>
      <c r="D168" t="s">
        <v>3</v>
      </c>
      <c r="E168">
        <v>26.96</v>
      </c>
    </row>
    <row r="169" spans="2:5" x14ac:dyDescent="0.25">
      <c r="B169">
        <v>9</v>
      </c>
      <c r="C169" t="s">
        <v>501</v>
      </c>
      <c r="D169" t="s">
        <v>3</v>
      </c>
      <c r="E169">
        <v>84.69</v>
      </c>
    </row>
    <row r="170" spans="2:5" x14ac:dyDescent="0.25">
      <c r="B170">
        <v>9</v>
      </c>
      <c r="C170" t="s">
        <v>87</v>
      </c>
      <c r="D170" t="s">
        <v>16</v>
      </c>
      <c r="E170">
        <v>85</v>
      </c>
    </row>
    <row r="171" spans="2:5" x14ac:dyDescent="0.25">
      <c r="B171">
        <v>9</v>
      </c>
      <c r="C171" t="s">
        <v>36</v>
      </c>
      <c r="D171" t="s">
        <v>3</v>
      </c>
      <c r="E171">
        <v>101.7</v>
      </c>
    </row>
    <row r="172" spans="2:5" x14ac:dyDescent="0.25">
      <c r="B172">
        <v>9</v>
      </c>
      <c r="C172" t="s">
        <v>51</v>
      </c>
      <c r="D172" t="s">
        <v>3</v>
      </c>
      <c r="E172">
        <v>1157.72</v>
      </c>
    </row>
    <row r="173" spans="2:5" x14ac:dyDescent="0.25">
      <c r="B173">
        <v>9</v>
      </c>
      <c r="C173" t="s">
        <v>58</v>
      </c>
      <c r="D173" t="s">
        <v>16</v>
      </c>
      <c r="E173">
        <v>100</v>
      </c>
    </row>
    <row r="174" spans="2:5" x14ac:dyDescent="0.25">
      <c r="B174">
        <v>10</v>
      </c>
      <c r="C174" t="s">
        <v>54</v>
      </c>
      <c r="D174" t="s">
        <v>3</v>
      </c>
      <c r="E174">
        <v>144.38</v>
      </c>
    </row>
    <row r="175" spans="2:5" x14ac:dyDescent="0.25">
      <c r="B175">
        <v>10</v>
      </c>
      <c r="C175" t="s">
        <v>27</v>
      </c>
      <c r="D175" t="s">
        <v>5</v>
      </c>
      <c r="E175">
        <v>-1463.9700000000003</v>
      </c>
    </row>
    <row r="176" spans="2:5" x14ac:dyDescent="0.25">
      <c r="B176">
        <v>10</v>
      </c>
      <c r="C176" t="s">
        <v>211</v>
      </c>
      <c r="D176" t="s">
        <v>3</v>
      </c>
      <c r="E176">
        <v>586.16</v>
      </c>
    </row>
    <row r="177" spans="2:5" x14ac:dyDescent="0.25">
      <c r="B177">
        <v>10</v>
      </c>
      <c r="C177" t="s">
        <v>8</v>
      </c>
      <c r="D177" t="s">
        <v>3</v>
      </c>
      <c r="E177">
        <v>1012.1200000000001</v>
      </c>
    </row>
    <row r="178" spans="2:5" x14ac:dyDescent="0.25">
      <c r="B178">
        <v>10</v>
      </c>
      <c r="C178" t="s">
        <v>2</v>
      </c>
      <c r="D178" t="s">
        <v>5</v>
      </c>
      <c r="E178">
        <v>107</v>
      </c>
    </row>
    <row r="179" spans="2:5" x14ac:dyDescent="0.25">
      <c r="B179">
        <v>10</v>
      </c>
      <c r="C179" t="s">
        <v>7</v>
      </c>
      <c r="D179" t="s">
        <v>4</v>
      </c>
      <c r="E179">
        <v>36.40000000000002</v>
      </c>
    </row>
    <row r="180" spans="2:5" x14ac:dyDescent="0.25">
      <c r="B180">
        <v>10</v>
      </c>
      <c r="C180" t="s">
        <v>58</v>
      </c>
      <c r="D180" t="s">
        <v>16</v>
      </c>
      <c r="E180">
        <v>520</v>
      </c>
    </row>
    <row r="181" spans="2:5" x14ac:dyDescent="0.25">
      <c r="B181">
        <v>10</v>
      </c>
      <c r="C181" t="s">
        <v>215</v>
      </c>
      <c r="D181" t="s">
        <v>16</v>
      </c>
      <c r="E181">
        <v>269.75</v>
      </c>
    </row>
    <row r="182" spans="2:5" x14ac:dyDescent="0.25">
      <c r="B182">
        <v>10</v>
      </c>
      <c r="C182" t="s">
        <v>35</v>
      </c>
      <c r="D182" t="s">
        <v>3</v>
      </c>
      <c r="E182">
        <v>26.96</v>
      </c>
    </row>
    <row r="183" spans="2:5" x14ac:dyDescent="0.25">
      <c r="B183">
        <v>10</v>
      </c>
      <c r="C183" t="s">
        <v>48</v>
      </c>
      <c r="D183" t="s">
        <v>3</v>
      </c>
      <c r="E183">
        <v>7.35</v>
      </c>
    </row>
    <row r="184" spans="2:5" x14ac:dyDescent="0.25">
      <c r="B184">
        <v>10</v>
      </c>
      <c r="C184" t="s">
        <v>50</v>
      </c>
      <c r="D184" t="s">
        <v>3</v>
      </c>
      <c r="E184">
        <v>84.33</v>
      </c>
    </row>
    <row r="185" spans="2:5" x14ac:dyDescent="0.25">
      <c r="B185">
        <v>10</v>
      </c>
      <c r="C185" t="s">
        <v>53</v>
      </c>
      <c r="D185" t="s">
        <v>3</v>
      </c>
      <c r="E185">
        <v>35.29</v>
      </c>
    </row>
    <row r="186" spans="2:5" x14ac:dyDescent="0.25">
      <c r="B186">
        <v>10</v>
      </c>
      <c r="C186" t="s">
        <v>129</v>
      </c>
      <c r="D186" t="s">
        <v>3</v>
      </c>
      <c r="E186">
        <v>84.76</v>
      </c>
    </row>
    <row r="187" spans="2:5" x14ac:dyDescent="0.25">
      <c r="B187">
        <v>10</v>
      </c>
      <c r="C187" t="s">
        <v>33</v>
      </c>
      <c r="D187" t="s">
        <v>5</v>
      </c>
      <c r="E187">
        <v>20</v>
      </c>
    </row>
    <row r="188" spans="2:5" x14ac:dyDescent="0.25">
      <c r="B188">
        <v>10</v>
      </c>
      <c r="C188" t="s">
        <v>88</v>
      </c>
      <c r="D188" t="s">
        <v>3</v>
      </c>
      <c r="E188">
        <v>124.89</v>
      </c>
    </row>
    <row r="189" spans="2:5" x14ac:dyDescent="0.25">
      <c r="B189">
        <v>10</v>
      </c>
      <c r="C189" t="s">
        <v>36</v>
      </c>
      <c r="D189" t="s">
        <v>3</v>
      </c>
      <c r="E189">
        <v>52.38</v>
      </c>
    </row>
    <row r="190" spans="2:5" x14ac:dyDescent="0.25">
      <c r="B190">
        <v>10</v>
      </c>
      <c r="C190" t="s">
        <v>503</v>
      </c>
      <c r="D190" t="s">
        <v>3</v>
      </c>
      <c r="E190">
        <v>4.5</v>
      </c>
    </row>
    <row r="191" spans="2:5" x14ac:dyDescent="0.25">
      <c r="B191">
        <v>10</v>
      </c>
      <c r="C191" t="s">
        <v>105</v>
      </c>
      <c r="D191" t="s">
        <v>4</v>
      </c>
      <c r="E191">
        <v>-10</v>
      </c>
    </row>
    <row r="192" spans="2:5" x14ac:dyDescent="0.25">
      <c r="B192">
        <v>10</v>
      </c>
      <c r="C192" t="s">
        <v>87</v>
      </c>
      <c r="D192" t="s">
        <v>16</v>
      </c>
      <c r="E192">
        <v>10</v>
      </c>
    </row>
    <row r="193" spans="2:5" x14ac:dyDescent="0.25">
      <c r="B193">
        <v>11</v>
      </c>
      <c r="C193" t="s">
        <v>54</v>
      </c>
      <c r="D193" t="s">
        <v>3</v>
      </c>
      <c r="E193">
        <v>23.07</v>
      </c>
    </row>
    <row r="194" spans="2:5" x14ac:dyDescent="0.25">
      <c r="B194">
        <v>11</v>
      </c>
      <c r="C194" t="s">
        <v>7</v>
      </c>
      <c r="D194" t="s">
        <v>4</v>
      </c>
      <c r="E194">
        <v>-22.29</v>
      </c>
    </row>
    <row r="195" spans="2:5" x14ac:dyDescent="0.25">
      <c r="B195">
        <v>11</v>
      </c>
      <c r="C195" t="s">
        <v>27</v>
      </c>
      <c r="D195" t="s">
        <v>5</v>
      </c>
      <c r="E195">
        <v>-639.84</v>
      </c>
    </row>
    <row r="196" spans="2:5" x14ac:dyDescent="0.25">
      <c r="B196">
        <v>11</v>
      </c>
      <c r="C196" t="s">
        <v>214</v>
      </c>
      <c r="D196" t="s">
        <v>16</v>
      </c>
      <c r="E196">
        <v>594.33000000000004</v>
      </c>
    </row>
    <row r="197" spans="2:5" x14ac:dyDescent="0.25">
      <c r="B197">
        <v>11</v>
      </c>
      <c r="C197" t="s">
        <v>212</v>
      </c>
      <c r="D197" t="s">
        <v>3</v>
      </c>
      <c r="E197">
        <v>98.509999999999991</v>
      </c>
    </row>
    <row r="198" spans="2:5" x14ac:dyDescent="0.25">
      <c r="B198">
        <v>11</v>
      </c>
      <c r="C198" t="s">
        <v>211</v>
      </c>
      <c r="D198" t="s">
        <v>3</v>
      </c>
      <c r="E198">
        <v>342.55</v>
      </c>
    </row>
    <row r="199" spans="2:5" x14ac:dyDescent="0.25">
      <c r="B199">
        <v>11</v>
      </c>
      <c r="C199" t="s">
        <v>50</v>
      </c>
      <c r="D199" t="s">
        <v>3</v>
      </c>
      <c r="E199">
        <v>95</v>
      </c>
    </row>
    <row r="200" spans="2:5" x14ac:dyDescent="0.25">
      <c r="B200">
        <v>11</v>
      </c>
      <c r="C200" t="s">
        <v>8</v>
      </c>
      <c r="D200" t="s">
        <v>3</v>
      </c>
      <c r="E200">
        <v>399.4</v>
      </c>
    </row>
    <row r="201" spans="2:5" x14ac:dyDescent="0.25">
      <c r="B201">
        <v>11</v>
      </c>
      <c r="C201" t="s">
        <v>2</v>
      </c>
      <c r="D201" t="s">
        <v>5</v>
      </c>
      <c r="E201">
        <v>224</v>
      </c>
    </row>
    <row r="202" spans="2:5" x14ac:dyDescent="0.25">
      <c r="B202">
        <v>11</v>
      </c>
      <c r="C202" t="s">
        <v>35</v>
      </c>
      <c r="D202" t="s">
        <v>3</v>
      </c>
      <c r="E202">
        <v>0</v>
      </c>
    </row>
    <row r="203" spans="2:5" x14ac:dyDescent="0.25">
      <c r="B203">
        <v>11</v>
      </c>
      <c r="C203" t="s">
        <v>33</v>
      </c>
      <c r="D203" t="s">
        <v>5</v>
      </c>
      <c r="E203">
        <v>6.7899999999999991</v>
      </c>
    </row>
    <row r="204" spans="2:5" x14ac:dyDescent="0.25">
      <c r="B204">
        <v>11</v>
      </c>
      <c r="C204" t="s">
        <v>58</v>
      </c>
      <c r="D204" t="s">
        <v>16</v>
      </c>
      <c r="E204">
        <v>120</v>
      </c>
    </row>
    <row r="205" spans="2:5" x14ac:dyDescent="0.25">
      <c r="B205">
        <v>11</v>
      </c>
      <c r="C205" t="s">
        <v>88</v>
      </c>
      <c r="D205" t="s">
        <v>3</v>
      </c>
      <c r="E205">
        <v>129.35</v>
      </c>
    </row>
    <row r="206" spans="2:5" x14ac:dyDescent="0.25">
      <c r="B206">
        <v>11</v>
      </c>
      <c r="C206" t="s">
        <v>129</v>
      </c>
      <c r="D206" t="s">
        <v>3</v>
      </c>
      <c r="E206">
        <v>13.21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DEB4B-721B-4B40-9B22-1D710F5E1318}">
  <sheetPr codeName="Sheet18"/>
  <dimension ref="B3:Q138"/>
  <sheetViews>
    <sheetView showGridLines="0" workbookViewId="0">
      <selection activeCell="Q11" sqref="Q11"/>
    </sheetView>
  </sheetViews>
  <sheetFormatPr defaultRowHeight="15" outlineLevelCol="1" x14ac:dyDescent="0.25"/>
  <cols>
    <col min="1" max="1" width="6.42578125" customWidth="1"/>
    <col min="2" max="2" width="15.85546875" customWidth="1" outlineLevel="1"/>
    <col min="3" max="3" width="33" customWidth="1"/>
    <col min="4" max="4" width="4.7109375" customWidth="1"/>
    <col min="5" max="5" width="23" customWidth="1"/>
    <col min="6" max="6" width="4.7109375" customWidth="1"/>
    <col min="7" max="7" width="24.42578125" customWidth="1"/>
    <col min="8" max="8" width="3.85546875" customWidth="1"/>
    <col min="9" max="9" width="24.7109375" customWidth="1"/>
    <col min="10" max="10" width="3.7109375" customWidth="1"/>
    <col min="11" max="11" width="21.85546875" customWidth="1"/>
    <col min="12" max="12" width="4.140625" customWidth="1"/>
    <col min="13" max="13" width="24.28515625" customWidth="1"/>
    <col min="14" max="14" width="6.140625" customWidth="1"/>
    <col min="15" max="15" width="16.42578125" customWidth="1"/>
    <col min="16" max="16" width="5.5703125" customWidth="1"/>
  </cols>
  <sheetData>
    <row r="3" spans="2:17" ht="26.25" x14ac:dyDescent="0.4">
      <c r="C3" s="338" t="s">
        <v>593</v>
      </c>
    </row>
    <row r="5" spans="2:17" ht="42.75" customHeight="1" x14ac:dyDescent="0.25">
      <c r="B5" s="337" t="s">
        <v>594</v>
      </c>
      <c r="C5" s="339" t="s">
        <v>595</v>
      </c>
      <c r="D5" s="339"/>
      <c r="E5" s="339" t="s">
        <v>604</v>
      </c>
      <c r="F5" s="339"/>
      <c r="G5" s="339" t="s">
        <v>599</v>
      </c>
      <c r="H5" s="339"/>
      <c r="I5" s="339" t="s">
        <v>602</v>
      </c>
      <c r="J5" s="339"/>
      <c r="K5" s="339" t="s">
        <v>385</v>
      </c>
      <c r="L5" s="339"/>
      <c r="M5" s="340" t="s">
        <v>603</v>
      </c>
      <c r="O5" s="341" t="s">
        <v>605</v>
      </c>
      <c r="Q5" s="341" t="s">
        <v>611</v>
      </c>
    </row>
    <row r="6" spans="2:17" ht="6" customHeight="1" x14ac:dyDescent="0.25"/>
    <row r="7" spans="2:17" x14ac:dyDescent="0.25">
      <c r="B7" t="s">
        <v>596</v>
      </c>
      <c r="C7">
        <f>ROWS(acct_ref[AccountName])</f>
        <v>51</v>
      </c>
      <c r="E7">
        <f>ROWS(
   _xlfn.UNIQUE(acct_ref[AcctNo])
)</f>
        <v>51</v>
      </c>
      <c r="I7" cm="1">
        <f t="array" ref="I7">ROWS(
   _xlfn._xlws.FILTER(
      item_ref[Item],
      ISNUMBER(SEARCH("sub",item_ref[Item])) *
         (item_ref[Status] = 1),
      "no data"
   )
)</f>
        <v>15</v>
      </c>
    </row>
    <row r="8" spans="2:17" x14ac:dyDescent="0.25">
      <c r="B8" t="s">
        <v>597</v>
      </c>
      <c r="C8">
        <f>ROWS(acct_ref[AccountName])</f>
        <v>51</v>
      </c>
      <c r="E8">
        <f>ROWS(acct_ref[AcctNo])</f>
        <v>51</v>
      </c>
    </row>
    <row r="9" spans="2:17" x14ac:dyDescent="0.25">
      <c r="B9" t="s">
        <v>598</v>
      </c>
      <c r="C9">
        <f>C$8-C$7</f>
        <v>0</v>
      </c>
      <c r="E9">
        <f t="shared" ref="E9:M9" si="0">E$8-E$7</f>
        <v>0</v>
      </c>
      <c r="G9">
        <f t="shared" si="0"/>
        <v>0</v>
      </c>
      <c r="K9">
        <f t="shared" si="0"/>
        <v>0</v>
      </c>
      <c r="M9">
        <f t="shared" si="0"/>
        <v>0</v>
      </c>
    </row>
    <row r="10" spans="2:17" ht="12" customHeight="1" x14ac:dyDescent="0.25"/>
    <row r="11" spans="2:17" x14ac:dyDescent="0.25">
      <c r="C11" t="str" cm="1">
        <f t="array" ref="C11:C61">_xlfn.UNIQUE(acct_ref[AccountName])</f>
        <v>Cash</v>
      </c>
      <c r="E11" cm="1">
        <f t="array" ref="E11:E61">_xlfn.UNIQUE(acct_ref[AcctNo])</f>
        <v>1001</v>
      </c>
      <c r="G11" t="str" cm="1">
        <f t="array" ref="G11:G138">_xlfn.UNIQUE(item_ref[Item])</f>
        <v>credit equalization</v>
      </c>
      <c r="I11" t="str" cm="1">
        <f t="array" ref="I11:I25">_xlfn._xlws.FILTER(
   item_ref[Item],
   ISNUMBER(SEARCH("sub",item_ref[Item])) *
      (item_ref[Status] = 1),
   "no data"
)</f>
        <v>sub acronis</v>
      </c>
      <c r="K11" t="str" cm="1">
        <f t="array" ref="K11:K16">_xlfn.UNIQUE(acct_type_ref[AcctType])</f>
        <v>Asset</v>
      </c>
      <c r="M11" t="str" cm="1">
        <f t="array" ref="M11:M25">_xlfn.UNIQUE(agg_acct_dash[AggAcctName])</f>
        <v>Cash Equivalent</v>
      </c>
      <c r="O11" cm="1">
        <f t="array" ref="O11:O12">_xlfn.UNIQUE(acct_type_ref[BalanceID])</f>
        <v>1</v>
      </c>
      <c r="Q11" t="str" cm="1">
        <f t="array" ref="Q11:Q16">_xlfn.UNIQUE(src_type[src_name])</f>
        <v>actual</v>
      </c>
    </row>
    <row r="12" spans="2:17" x14ac:dyDescent="0.25">
      <c r="C12" t="str">
        <v>Chequing Account</v>
      </c>
      <c r="E12">
        <v>1002</v>
      </c>
      <c r="G12" t="str">
        <v>jazz</v>
      </c>
      <c r="I12" t="str">
        <v>sub chatGPT</v>
      </c>
      <c r="K12" t="str">
        <v>Contra Asset</v>
      </c>
      <c r="M12" t="str">
        <v>Investments</v>
      </c>
      <c r="O12">
        <v>2</v>
      </c>
      <c r="Q12" t="str">
        <v>asset_plan</v>
      </c>
    </row>
    <row r="13" spans="2:17" x14ac:dyDescent="0.25">
      <c r="C13" t="str">
        <v>Savings Account</v>
      </c>
      <c r="E13">
        <v>1003</v>
      </c>
      <c r="G13" t="str">
        <v>Robbie</v>
      </c>
      <c r="I13" t="str">
        <v>sub Github</v>
      </c>
      <c r="K13" t="str">
        <v>Liability</v>
      </c>
      <c r="M13" t="str">
        <v>Property</v>
      </c>
      <c r="Q13" t="str">
        <v>inc_plan</v>
      </c>
    </row>
    <row r="14" spans="2:17" x14ac:dyDescent="0.25">
      <c r="C14" t="str">
        <v>RRSP</v>
      </c>
      <c r="E14">
        <v>1015</v>
      </c>
      <c r="G14" t="str">
        <v>misc school fees</v>
      </c>
      <c r="I14" t="str">
        <v>sub iobit mix</v>
      </c>
      <c r="K14" t="str">
        <v>Capital</v>
      </c>
      <c r="M14" t="str">
        <v>Assets Misc.</v>
      </c>
      <c r="Q14" t="str">
        <v>exp_plan</v>
      </c>
    </row>
    <row r="15" spans="2:17" x14ac:dyDescent="0.25">
      <c r="C15" t="str">
        <v>Accounts Receiveable- Personal</v>
      </c>
      <c r="E15">
        <v>1004</v>
      </c>
      <c r="G15" t="str">
        <v>tuition</v>
      </c>
      <c r="I15" t="str">
        <v>sub office 365</v>
      </c>
      <c r="K15" t="str">
        <v>Revenue</v>
      </c>
      <c r="M15" t="str">
        <v>Short-Term Debt Credit</v>
      </c>
      <c r="Q15" t="str">
        <v>shop_list</v>
      </c>
    </row>
    <row r="16" spans="2:17" x14ac:dyDescent="0.25">
      <c r="C16" t="str">
        <v>Salary Over/Under</v>
      </c>
      <c r="E16">
        <v>1005</v>
      </c>
      <c r="G16" t="str">
        <v>loan collection</v>
      </c>
      <c r="I16" t="str">
        <v>sub apple tv</v>
      </c>
      <c r="K16" t="str">
        <v>Expense</v>
      </c>
      <c r="M16" t="str">
        <v>Short-Term Debt Other</v>
      </c>
      <c r="Q16" t="str">
        <v>lia_plan</v>
      </c>
    </row>
    <row r="17" spans="3:13" x14ac:dyDescent="0.25">
      <c r="C17" t="str">
        <v>Gift Card - Amazon</v>
      </c>
      <c r="E17">
        <v>1006</v>
      </c>
      <c r="G17" t="str">
        <v>mom</v>
      </c>
      <c r="I17" t="str">
        <v>sub creative fabrica</v>
      </c>
      <c r="M17" t="str">
        <v>Long-Term Debt</v>
      </c>
    </row>
    <row r="18" spans="3:13" x14ac:dyDescent="0.25">
      <c r="C18" t="str">
        <v>Home</v>
      </c>
      <c r="E18">
        <v>1007</v>
      </c>
      <c r="G18" t="str">
        <v>act out food</v>
      </c>
      <c r="I18" t="str">
        <v>sub disney+</v>
      </c>
      <c r="M18" t="str">
        <v>Income Salary</v>
      </c>
    </row>
    <row r="19" spans="3:13" x14ac:dyDescent="0.25">
      <c r="C19" t="str">
        <v>Asset - Computer</v>
      </c>
      <c r="E19">
        <v>1008</v>
      </c>
      <c r="G19" t="str">
        <v>balacing account</v>
      </c>
      <c r="I19" t="str">
        <v>sub dropout TV</v>
      </c>
      <c r="M19" t="str">
        <v>Income Other</v>
      </c>
    </row>
    <row r="20" spans="3:13" x14ac:dyDescent="0.25">
      <c r="C20" t="str">
        <v>Asset - Office</v>
      </c>
      <c r="E20">
        <v>1009</v>
      </c>
      <c r="G20" t="str">
        <v>balancing account</v>
      </c>
      <c r="I20" t="str">
        <v>sub kindle</v>
      </c>
      <c r="M20" t="str">
        <v>Home Expenses</v>
      </c>
    </row>
    <row r="21" spans="3:13" x14ac:dyDescent="0.25">
      <c r="C21" t="str">
        <v>Asset - Shop Tools</v>
      </c>
      <c r="E21">
        <v>1010</v>
      </c>
      <c r="G21" t="str">
        <v>chequing adjustment</v>
      </c>
      <c r="I21" t="str">
        <v>sub prime</v>
      </c>
      <c r="M21" t="str">
        <v>Self-Care Expenses</v>
      </c>
    </row>
    <row r="22" spans="3:13" x14ac:dyDescent="0.25">
      <c r="C22" t="str">
        <v>Prepaid Expense - Life Insurance</v>
      </c>
      <c r="E22">
        <v>1011</v>
      </c>
      <c r="G22" t="str">
        <v>credit payment</v>
      </c>
      <c r="I22" t="str">
        <v>sub prime video ad-free</v>
      </c>
      <c r="M22" t="str">
        <v>Transportation Expenses</v>
      </c>
    </row>
    <row r="23" spans="3:13" x14ac:dyDescent="0.25">
      <c r="C23" t="str">
        <v>Prepaid Expense - Self-Care</v>
      </c>
      <c r="E23">
        <v>1012</v>
      </c>
      <c r="G23" t="str">
        <v>e-transfer</v>
      </c>
      <c r="I23" t="str">
        <v>sub spotify</v>
      </c>
      <c r="M23" t="str">
        <v>Act Out Expenses</v>
      </c>
    </row>
    <row r="24" spans="3:13" x14ac:dyDescent="0.25">
      <c r="C24" t="str">
        <v xml:space="preserve">Prepaid Expense - Office </v>
      </c>
      <c r="E24">
        <v>1013</v>
      </c>
      <c r="G24" t="str">
        <v>mix receivable/personl</v>
      </c>
      <c r="I24" t="str">
        <v>sub stack tv</v>
      </c>
      <c r="M24" t="str">
        <v>Expenses Other</v>
      </c>
    </row>
    <row r="25" spans="3:13" x14ac:dyDescent="0.25">
      <c r="C25" t="str">
        <v>Prepaid Expense - Transportation</v>
      </c>
      <c r="E25">
        <v>1014</v>
      </c>
      <c r="G25" t="str">
        <v>withdrawal</v>
      </c>
      <c r="I25" t="str">
        <v>sub yt premium</v>
      </c>
      <c r="M25" t="str">
        <v>Debt Expense</v>
      </c>
    </row>
    <row r="26" spans="3:13" x14ac:dyDescent="0.25">
      <c r="C26" t="str">
        <v>TFSA Investia</v>
      </c>
      <c r="E26">
        <v>1016</v>
      </c>
      <c r="G26" t="str">
        <v>date connect</v>
      </c>
    </row>
    <row r="27" spans="3:13" x14ac:dyDescent="0.25">
      <c r="C27" t="str">
        <v>Prepaid Expense - Rent</v>
      </c>
      <c r="E27">
        <v>1017</v>
      </c>
      <c r="G27" t="str">
        <v>gift</v>
      </c>
    </row>
    <row r="28" spans="3:13" x14ac:dyDescent="0.25">
      <c r="C28" t="str">
        <v>Account Payable - CC 8524</v>
      </c>
      <c r="E28">
        <v>2001</v>
      </c>
      <c r="G28" t="str">
        <v>sub tinder</v>
      </c>
    </row>
    <row r="29" spans="3:13" x14ac:dyDescent="0.25">
      <c r="C29" t="str">
        <v>Account Payable - CC 1739</v>
      </c>
      <c r="E29">
        <v>2002</v>
      </c>
      <c r="G29" t="str">
        <v>classes</v>
      </c>
    </row>
    <row r="30" spans="3:13" x14ac:dyDescent="0.25">
      <c r="C30" t="str">
        <v>Account Payable - Personal</v>
      </c>
      <c r="E30">
        <v>2003</v>
      </c>
      <c r="G30" t="str">
        <v>donation wikipedia</v>
      </c>
    </row>
    <row r="31" spans="3:13" x14ac:dyDescent="0.25">
      <c r="C31" t="str">
        <v>Account Payable - School</v>
      </c>
      <c r="E31">
        <v>2006</v>
      </c>
      <c r="G31" t="str">
        <v>school supplies</v>
      </c>
    </row>
    <row r="32" spans="3:13" x14ac:dyDescent="0.25">
      <c r="C32" t="str">
        <v>Loans - OSAP</v>
      </c>
      <c r="E32">
        <v>2004</v>
      </c>
      <c r="G32" t="str">
        <v>sub coursera</v>
      </c>
    </row>
    <row r="33" spans="3:7" x14ac:dyDescent="0.25">
      <c r="C33" t="str">
        <v>Account Payable - Home Depot</v>
      </c>
      <c r="E33">
        <v>2005</v>
      </c>
      <c r="G33" t="str">
        <v>sub skillshare</v>
      </c>
    </row>
    <row r="34" spans="3:7" x14ac:dyDescent="0.25">
      <c r="C34" t="str">
        <v>MK - Capital</v>
      </c>
      <c r="E34">
        <v>3001</v>
      </c>
      <c r="G34" t="str">
        <v>textbooks</v>
      </c>
    </row>
    <row r="35" spans="3:7" x14ac:dyDescent="0.25">
      <c r="C35" t="str">
        <v>Income Summary 2024</v>
      </c>
      <c r="E35">
        <v>3002</v>
      </c>
      <c r="G35" t="str">
        <v>tutor</v>
      </c>
    </row>
    <row r="36" spans="3:7" x14ac:dyDescent="0.25">
      <c r="C36" t="str">
        <v>Salary Revenue</v>
      </c>
      <c r="E36">
        <v>4001</v>
      </c>
      <c r="G36" t="str">
        <v>gift card</v>
      </c>
    </row>
    <row r="37" spans="3:7" x14ac:dyDescent="0.25">
      <c r="C37" t="str">
        <v>Government Revenue</v>
      </c>
      <c r="E37">
        <v>4002</v>
      </c>
      <c r="G37" t="str">
        <v>gift cash</v>
      </c>
    </row>
    <row r="38" spans="3:7" x14ac:dyDescent="0.25">
      <c r="C38" t="str">
        <v>Gift Revenue</v>
      </c>
      <c r="E38">
        <v>4003</v>
      </c>
      <c r="G38" t="str">
        <v>grant revenue</v>
      </c>
    </row>
    <row r="39" spans="3:7" x14ac:dyDescent="0.25">
      <c r="C39" t="str">
        <v>Revenue Other</v>
      </c>
      <c r="E39">
        <v>4004</v>
      </c>
      <c r="G39" t="str">
        <v>tax refund</v>
      </c>
    </row>
    <row r="40" spans="3:7" x14ac:dyDescent="0.25">
      <c r="C40" t="str">
        <v>Unknown Revenue</v>
      </c>
      <c r="E40">
        <v>4006</v>
      </c>
      <c r="G40" t="str">
        <v>unknown government income</v>
      </c>
    </row>
    <row r="41" spans="3:7" x14ac:dyDescent="0.25">
      <c r="C41" t="str">
        <v>Purchase Returns</v>
      </c>
      <c r="E41">
        <v>4005</v>
      </c>
      <c r="G41" t="str">
        <v>batteries</v>
      </c>
    </row>
    <row r="42" spans="3:7" x14ac:dyDescent="0.25">
      <c r="C42" t="str">
        <v>Unknown Expense</v>
      </c>
      <c r="E42">
        <v>5000</v>
      </c>
      <c r="G42" t="str">
        <v>appliances</v>
      </c>
    </row>
    <row r="43" spans="3:7" x14ac:dyDescent="0.25">
      <c r="C43" t="str">
        <v>Home Expense</v>
      </c>
      <c r="E43">
        <v>5001</v>
      </c>
      <c r="G43" t="str">
        <v>bedding supplies</v>
      </c>
    </row>
    <row r="44" spans="3:7" x14ac:dyDescent="0.25">
      <c r="C44" t="str">
        <v>Rent Expense</v>
      </c>
      <c r="E44">
        <v>5002</v>
      </c>
      <c r="G44" t="str">
        <v>cleaning supplies</v>
      </c>
    </row>
    <row r="45" spans="3:7" x14ac:dyDescent="0.25">
      <c r="C45" t="str">
        <v>Utilities Expense</v>
      </c>
      <c r="E45">
        <v>5003</v>
      </c>
      <c r="G45" t="str">
        <v>furniture</v>
      </c>
    </row>
    <row r="46" spans="3:7" x14ac:dyDescent="0.25">
      <c r="C46" t="str">
        <v>Life Insurance Expense</v>
      </c>
      <c r="E46">
        <v>5004</v>
      </c>
      <c r="G46" t="str">
        <v>home décor</v>
      </c>
    </row>
    <row r="47" spans="3:7" x14ac:dyDescent="0.25">
      <c r="C47" t="str">
        <v>Phone Expense</v>
      </c>
      <c r="E47">
        <v>5005</v>
      </c>
      <c r="G47" t="str">
        <v>home maintenance</v>
      </c>
    </row>
    <row r="48" spans="3:7" x14ac:dyDescent="0.25">
      <c r="C48" t="str">
        <v>TV/Internet Expense</v>
      </c>
      <c r="E48">
        <v>5006</v>
      </c>
      <c r="G48" t="str">
        <v>home supplies misc.</v>
      </c>
    </row>
    <row r="49" spans="3:7" x14ac:dyDescent="0.25">
      <c r="C49" t="str">
        <v>Transportation Expense</v>
      </c>
      <c r="E49">
        <v>5007</v>
      </c>
      <c r="G49" t="str">
        <v>kitchen supplies/tools</v>
      </c>
    </row>
    <row r="50" spans="3:7" x14ac:dyDescent="0.25">
      <c r="C50" t="str">
        <v>Medical Expense</v>
      </c>
      <c r="E50">
        <v>5008</v>
      </c>
      <c r="G50" t="str">
        <v>pest control</v>
      </c>
    </row>
    <row r="51" spans="3:7" x14ac:dyDescent="0.25">
      <c r="C51" t="str">
        <v>Act Out Expense</v>
      </c>
      <c r="E51">
        <v>5009</v>
      </c>
      <c r="G51" t="str">
        <v>life insurance expense</v>
      </c>
    </row>
    <row r="52" spans="3:7" x14ac:dyDescent="0.25">
      <c r="C52" t="str">
        <v>Nutrition Expense</v>
      </c>
      <c r="E52">
        <v>5010</v>
      </c>
      <c r="G52" t="str">
        <v>loan osap</v>
      </c>
    </row>
    <row r="53" spans="3:7" x14ac:dyDescent="0.25">
      <c r="C53" t="str">
        <v>Shop Expense</v>
      </c>
      <c r="E53">
        <v>5013</v>
      </c>
      <c r="G53" t="str">
        <v>CPAP machine</v>
      </c>
    </row>
    <row r="54" spans="3:7" x14ac:dyDescent="0.25">
      <c r="C54" t="str">
        <v>Office &amp; Computer Expense</v>
      </c>
      <c r="E54">
        <v>5014</v>
      </c>
      <c r="G54" t="str">
        <v>dentist</v>
      </c>
    </row>
    <row r="55" spans="3:7" x14ac:dyDescent="0.25">
      <c r="C55" t="str">
        <v>Self-Care Expense</v>
      </c>
      <c r="E55">
        <v>5015</v>
      </c>
      <c r="G55" t="str">
        <v>medical supplies</v>
      </c>
    </row>
    <row r="56" spans="3:7" x14ac:dyDescent="0.25">
      <c r="C56" t="str">
        <v>Travel Expense</v>
      </c>
      <c r="E56">
        <v>5016</v>
      </c>
      <c r="G56" t="str">
        <v>meds zoloft</v>
      </c>
    </row>
    <row r="57" spans="3:7" x14ac:dyDescent="0.25">
      <c r="C57" t="str">
        <v>Education Expense</v>
      </c>
      <c r="E57">
        <v>5017</v>
      </c>
      <c r="G57" t="str">
        <v>service fee</v>
      </c>
    </row>
    <row r="58" spans="3:7" x14ac:dyDescent="0.25">
      <c r="C58" t="str">
        <v>Connect Expense</v>
      </c>
      <c r="E58">
        <v>5018</v>
      </c>
      <c r="G58" t="str">
        <v>food mixed</v>
      </c>
    </row>
    <row r="59" spans="3:7" x14ac:dyDescent="0.25">
      <c r="C59" t="str">
        <v>Tax Sales</v>
      </c>
      <c r="E59">
        <v>5025</v>
      </c>
      <c r="G59" t="str">
        <v>groceries</v>
      </c>
    </row>
    <row r="60" spans="3:7" x14ac:dyDescent="0.25">
      <c r="C60" t="str">
        <v>Receivable Expense</v>
      </c>
      <c r="E60">
        <v>5019</v>
      </c>
      <c r="G60" t="str">
        <v>nutritional supplements</v>
      </c>
    </row>
    <row r="61" spans="3:7" x14ac:dyDescent="0.25">
      <c r="C61" t="str">
        <v>Misc Expense</v>
      </c>
      <c r="E61">
        <v>5050</v>
      </c>
      <c r="G61" t="str">
        <v>takeout/restaurant</v>
      </c>
    </row>
    <row r="62" spans="3:7" x14ac:dyDescent="0.25">
      <c r="G62" t="str">
        <v>computer parts</v>
      </c>
    </row>
    <row r="63" spans="3:7" x14ac:dyDescent="0.25">
      <c r="G63" t="str">
        <v>computer peripherals</v>
      </c>
    </row>
    <row r="64" spans="3:7" x14ac:dyDescent="0.25">
      <c r="G64" t="str">
        <v>computer software</v>
      </c>
    </row>
    <row r="65" spans="7:7" x14ac:dyDescent="0.25">
      <c r="G65" t="str">
        <v>electronics other</v>
      </c>
    </row>
    <row r="66" spans="7:7" x14ac:dyDescent="0.25">
      <c r="G66" t="str">
        <v>office supplies</v>
      </c>
    </row>
    <row r="67" spans="7:7" x14ac:dyDescent="0.25">
      <c r="G67" t="str">
        <v>sub acronis</v>
      </c>
    </row>
    <row r="68" spans="7:7" x14ac:dyDescent="0.25">
      <c r="G68" t="str">
        <v>sub adobe</v>
      </c>
    </row>
    <row r="69" spans="7:7" x14ac:dyDescent="0.25">
      <c r="G69" t="str">
        <v>sub chatGPT</v>
      </c>
    </row>
    <row r="70" spans="7:7" x14ac:dyDescent="0.25">
      <c r="G70" t="str">
        <v>sub Github</v>
      </c>
    </row>
    <row r="71" spans="7:7" x14ac:dyDescent="0.25">
      <c r="G71" t="str">
        <v xml:space="preserve">sub iobit driver booster </v>
      </c>
    </row>
    <row r="72" spans="7:7" x14ac:dyDescent="0.25">
      <c r="G72" t="str">
        <v>sub iobit mix</v>
      </c>
    </row>
    <row r="73" spans="7:7" x14ac:dyDescent="0.25">
      <c r="G73" t="str">
        <v xml:space="preserve">sub iobit system care </v>
      </c>
    </row>
    <row r="74" spans="7:7" x14ac:dyDescent="0.25">
      <c r="G74" t="str">
        <v xml:space="preserve">sub iobit uninstaller </v>
      </c>
    </row>
    <row r="75" spans="7:7" x14ac:dyDescent="0.25">
      <c r="G75" t="str">
        <v>sub office 365</v>
      </c>
    </row>
    <row r="76" spans="7:7" x14ac:dyDescent="0.25">
      <c r="G76" t="str">
        <v>bill phone</v>
      </c>
    </row>
    <row r="77" spans="7:7" x14ac:dyDescent="0.25">
      <c r="G77" t="str">
        <v>phone maintenance</v>
      </c>
    </row>
    <row r="78" spans="7:7" x14ac:dyDescent="0.25">
      <c r="G78" t="str">
        <v>phone parts</v>
      </c>
    </row>
    <row r="79" spans="7:7" x14ac:dyDescent="0.25">
      <c r="G79" t="str">
        <v>purchase return</v>
      </c>
    </row>
    <row r="80" spans="7:7" x14ac:dyDescent="0.25">
      <c r="G80" t="str">
        <v>rent</v>
      </c>
    </row>
    <row r="81" spans="7:7" x14ac:dyDescent="0.25">
      <c r="G81" t="str">
        <v>rent adjustment</v>
      </c>
    </row>
    <row r="82" spans="7:7" x14ac:dyDescent="0.25">
      <c r="G82" t="str">
        <v>bursary</v>
      </c>
    </row>
    <row r="83" spans="7:7" x14ac:dyDescent="0.25">
      <c r="G83" t="str">
        <v>credit balance debit</v>
      </c>
    </row>
    <row r="84" spans="7:7" x14ac:dyDescent="0.25">
      <c r="G84" t="str">
        <v>insurance claim</v>
      </c>
    </row>
    <row r="85" spans="7:7" x14ac:dyDescent="0.25">
      <c r="G85" t="str">
        <v>personal sales</v>
      </c>
    </row>
    <row r="86" spans="7:7" x14ac:dyDescent="0.25">
      <c r="G86" t="str">
        <v>revenue interest</v>
      </c>
    </row>
    <row r="87" spans="7:7" x14ac:dyDescent="0.25">
      <c r="G87" t="str">
        <v>revenue misc</v>
      </c>
    </row>
    <row r="88" spans="7:7" x14ac:dyDescent="0.25">
      <c r="G88" t="str">
        <v>unknown revenue</v>
      </c>
    </row>
    <row r="89" spans="7:7" x14ac:dyDescent="0.25">
      <c r="G89" t="str">
        <v>salary qch</v>
      </c>
    </row>
    <row r="90" spans="7:7" x14ac:dyDescent="0.25">
      <c r="G90" t="str">
        <v>art</v>
      </c>
    </row>
    <row r="91" spans="7:7" x14ac:dyDescent="0.25">
      <c r="G91" t="str">
        <v>books</v>
      </c>
    </row>
    <row r="92" spans="7:7" x14ac:dyDescent="0.25">
      <c r="G92" t="str">
        <v>clothes</v>
      </c>
    </row>
    <row r="93" spans="7:7" x14ac:dyDescent="0.25">
      <c r="G93" t="str">
        <v>date solo</v>
      </c>
    </row>
    <row r="94" spans="7:7" x14ac:dyDescent="0.25">
      <c r="G94" t="str">
        <v>donation yuumei</v>
      </c>
    </row>
    <row r="95" spans="7:7" x14ac:dyDescent="0.25">
      <c r="G95" t="str">
        <v>games</v>
      </c>
    </row>
    <row r="96" spans="7:7" x14ac:dyDescent="0.25">
      <c r="G96" t="str">
        <v>hygiene products</v>
      </c>
    </row>
    <row r="97" spans="7:7" x14ac:dyDescent="0.25">
      <c r="G97" t="str">
        <v>life insurance</v>
      </c>
    </row>
    <row r="98" spans="7:7" x14ac:dyDescent="0.25">
      <c r="G98" t="str">
        <v>medication</v>
      </c>
    </row>
    <row r="99" spans="7:7" x14ac:dyDescent="0.25">
      <c r="G99" t="str">
        <v>mobility supplies/tools</v>
      </c>
    </row>
    <row r="100" spans="7:7" x14ac:dyDescent="0.25">
      <c r="G100" t="str">
        <v>movies</v>
      </c>
    </row>
    <row r="101" spans="7:7" x14ac:dyDescent="0.25">
      <c r="G101" t="str">
        <v>phoneix membership</v>
      </c>
    </row>
    <row r="102" spans="7:7" x14ac:dyDescent="0.25">
      <c r="G102" t="str">
        <v>self care misc.</v>
      </c>
    </row>
    <row r="103" spans="7:7" x14ac:dyDescent="0.25">
      <c r="G103" t="str">
        <v>sub amazon music</v>
      </c>
    </row>
    <row r="104" spans="7:7" x14ac:dyDescent="0.25">
      <c r="G104" t="str">
        <v>sub apple tv</v>
      </c>
    </row>
    <row r="105" spans="7:7" x14ac:dyDescent="0.25">
      <c r="G105" t="str">
        <v>sub creative fabrica</v>
      </c>
    </row>
    <row r="106" spans="7:7" x14ac:dyDescent="0.25">
      <c r="G106" t="str">
        <v>sub deviant art</v>
      </c>
    </row>
    <row r="107" spans="7:7" x14ac:dyDescent="0.25">
      <c r="G107" t="str">
        <v>sub disney+</v>
      </c>
    </row>
    <row r="108" spans="7:7" x14ac:dyDescent="0.25">
      <c r="G108" t="str">
        <v>sub dropout TV</v>
      </c>
    </row>
    <row r="109" spans="7:7" x14ac:dyDescent="0.25">
      <c r="G109" t="str">
        <v>sub guardian</v>
      </c>
    </row>
    <row r="110" spans="7:7" x14ac:dyDescent="0.25">
      <c r="G110" t="str">
        <v>sub kindle</v>
      </c>
    </row>
    <row r="111" spans="7:7" x14ac:dyDescent="0.25">
      <c r="G111" t="str">
        <v>sub netflix</v>
      </c>
    </row>
    <row r="112" spans="7:7" x14ac:dyDescent="0.25">
      <c r="G112" t="str">
        <v>sub paramount plus</v>
      </c>
    </row>
    <row r="113" spans="7:7" x14ac:dyDescent="0.25">
      <c r="G113" t="str">
        <v>sub prime</v>
      </c>
    </row>
    <row r="114" spans="7:7" x14ac:dyDescent="0.25">
      <c r="G114" t="str">
        <v>sub prime video ad-free</v>
      </c>
    </row>
    <row r="115" spans="7:7" x14ac:dyDescent="0.25">
      <c r="G115" t="str">
        <v>sub shudder</v>
      </c>
    </row>
    <row r="116" spans="7:7" x14ac:dyDescent="0.25">
      <c r="G116" t="str">
        <v>sub spotify</v>
      </c>
    </row>
    <row r="117" spans="7:7" x14ac:dyDescent="0.25">
      <c r="G117" t="str">
        <v>sub stack tv</v>
      </c>
    </row>
    <row r="118" spans="7:7" x14ac:dyDescent="0.25">
      <c r="G118" t="str">
        <v>sub yt premium</v>
      </c>
    </row>
    <row r="119" spans="7:7" x14ac:dyDescent="0.25">
      <c r="G119" t="str">
        <v>therapy</v>
      </c>
    </row>
    <row r="120" spans="7:7" x14ac:dyDescent="0.25">
      <c r="G120" t="str">
        <v>video games</v>
      </c>
    </row>
    <row r="121" spans="7:7" x14ac:dyDescent="0.25">
      <c r="G121" t="str">
        <v>shop supplies</v>
      </c>
    </row>
    <row r="122" spans="7:7" x14ac:dyDescent="0.25">
      <c r="G122" t="str">
        <v>shop tools</v>
      </c>
    </row>
    <row r="123" spans="7:7" x14ac:dyDescent="0.25">
      <c r="G123" t="str">
        <v>bike</v>
      </c>
    </row>
    <row r="124" spans="7:7" x14ac:dyDescent="0.25">
      <c r="G124" t="str">
        <v>bike maintenance</v>
      </c>
    </row>
    <row r="125" spans="7:7" x14ac:dyDescent="0.25">
      <c r="G125" t="str">
        <v>bike supplies</v>
      </c>
    </row>
    <row r="126" spans="7:7" x14ac:dyDescent="0.25">
      <c r="G126" t="str">
        <v>bus tickets</v>
      </c>
    </row>
    <row r="127" spans="7:7" x14ac:dyDescent="0.25">
      <c r="G127" t="str">
        <v>CAA membership</v>
      </c>
    </row>
    <row r="128" spans="7:7" x14ac:dyDescent="0.25">
      <c r="G128" t="str">
        <v>car gas</v>
      </c>
    </row>
    <row r="129" spans="7:7" x14ac:dyDescent="0.25">
      <c r="G129" t="str">
        <v>car insurance</v>
      </c>
    </row>
    <row r="130" spans="7:7" x14ac:dyDescent="0.25">
      <c r="G130" t="str">
        <v>car maintainenance</v>
      </c>
    </row>
    <row r="131" spans="7:7" x14ac:dyDescent="0.25">
      <c r="G131" t="str">
        <v>car supplies</v>
      </c>
    </row>
    <row r="132" spans="7:7" x14ac:dyDescent="0.25">
      <c r="G132" t="str">
        <v>parking</v>
      </c>
    </row>
    <row r="133" spans="7:7" x14ac:dyDescent="0.25">
      <c r="G133" t="str">
        <v>uber</v>
      </c>
    </row>
    <row r="134" spans="7:7" x14ac:dyDescent="0.25">
      <c r="G134" t="str">
        <v>bill internet</v>
      </c>
    </row>
    <row r="135" spans="7:7" x14ac:dyDescent="0.25">
      <c r="G135" t="str">
        <v>retro expense payments</v>
      </c>
    </row>
    <row r="136" spans="7:7" x14ac:dyDescent="0.25">
      <c r="G136" t="str">
        <v>unknown Amazon purchase</v>
      </c>
    </row>
    <row r="137" spans="7:7" x14ac:dyDescent="0.25">
      <c r="G137" t="str">
        <v>unknown transaction</v>
      </c>
    </row>
    <row r="138" spans="7:7" x14ac:dyDescent="0.25">
      <c r="G138" t="str">
        <v>Amazon Purchase mix</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7D57B-FDB7-440E-A82D-D6D0E1421FA4}">
  <sheetPr codeName="Sheet17"/>
  <dimension ref="B2:F88"/>
  <sheetViews>
    <sheetView workbookViewId="0">
      <selection activeCell="T19" sqref="T19"/>
    </sheetView>
  </sheetViews>
  <sheetFormatPr defaultRowHeight="15" x14ac:dyDescent="0.25"/>
  <cols>
    <col min="1" max="1" width="4.5703125" customWidth="1"/>
  </cols>
  <sheetData>
    <row r="2" spans="2:6" x14ac:dyDescent="0.25">
      <c r="B2" s="307" t="s">
        <v>568</v>
      </c>
      <c r="C2" s="307" t="s">
        <v>174</v>
      </c>
      <c r="D2" s="307" t="s">
        <v>41</v>
      </c>
      <c r="E2" s="307" t="s">
        <v>567</v>
      </c>
      <c r="F2" s="307" t="s">
        <v>566</v>
      </c>
    </row>
    <row r="3" spans="2:6" x14ac:dyDescent="0.25">
      <c r="B3" t="s">
        <v>534</v>
      </c>
      <c r="C3" t="s">
        <v>132</v>
      </c>
      <c r="D3" t="s">
        <v>34</v>
      </c>
      <c r="E3" s="306">
        <v>1350</v>
      </c>
      <c r="F3" s="306">
        <v>0</v>
      </c>
    </row>
    <row r="4" spans="2:6" x14ac:dyDescent="0.25">
      <c r="B4" t="s">
        <v>534</v>
      </c>
      <c r="C4" t="s">
        <v>132</v>
      </c>
      <c r="D4" t="s">
        <v>27</v>
      </c>
      <c r="E4" s="306">
        <v>0</v>
      </c>
      <c r="F4" s="306">
        <v>1350</v>
      </c>
    </row>
    <row r="5" spans="2:6" x14ac:dyDescent="0.25">
      <c r="B5" t="s">
        <v>532</v>
      </c>
      <c r="C5" t="s">
        <v>185</v>
      </c>
      <c r="D5" t="s">
        <v>211</v>
      </c>
      <c r="E5" s="306">
        <v>62.15</v>
      </c>
      <c r="F5" s="306">
        <v>0</v>
      </c>
    </row>
    <row r="6" spans="2:6" x14ac:dyDescent="0.25">
      <c r="B6" t="s">
        <v>532</v>
      </c>
      <c r="C6" t="s">
        <v>185</v>
      </c>
      <c r="D6" t="s">
        <v>11</v>
      </c>
      <c r="E6" s="306">
        <v>0</v>
      </c>
      <c r="F6" s="306">
        <v>62.15</v>
      </c>
    </row>
    <row r="7" spans="2:6" x14ac:dyDescent="0.25">
      <c r="B7" t="s">
        <v>532</v>
      </c>
      <c r="C7" t="s">
        <v>193</v>
      </c>
      <c r="D7" t="s">
        <v>27</v>
      </c>
      <c r="E7" s="306">
        <v>1875</v>
      </c>
      <c r="F7" s="306">
        <v>0</v>
      </c>
    </row>
    <row r="8" spans="2:6" x14ac:dyDescent="0.25">
      <c r="B8" t="s">
        <v>532</v>
      </c>
      <c r="C8" t="s">
        <v>193</v>
      </c>
      <c r="D8" t="s">
        <v>214</v>
      </c>
      <c r="E8" s="306">
        <v>0</v>
      </c>
      <c r="F8" s="306">
        <v>1875</v>
      </c>
    </row>
    <row r="9" spans="2:6" x14ac:dyDescent="0.25">
      <c r="B9" t="s">
        <v>533</v>
      </c>
      <c r="C9" t="s">
        <v>191</v>
      </c>
      <c r="D9" t="s">
        <v>28</v>
      </c>
      <c r="E9" s="306">
        <v>500</v>
      </c>
      <c r="F9" s="306">
        <v>0</v>
      </c>
    </row>
    <row r="10" spans="2:6" x14ac:dyDescent="0.25">
      <c r="B10" t="s">
        <v>533</v>
      </c>
      <c r="C10" t="s">
        <v>191</v>
      </c>
      <c r="D10" t="s">
        <v>27</v>
      </c>
      <c r="E10" s="306">
        <v>0</v>
      </c>
      <c r="F10" s="306">
        <v>500</v>
      </c>
    </row>
    <row r="11" spans="2:6" x14ac:dyDescent="0.25">
      <c r="B11" t="s">
        <v>533</v>
      </c>
      <c r="C11" t="s">
        <v>235</v>
      </c>
      <c r="D11" t="s">
        <v>211</v>
      </c>
      <c r="E11" s="306">
        <v>62.6</v>
      </c>
      <c r="F11" s="306">
        <v>0</v>
      </c>
    </row>
    <row r="12" spans="2:6" x14ac:dyDescent="0.25">
      <c r="B12" t="s">
        <v>533</v>
      </c>
      <c r="C12" t="s">
        <v>235</v>
      </c>
      <c r="D12" t="s">
        <v>11</v>
      </c>
      <c r="E12" s="306">
        <v>0</v>
      </c>
      <c r="F12" s="306">
        <v>62.6</v>
      </c>
    </row>
    <row r="13" spans="2:6" x14ac:dyDescent="0.25">
      <c r="B13" t="s">
        <v>543</v>
      </c>
      <c r="C13" t="s">
        <v>119</v>
      </c>
      <c r="D13" t="s">
        <v>50</v>
      </c>
      <c r="E13" s="306">
        <v>52.4</v>
      </c>
      <c r="F13" s="306">
        <v>0</v>
      </c>
    </row>
    <row r="14" spans="2:6" x14ac:dyDescent="0.25">
      <c r="B14" t="s">
        <v>543</v>
      </c>
      <c r="C14" t="s">
        <v>119</v>
      </c>
      <c r="D14" t="s">
        <v>27</v>
      </c>
      <c r="E14" s="306">
        <v>0</v>
      </c>
      <c r="F14" s="306">
        <v>52.4</v>
      </c>
    </row>
    <row r="15" spans="2:6" x14ac:dyDescent="0.25">
      <c r="B15" t="s">
        <v>535</v>
      </c>
      <c r="C15" t="s">
        <v>180</v>
      </c>
      <c r="D15" t="s">
        <v>50</v>
      </c>
      <c r="E15" s="306">
        <v>140</v>
      </c>
      <c r="F15" s="306">
        <v>0</v>
      </c>
    </row>
    <row r="16" spans="2:6" x14ac:dyDescent="0.25">
      <c r="B16" t="s">
        <v>535</v>
      </c>
      <c r="C16" t="s">
        <v>180</v>
      </c>
      <c r="D16" t="s">
        <v>27</v>
      </c>
      <c r="E16" s="306">
        <v>0</v>
      </c>
      <c r="F16" s="306">
        <v>140</v>
      </c>
    </row>
    <row r="17" spans="2:6" x14ac:dyDescent="0.25">
      <c r="B17" t="s">
        <v>535</v>
      </c>
      <c r="C17" t="s">
        <v>235</v>
      </c>
      <c r="D17" t="s">
        <v>211</v>
      </c>
      <c r="E17" s="306">
        <v>56.25</v>
      </c>
      <c r="F17" s="306">
        <v>0</v>
      </c>
    </row>
    <row r="18" spans="2:6" x14ac:dyDescent="0.25">
      <c r="B18" t="s">
        <v>535</v>
      </c>
      <c r="C18" t="s">
        <v>235</v>
      </c>
      <c r="D18" t="s">
        <v>11</v>
      </c>
      <c r="E18" s="306">
        <v>0</v>
      </c>
      <c r="F18" s="306">
        <v>56.25</v>
      </c>
    </row>
    <row r="19" spans="2:6" x14ac:dyDescent="0.25">
      <c r="B19" t="s">
        <v>538</v>
      </c>
      <c r="C19" t="s">
        <v>185</v>
      </c>
      <c r="D19" t="s">
        <v>211</v>
      </c>
      <c r="E19" s="306">
        <v>74.83</v>
      </c>
      <c r="F19" s="306">
        <v>0</v>
      </c>
    </row>
    <row r="20" spans="2:6" x14ac:dyDescent="0.25">
      <c r="B20" t="s">
        <v>538</v>
      </c>
      <c r="C20" t="s">
        <v>185</v>
      </c>
      <c r="D20" t="s">
        <v>11</v>
      </c>
      <c r="E20" s="306">
        <v>0</v>
      </c>
      <c r="F20" s="306">
        <v>74.83</v>
      </c>
    </row>
    <row r="21" spans="2:6" x14ac:dyDescent="0.25">
      <c r="B21" t="s">
        <v>538</v>
      </c>
      <c r="C21" t="s">
        <v>150</v>
      </c>
      <c r="D21" t="s">
        <v>37</v>
      </c>
      <c r="E21" s="306">
        <v>16.989999999999998</v>
      </c>
      <c r="F21" s="306">
        <v>0</v>
      </c>
    </row>
    <row r="22" spans="2:6" x14ac:dyDescent="0.25">
      <c r="B22" t="s">
        <v>538</v>
      </c>
      <c r="C22" t="s">
        <v>150</v>
      </c>
      <c r="D22" t="s">
        <v>11</v>
      </c>
      <c r="E22" s="306">
        <v>0</v>
      </c>
      <c r="F22" s="306">
        <v>16.989999999999998</v>
      </c>
    </row>
    <row r="23" spans="2:6" x14ac:dyDescent="0.25">
      <c r="B23" t="s">
        <v>539</v>
      </c>
      <c r="C23" t="s">
        <v>564</v>
      </c>
      <c r="D23" t="s">
        <v>565</v>
      </c>
      <c r="E23" s="306">
        <v>85</v>
      </c>
      <c r="F23" s="306">
        <v>0</v>
      </c>
    </row>
    <row r="24" spans="2:6" x14ac:dyDescent="0.25">
      <c r="B24" t="s">
        <v>539</v>
      </c>
      <c r="C24" t="s">
        <v>564</v>
      </c>
      <c r="D24" t="s">
        <v>11</v>
      </c>
      <c r="E24" s="306">
        <v>0</v>
      </c>
      <c r="F24" s="306">
        <v>85</v>
      </c>
    </row>
    <row r="25" spans="2:6" x14ac:dyDescent="0.25">
      <c r="B25" t="s">
        <v>539</v>
      </c>
      <c r="C25" t="s">
        <v>155</v>
      </c>
      <c r="D25" t="s">
        <v>37</v>
      </c>
      <c r="E25" s="306">
        <v>10.99</v>
      </c>
      <c r="F25" s="306">
        <v>0</v>
      </c>
    </row>
    <row r="26" spans="2:6" x14ac:dyDescent="0.25">
      <c r="B26" t="s">
        <v>539</v>
      </c>
      <c r="C26" t="s">
        <v>155</v>
      </c>
      <c r="D26" t="s">
        <v>11</v>
      </c>
      <c r="E26" s="306">
        <v>0</v>
      </c>
      <c r="F26" s="306">
        <v>10.99</v>
      </c>
    </row>
    <row r="27" spans="2:6" x14ac:dyDescent="0.25">
      <c r="B27" t="s">
        <v>536</v>
      </c>
      <c r="C27" t="s">
        <v>131</v>
      </c>
      <c r="D27" t="s">
        <v>36</v>
      </c>
      <c r="E27" s="306">
        <v>55</v>
      </c>
      <c r="F27" s="306">
        <v>0</v>
      </c>
    </row>
    <row r="28" spans="2:6" x14ac:dyDescent="0.25">
      <c r="B28" t="s">
        <v>536</v>
      </c>
      <c r="C28" t="s">
        <v>131</v>
      </c>
      <c r="D28" t="s">
        <v>27</v>
      </c>
      <c r="E28" s="306">
        <v>0</v>
      </c>
      <c r="F28" s="306">
        <v>55</v>
      </c>
    </row>
    <row r="29" spans="2:6" x14ac:dyDescent="0.25">
      <c r="B29" t="s">
        <v>536</v>
      </c>
      <c r="C29" t="s">
        <v>235</v>
      </c>
      <c r="D29" t="s">
        <v>211</v>
      </c>
      <c r="E29" s="306">
        <v>78.900000000000006</v>
      </c>
      <c r="F29" s="306">
        <v>0</v>
      </c>
    </row>
    <row r="30" spans="2:6" x14ac:dyDescent="0.25">
      <c r="B30" t="s">
        <v>536</v>
      </c>
      <c r="C30" t="s">
        <v>235</v>
      </c>
      <c r="D30" t="s">
        <v>11</v>
      </c>
      <c r="E30" s="306">
        <v>0</v>
      </c>
      <c r="F30" s="306">
        <v>78.900000000000006</v>
      </c>
    </row>
    <row r="31" spans="2:6" x14ac:dyDescent="0.25">
      <c r="B31" t="s">
        <v>549</v>
      </c>
      <c r="C31" t="s">
        <v>526</v>
      </c>
      <c r="D31" t="s">
        <v>50</v>
      </c>
      <c r="E31" s="306">
        <v>13</v>
      </c>
      <c r="F31" s="306">
        <v>0</v>
      </c>
    </row>
    <row r="32" spans="2:6" x14ac:dyDescent="0.25">
      <c r="B32" t="s">
        <v>549</v>
      </c>
      <c r="C32" t="s">
        <v>526</v>
      </c>
      <c r="D32" t="s">
        <v>11</v>
      </c>
      <c r="E32" s="306">
        <v>0</v>
      </c>
      <c r="F32" s="306">
        <v>13</v>
      </c>
    </row>
    <row r="33" spans="2:6" x14ac:dyDescent="0.25">
      <c r="B33" t="s">
        <v>549</v>
      </c>
      <c r="C33" t="s">
        <v>185</v>
      </c>
      <c r="D33" t="s">
        <v>211</v>
      </c>
      <c r="E33" s="306">
        <v>51.2</v>
      </c>
      <c r="F33" s="306">
        <v>0</v>
      </c>
    </row>
    <row r="34" spans="2:6" x14ac:dyDescent="0.25">
      <c r="B34" t="s">
        <v>549</v>
      </c>
      <c r="C34" t="s">
        <v>185</v>
      </c>
      <c r="D34" t="s">
        <v>11</v>
      </c>
      <c r="E34" s="306">
        <v>0</v>
      </c>
      <c r="F34" s="306">
        <v>51.2</v>
      </c>
    </row>
    <row r="35" spans="2:6" x14ac:dyDescent="0.25">
      <c r="B35" t="s">
        <v>537</v>
      </c>
      <c r="C35" t="s">
        <v>146</v>
      </c>
      <c r="D35" t="s">
        <v>37</v>
      </c>
      <c r="E35" s="306">
        <v>75</v>
      </c>
      <c r="F35" s="306">
        <v>0</v>
      </c>
    </row>
    <row r="36" spans="2:6" x14ac:dyDescent="0.25">
      <c r="B36" t="s">
        <v>537</v>
      </c>
      <c r="C36" t="s">
        <v>146</v>
      </c>
      <c r="D36" t="s">
        <v>27</v>
      </c>
      <c r="E36" s="306">
        <v>0</v>
      </c>
      <c r="F36" s="306">
        <v>75</v>
      </c>
    </row>
    <row r="37" spans="2:6" x14ac:dyDescent="0.25">
      <c r="B37" t="s">
        <v>546</v>
      </c>
      <c r="C37" t="s">
        <v>115</v>
      </c>
      <c r="D37" t="s">
        <v>50</v>
      </c>
      <c r="E37" s="306">
        <v>28</v>
      </c>
      <c r="F37" s="306">
        <v>0</v>
      </c>
    </row>
    <row r="38" spans="2:6" x14ac:dyDescent="0.25">
      <c r="B38" t="s">
        <v>546</v>
      </c>
      <c r="C38" t="s">
        <v>115</v>
      </c>
      <c r="D38" t="s">
        <v>11</v>
      </c>
      <c r="E38" s="306">
        <v>0</v>
      </c>
      <c r="F38" s="306">
        <v>28</v>
      </c>
    </row>
    <row r="39" spans="2:6" x14ac:dyDescent="0.25">
      <c r="B39" t="s">
        <v>540</v>
      </c>
      <c r="C39" t="s">
        <v>334</v>
      </c>
      <c r="D39" t="s">
        <v>129</v>
      </c>
      <c r="E39" s="306">
        <v>27</v>
      </c>
      <c r="F39" s="306">
        <v>0</v>
      </c>
    </row>
    <row r="40" spans="2:6" x14ac:dyDescent="0.25">
      <c r="B40" t="s">
        <v>540</v>
      </c>
      <c r="C40" t="s">
        <v>334</v>
      </c>
      <c r="D40" t="s">
        <v>11</v>
      </c>
      <c r="E40" s="306">
        <v>0</v>
      </c>
      <c r="F40" s="306">
        <v>27</v>
      </c>
    </row>
    <row r="41" spans="2:6" x14ac:dyDescent="0.25">
      <c r="B41" t="s">
        <v>540</v>
      </c>
      <c r="C41" t="s">
        <v>235</v>
      </c>
      <c r="D41" t="s">
        <v>211</v>
      </c>
      <c r="E41" s="306">
        <v>71.349999999999994</v>
      </c>
      <c r="F41" s="306">
        <v>0</v>
      </c>
    </row>
    <row r="42" spans="2:6" x14ac:dyDescent="0.25">
      <c r="B42" t="s">
        <v>540</v>
      </c>
      <c r="C42" t="s">
        <v>235</v>
      </c>
      <c r="D42" t="s">
        <v>11</v>
      </c>
      <c r="E42" s="306">
        <v>0</v>
      </c>
      <c r="F42" s="306">
        <v>71.349999999999994</v>
      </c>
    </row>
    <row r="43" spans="2:6" x14ac:dyDescent="0.25">
      <c r="B43" t="s">
        <v>544</v>
      </c>
      <c r="C43" t="s">
        <v>119</v>
      </c>
      <c r="D43" t="s">
        <v>50</v>
      </c>
      <c r="E43" s="306">
        <v>46.3</v>
      </c>
      <c r="F43" s="306">
        <v>0</v>
      </c>
    </row>
    <row r="44" spans="2:6" x14ac:dyDescent="0.25">
      <c r="B44" t="s">
        <v>544</v>
      </c>
      <c r="C44" t="s">
        <v>119</v>
      </c>
      <c r="D44" t="s">
        <v>11</v>
      </c>
      <c r="E44" s="306">
        <v>0</v>
      </c>
      <c r="F44" s="306">
        <v>46.3</v>
      </c>
    </row>
    <row r="45" spans="2:6" x14ac:dyDescent="0.25">
      <c r="B45" t="s">
        <v>541</v>
      </c>
      <c r="C45" t="s">
        <v>563</v>
      </c>
      <c r="D45" t="s">
        <v>565</v>
      </c>
      <c r="E45" s="306">
        <v>6.99</v>
      </c>
      <c r="F45" s="306">
        <v>0</v>
      </c>
    </row>
    <row r="46" spans="2:6" x14ac:dyDescent="0.25">
      <c r="B46" t="s">
        <v>541</v>
      </c>
      <c r="C46" t="s">
        <v>563</v>
      </c>
      <c r="D46" t="s">
        <v>11</v>
      </c>
      <c r="E46" s="306">
        <v>0</v>
      </c>
      <c r="F46" s="306">
        <v>6.99</v>
      </c>
    </row>
    <row r="47" spans="2:6" x14ac:dyDescent="0.25">
      <c r="B47" t="s">
        <v>541</v>
      </c>
      <c r="C47" t="s">
        <v>140</v>
      </c>
      <c r="D47" t="s">
        <v>37</v>
      </c>
      <c r="E47" s="306">
        <v>9.99</v>
      </c>
      <c r="F47" s="306">
        <v>0</v>
      </c>
    </row>
    <row r="48" spans="2:6" x14ac:dyDescent="0.25">
      <c r="B48" t="s">
        <v>541</v>
      </c>
      <c r="C48" t="s">
        <v>140</v>
      </c>
      <c r="D48" t="s">
        <v>11</v>
      </c>
      <c r="E48" s="306">
        <v>0</v>
      </c>
      <c r="F48" s="306">
        <v>9.99</v>
      </c>
    </row>
    <row r="49" spans="2:6" x14ac:dyDescent="0.25">
      <c r="B49" t="s">
        <v>550</v>
      </c>
      <c r="C49" t="s">
        <v>185</v>
      </c>
      <c r="D49" t="s">
        <v>211</v>
      </c>
      <c r="E49" s="306">
        <v>69.45</v>
      </c>
      <c r="F49" s="306">
        <v>0</v>
      </c>
    </row>
    <row r="50" spans="2:6" x14ac:dyDescent="0.25">
      <c r="B50" t="s">
        <v>550</v>
      </c>
      <c r="C50" t="s">
        <v>185</v>
      </c>
      <c r="D50" t="s">
        <v>11</v>
      </c>
      <c r="E50" s="306">
        <v>0</v>
      </c>
      <c r="F50" s="306">
        <v>69.45</v>
      </c>
    </row>
    <row r="51" spans="2:6" x14ac:dyDescent="0.25">
      <c r="B51" t="s">
        <v>557</v>
      </c>
      <c r="C51" t="s">
        <v>197</v>
      </c>
      <c r="D51" t="s">
        <v>48</v>
      </c>
      <c r="E51" s="306">
        <v>19.5</v>
      </c>
      <c r="F51" s="306">
        <v>0</v>
      </c>
    </row>
    <row r="52" spans="2:6" x14ac:dyDescent="0.25">
      <c r="B52" t="s">
        <v>557</v>
      </c>
      <c r="C52" t="s">
        <v>197</v>
      </c>
      <c r="D52" t="s">
        <v>11</v>
      </c>
      <c r="E52" s="306">
        <v>0</v>
      </c>
      <c r="F52" s="306">
        <v>19.5</v>
      </c>
    </row>
    <row r="53" spans="2:6" x14ac:dyDescent="0.25">
      <c r="B53" t="s">
        <v>557</v>
      </c>
      <c r="C53" t="s">
        <v>193</v>
      </c>
      <c r="D53" t="s">
        <v>27</v>
      </c>
      <c r="E53" s="306">
        <v>1875</v>
      </c>
      <c r="F53" s="306">
        <v>0</v>
      </c>
    </row>
    <row r="54" spans="2:6" x14ac:dyDescent="0.25">
      <c r="B54" t="s">
        <v>557</v>
      </c>
      <c r="C54" t="s">
        <v>193</v>
      </c>
      <c r="D54" t="s">
        <v>214</v>
      </c>
      <c r="E54" s="306">
        <v>0</v>
      </c>
      <c r="F54" s="306">
        <v>1875</v>
      </c>
    </row>
    <row r="55" spans="2:6" x14ac:dyDescent="0.25">
      <c r="B55" t="s">
        <v>554</v>
      </c>
      <c r="C55" t="s">
        <v>235</v>
      </c>
      <c r="D55" t="s">
        <v>211</v>
      </c>
      <c r="E55" s="306">
        <v>69.8</v>
      </c>
      <c r="F55" s="306">
        <v>0</v>
      </c>
    </row>
    <row r="56" spans="2:6" x14ac:dyDescent="0.25">
      <c r="B56" t="s">
        <v>554</v>
      </c>
      <c r="C56" t="s">
        <v>235</v>
      </c>
      <c r="D56" t="s">
        <v>11</v>
      </c>
      <c r="E56" s="306">
        <v>0</v>
      </c>
      <c r="F56" s="306">
        <v>69.8</v>
      </c>
    </row>
    <row r="57" spans="2:6" x14ac:dyDescent="0.25">
      <c r="B57" t="s">
        <v>547</v>
      </c>
      <c r="C57" t="s">
        <v>56</v>
      </c>
      <c r="D57" t="s">
        <v>50</v>
      </c>
      <c r="E57" s="306">
        <v>25.1</v>
      </c>
      <c r="F57" s="306">
        <v>0</v>
      </c>
    </row>
    <row r="58" spans="2:6" x14ac:dyDescent="0.25">
      <c r="B58" t="s">
        <v>547</v>
      </c>
      <c r="C58" t="s">
        <v>56</v>
      </c>
      <c r="D58" t="s">
        <v>11</v>
      </c>
      <c r="E58" s="306">
        <v>0</v>
      </c>
      <c r="F58" s="306">
        <v>25.1</v>
      </c>
    </row>
    <row r="59" spans="2:6" x14ac:dyDescent="0.25">
      <c r="B59" t="s">
        <v>551</v>
      </c>
      <c r="C59" t="s">
        <v>185</v>
      </c>
      <c r="D59" t="s">
        <v>211</v>
      </c>
      <c r="E59" s="306">
        <v>88.1</v>
      </c>
      <c r="F59" s="306">
        <v>0</v>
      </c>
    </row>
    <row r="60" spans="2:6" x14ac:dyDescent="0.25">
      <c r="B60" t="s">
        <v>551</v>
      </c>
      <c r="C60" t="s">
        <v>185</v>
      </c>
      <c r="D60" t="s">
        <v>11</v>
      </c>
      <c r="E60" s="306">
        <v>0</v>
      </c>
      <c r="F60" s="306">
        <v>88.1</v>
      </c>
    </row>
    <row r="61" spans="2:6" x14ac:dyDescent="0.25">
      <c r="B61" t="s">
        <v>542</v>
      </c>
      <c r="C61" t="s">
        <v>144</v>
      </c>
      <c r="D61" t="s">
        <v>129</v>
      </c>
      <c r="E61" s="306">
        <v>11</v>
      </c>
      <c r="F61" s="306">
        <v>0</v>
      </c>
    </row>
    <row r="62" spans="2:6" x14ac:dyDescent="0.25">
      <c r="B62" t="s">
        <v>542</v>
      </c>
      <c r="C62" t="s">
        <v>144</v>
      </c>
      <c r="D62" t="s">
        <v>11</v>
      </c>
      <c r="E62" s="306">
        <v>0</v>
      </c>
      <c r="F62" s="306">
        <v>11</v>
      </c>
    </row>
    <row r="63" spans="2:6" x14ac:dyDescent="0.25">
      <c r="B63" t="s">
        <v>555</v>
      </c>
      <c r="C63" t="s">
        <v>235</v>
      </c>
      <c r="D63" t="s">
        <v>211</v>
      </c>
      <c r="E63" s="306">
        <v>84.1</v>
      </c>
      <c r="F63" s="306">
        <v>0</v>
      </c>
    </row>
    <row r="64" spans="2:6" x14ac:dyDescent="0.25">
      <c r="B64" t="s">
        <v>555</v>
      </c>
      <c r="C64" t="s">
        <v>235</v>
      </c>
      <c r="D64" t="s">
        <v>11</v>
      </c>
      <c r="E64" s="306">
        <v>0</v>
      </c>
      <c r="F64" s="306">
        <v>84.1</v>
      </c>
    </row>
    <row r="65" spans="2:6" x14ac:dyDescent="0.25">
      <c r="B65" t="s">
        <v>552</v>
      </c>
      <c r="C65" t="s">
        <v>185</v>
      </c>
      <c r="D65" t="s">
        <v>211</v>
      </c>
      <c r="E65" s="306">
        <v>72.3</v>
      </c>
      <c r="F65" s="306">
        <v>0</v>
      </c>
    </row>
    <row r="66" spans="2:6" x14ac:dyDescent="0.25">
      <c r="B66" t="s">
        <v>552</v>
      </c>
      <c r="C66" t="s">
        <v>185</v>
      </c>
      <c r="D66" t="s">
        <v>27</v>
      </c>
      <c r="E66" s="306">
        <v>0</v>
      </c>
      <c r="F66" s="306">
        <v>72.3</v>
      </c>
    </row>
    <row r="67" spans="2:6" x14ac:dyDescent="0.25">
      <c r="B67" t="s">
        <v>548</v>
      </c>
      <c r="C67" t="s">
        <v>250</v>
      </c>
      <c r="D67" t="s">
        <v>50</v>
      </c>
      <c r="E67" s="306">
        <v>12</v>
      </c>
      <c r="F67" s="306">
        <v>0</v>
      </c>
    </row>
    <row r="68" spans="2:6" x14ac:dyDescent="0.25">
      <c r="B68" t="s">
        <v>548</v>
      </c>
      <c r="C68" t="s">
        <v>250</v>
      </c>
      <c r="D68" t="s">
        <v>11</v>
      </c>
      <c r="E68" s="306">
        <v>0</v>
      </c>
      <c r="F68" s="306">
        <v>12</v>
      </c>
    </row>
    <row r="69" spans="2:6" x14ac:dyDescent="0.25">
      <c r="B69" t="s">
        <v>558</v>
      </c>
      <c r="C69" t="s">
        <v>208</v>
      </c>
      <c r="D69" t="s">
        <v>54</v>
      </c>
      <c r="E69" s="306">
        <v>24.8</v>
      </c>
      <c r="F69" s="306">
        <v>0</v>
      </c>
    </row>
    <row r="70" spans="2:6" x14ac:dyDescent="0.25">
      <c r="B70" t="s">
        <v>558</v>
      </c>
      <c r="C70" t="s">
        <v>208</v>
      </c>
      <c r="D70" t="s">
        <v>27</v>
      </c>
      <c r="E70" s="306">
        <v>0</v>
      </c>
      <c r="F70" s="306">
        <v>24.8</v>
      </c>
    </row>
    <row r="71" spans="2:6" x14ac:dyDescent="0.25">
      <c r="B71" t="s">
        <v>560</v>
      </c>
      <c r="C71" t="s">
        <v>222</v>
      </c>
      <c r="D71" t="s">
        <v>565</v>
      </c>
      <c r="E71" s="306">
        <v>14.5</v>
      </c>
      <c r="F71" s="306">
        <v>0</v>
      </c>
    </row>
    <row r="72" spans="2:6" x14ac:dyDescent="0.25">
      <c r="B72" t="s">
        <v>560</v>
      </c>
      <c r="C72" t="s">
        <v>222</v>
      </c>
      <c r="D72" t="s">
        <v>11</v>
      </c>
      <c r="E72" s="306">
        <v>0</v>
      </c>
      <c r="F72" s="306">
        <v>14.5</v>
      </c>
    </row>
    <row r="73" spans="2:6" x14ac:dyDescent="0.25">
      <c r="B73" t="s">
        <v>545</v>
      </c>
      <c r="C73" t="s">
        <v>119</v>
      </c>
      <c r="D73" t="s">
        <v>50</v>
      </c>
      <c r="E73" s="306">
        <v>51.3</v>
      </c>
      <c r="F73" s="306">
        <v>0</v>
      </c>
    </row>
    <row r="74" spans="2:6" x14ac:dyDescent="0.25">
      <c r="B74" t="s">
        <v>545</v>
      </c>
      <c r="C74" t="s">
        <v>119</v>
      </c>
      <c r="D74" t="s">
        <v>11</v>
      </c>
      <c r="E74" s="306">
        <v>0</v>
      </c>
      <c r="F74" s="306">
        <v>51.3</v>
      </c>
    </row>
    <row r="75" spans="2:6" x14ac:dyDescent="0.25">
      <c r="B75" t="s">
        <v>559</v>
      </c>
      <c r="C75" t="s">
        <v>245</v>
      </c>
      <c r="D75" t="s">
        <v>48</v>
      </c>
      <c r="E75" s="306">
        <v>55.2</v>
      </c>
      <c r="F75" s="306">
        <v>0</v>
      </c>
    </row>
    <row r="76" spans="2:6" x14ac:dyDescent="0.25">
      <c r="B76" t="s">
        <v>559</v>
      </c>
      <c r="C76" t="s">
        <v>245</v>
      </c>
      <c r="D76" t="s">
        <v>27</v>
      </c>
      <c r="E76" s="306">
        <v>0</v>
      </c>
      <c r="F76" s="306">
        <v>55.2</v>
      </c>
    </row>
    <row r="77" spans="2:6" x14ac:dyDescent="0.25">
      <c r="B77" t="s">
        <v>553</v>
      </c>
      <c r="C77" t="s">
        <v>185</v>
      </c>
      <c r="D77" t="s">
        <v>211</v>
      </c>
      <c r="E77" s="306">
        <v>81.97</v>
      </c>
      <c r="F77" s="306">
        <v>0</v>
      </c>
    </row>
    <row r="78" spans="2:6" x14ac:dyDescent="0.25">
      <c r="B78" t="s">
        <v>553</v>
      </c>
      <c r="C78" t="s">
        <v>185</v>
      </c>
      <c r="D78" t="s">
        <v>11</v>
      </c>
      <c r="E78" s="306">
        <v>0</v>
      </c>
      <c r="F78" s="306">
        <v>81.97</v>
      </c>
    </row>
    <row r="79" spans="2:6" x14ac:dyDescent="0.25">
      <c r="B79" t="s">
        <v>553</v>
      </c>
      <c r="C79" t="s">
        <v>252</v>
      </c>
      <c r="D79" t="s">
        <v>2</v>
      </c>
      <c r="E79" s="306">
        <v>45</v>
      </c>
      <c r="F79" s="306">
        <v>0</v>
      </c>
    </row>
    <row r="80" spans="2:6" x14ac:dyDescent="0.25">
      <c r="B80" t="s">
        <v>553</v>
      </c>
      <c r="C80" t="s">
        <v>252</v>
      </c>
      <c r="D80" t="s">
        <v>27</v>
      </c>
      <c r="E80" s="306">
        <v>0</v>
      </c>
      <c r="F80" s="306">
        <v>45</v>
      </c>
    </row>
    <row r="81" spans="2:6" x14ac:dyDescent="0.25">
      <c r="B81" t="s">
        <v>556</v>
      </c>
      <c r="C81" t="s">
        <v>235</v>
      </c>
      <c r="D81" t="s">
        <v>211</v>
      </c>
      <c r="E81" s="306">
        <v>97</v>
      </c>
      <c r="F81" s="306">
        <v>0</v>
      </c>
    </row>
    <row r="82" spans="2:6" x14ac:dyDescent="0.25">
      <c r="B82" t="s">
        <v>556</v>
      </c>
      <c r="C82" t="s">
        <v>235</v>
      </c>
      <c r="D82" t="s">
        <v>11</v>
      </c>
      <c r="E82" s="306">
        <v>0</v>
      </c>
      <c r="F82" s="306">
        <v>97</v>
      </c>
    </row>
    <row r="83" spans="2:6" x14ac:dyDescent="0.25">
      <c r="B83" t="s">
        <v>561</v>
      </c>
      <c r="C83" t="s">
        <v>319</v>
      </c>
      <c r="D83" t="s">
        <v>503</v>
      </c>
      <c r="E83" s="306">
        <v>5</v>
      </c>
      <c r="F83" s="306">
        <v>0</v>
      </c>
    </row>
    <row r="84" spans="2:6" x14ac:dyDescent="0.25">
      <c r="B84" t="s">
        <v>561</v>
      </c>
      <c r="C84" t="s">
        <v>319</v>
      </c>
      <c r="D84" t="s">
        <v>11</v>
      </c>
      <c r="E84" s="306">
        <v>0</v>
      </c>
      <c r="F84" s="306">
        <v>5</v>
      </c>
    </row>
    <row r="85" spans="2:6" x14ac:dyDescent="0.25">
      <c r="B85" t="s">
        <v>562</v>
      </c>
      <c r="C85" t="s">
        <v>240</v>
      </c>
      <c r="D85" t="s">
        <v>11</v>
      </c>
      <c r="E85" s="306">
        <v>1330.36</v>
      </c>
      <c r="F85" s="306">
        <v>0</v>
      </c>
    </row>
    <row r="86" spans="2:6" x14ac:dyDescent="0.25">
      <c r="B86" t="s">
        <v>562</v>
      </c>
      <c r="C86" t="s">
        <v>240</v>
      </c>
      <c r="D86" t="s">
        <v>27</v>
      </c>
      <c r="E86" s="306">
        <v>0</v>
      </c>
      <c r="F86" s="306">
        <v>1330.36</v>
      </c>
    </row>
    <row r="87" spans="2:6" x14ac:dyDescent="0.25">
      <c r="B87" t="s">
        <v>562</v>
      </c>
      <c r="C87" t="s">
        <v>253</v>
      </c>
      <c r="D87" t="s">
        <v>503</v>
      </c>
      <c r="E87" s="306">
        <v>3.95</v>
      </c>
      <c r="F87" s="306">
        <v>0</v>
      </c>
    </row>
    <row r="88" spans="2:6" x14ac:dyDescent="0.25">
      <c r="B88" t="s">
        <v>562</v>
      </c>
      <c r="C88" t="s">
        <v>253</v>
      </c>
      <c r="D88" t="s">
        <v>27</v>
      </c>
      <c r="E88" s="306">
        <v>0</v>
      </c>
      <c r="F88" s="306">
        <v>3.95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6E064CF-711E-487D-A001-A37860A3B98B}">
  <ds:schemaRefs/>
</ds:datastoreItem>
</file>

<file path=customXml/itemProps2.xml><?xml version="1.0" encoding="utf-8"?>
<ds:datastoreItem xmlns:ds="http://schemas.openxmlformats.org/officeDocument/2006/customXml" ds:itemID="{B91A3781-779E-4840-B75B-74AA1F1C7943}">
  <ds:schemaRefs/>
</ds:datastoreItem>
</file>

<file path=customXml/itemProps3.xml><?xml version="1.0" encoding="utf-8"?>
<ds:datastoreItem xmlns:ds="http://schemas.openxmlformats.org/officeDocument/2006/customXml" ds:itemID="{69B2E1DF-8E06-4B33-BBB6-C0EB19AC6919}">
  <ds:schemaRefs/>
</ds:datastoreItem>
</file>

<file path=customXml/itemProps4.xml><?xml version="1.0" encoding="utf-8"?>
<ds:datastoreItem xmlns:ds="http://schemas.openxmlformats.org/officeDocument/2006/customXml" ds:itemID="{D69862B6-22E5-4DDB-A28F-2A75F7237260}">
  <ds:schemaRefs>
    <ds:schemaRef ds:uri="http://schemas.microsoft.com/DataMashup"/>
  </ds:schemaRefs>
</ds:datastoreItem>
</file>

<file path=customXml/itemProps5.xml><?xml version="1.0" encoding="utf-8"?>
<ds:datastoreItem xmlns:ds="http://schemas.openxmlformats.org/officeDocument/2006/customXml" ds:itemID="{7849E141-51EE-4401-A798-2ADF0C151DD3}">
  <ds:schemaRefs/>
</ds:datastoreItem>
</file>

<file path=customXml/itemProps6.xml><?xml version="1.0" encoding="utf-8"?>
<ds:datastoreItem xmlns:ds="http://schemas.openxmlformats.org/officeDocument/2006/customXml" ds:itemID="{B3E0A310-2F1D-4823-82D8-2B593D42604C}">
  <ds:schemaRefs/>
</ds:datastoreItem>
</file>

<file path=customXml/itemProps7.xml><?xml version="1.0" encoding="utf-8"?>
<ds:datastoreItem xmlns:ds="http://schemas.openxmlformats.org/officeDocument/2006/customXml" ds:itemID="{A9C3B509-4377-4839-828C-8009000DF37A}">
  <ds:schemaRefs/>
</ds:datastoreItem>
</file>

<file path=customXml/itemProps8.xml><?xml version="1.0" encoding="utf-8"?>
<ds:datastoreItem xmlns:ds="http://schemas.openxmlformats.org/officeDocument/2006/customXml" ds:itemID="{372A376F-3493-4DC3-9421-67D98702D192}">
  <ds:schemaRefs/>
</ds:datastoreItem>
</file>

<file path=customXml/itemProps9.xml><?xml version="1.0" encoding="utf-8"?>
<ds:datastoreItem xmlns:ds="http://schemas.openxmlformats.org/officeDocument/2006/customXml" ds:itemID="{1ADA2F0A-DE60-4786-AC42-D112776D0474}">
  <ds:schemaRefs/>
</ds:datastoreItem>
</file>

<file path=customXml/itemProps10.xml><?xml version="1.0" encoding="utf-8"?>
<ds:datastoreItem xmlns:ds="http://schemas.openxmlformats.org/officeDocument/2006/customXml" ds:itemID="{C9E2A914-D417-47FB-A8CE-22656FD10249}">
  <ds:schemaRefs/>
</ds:datastoreItem>
</file>

<file path=customXml/itemProps11.xml><?xml version="1.0" encoding="utf-8"?>
<ds:datastoreItem xmlns:ds="http://schemas.openxmlformats.org/officeDocument/2006/customXml" ds:itemID="{5E63C4D8-7621-473D-9102-A5F814CF5ABF}">
  <ds:schemaRefs/>
</ds:datastoreItem>
</file>

<file path=customXml/itemProps12.xml><?xml version="1.0" encoding="utf-8"?>
<ds:datastoreItem xmlns:ds="http://schemas.openxmlformats.org/officeDocument/2006/customXml" ds:itemID="{7C8FD209-C84D-4F37-9188-C3962225129A}">
  <ds:schemaRefs/>
</ds:datastoreItem>
</file>

<file path=customXml/itemProps13.xml><?xml version="1.0" encoding="utf-8"?>
<ds:datastoreItem xmlns:ds="http://schemas.openxmlformats.org/officeDocument/2006/customXml" ds:itemID="{310FA795-7B38-4D15-97C9-6B0D5D155669}">
  <ds:schemaRefs/>
</ds:datastoreItem>
</file>

<file path=customXml/itemProps14.xml><?xml version="1.0" encoding="utf-8"?>
<ds:datastoreItem xmlns:ds="http://schemas.openxmlformats.org/officeDocument/2006/customXml" ds:itemID="{C788D842-199A-49EF-B1FA-80029826562A}">
  <ds:schemaRefs/>
</ds:datastoreItem>
</file>

<file path=customXml/itemProps15.xml><?xml version="1.0" encoding="utf-8"?>
<ds:datastoreItem xmlns:ds="http://schemas.openxmlformats.org/officeDocument/2006/customXml" ds:itemID="{9BEEBFA0-0D80-45A3-80BE-9212EF9FB483}">
  <ds:schemaRefs/>
</ds:datastoreItem>
</file>

<file path=customXml/itemProps16.xml><?xml version="1.0" encoding="utf-8"?>
<ds:datastoreItem xmlns:ds="http://schemas.openxmlformats.org/officeDocument/2006/customXml" ds:itemID="{CC5BE455-1332-4D40-AF41-5DE62F52A33A}">
  <ds:schemaRefs/>
</ds:datastoreItem>
</file>

<file path=customXml/itemProps17.xml><?xml version="1.0" encoding="utf-8"?>
<ds:datastoreItem xmlns:ds="http://schemas.openxmlformats.org/officeDocument/2006/customXml" ds:itemID="{55E5F41B-96A9-488D-AF6E-D52FEF9A29AF}">
  <ds:schemaRefs/>
</ds:datastoreItem>
</file>

<file path=customXml/itemProps18.xml><?xml version="1.0" encoding="utf-8"?>
<ds:datastoreItem xmlns:ds="http://schemas.openxmlformats.org/officeDocument/2006/customXml" ds:itemID="{8D6653E1-7604-498D-9291-1BB10D95BBC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39</vt:i4>
      </vt:variant>
    </vt:vector>
  </HeadingPairs>
  <TitlesOfParts>
    <vt:vector size="59" baseType="lpstr">
      <vt:lpstr>TitlePage</vt:lpstr>
      <vt:lpstr>Table of Contents</vt:lpstr>
      <vt:lpstr>Journal</vt:lpstr>
      <vt:lpstr>Asset Planning</vt:lpstr>
      <vt:lpstr>Trial Balance</vt:lpstr>
      <vt:lpstr>Account_Ledgers</vt:lpstr>
      <vt:lpstr>Personal Financial Statement 04</vt:lpstr>
      <vt:lpstr>Sheet1</vt:lpstr>
      <vt:lpstr>Dashboard</vt:lpstr>
      <vt:lpstr>DashCalculations</vt:lpstr>
      <vt:lpstr>Liability_Planning</vt:lpstr>
      <vt:lpstr>Income_Planning</vt:lpstr>
      <vt:lpstr>Expense Planning</vt:lpstr>
      <vt:lpstr>Shopping List</vt:lpstr>
      <vt:lpstr>AcctRef</vt:lpstr>
      <vt:lpstr>BalanceCalc</vt:lpstr>
      <vt:lpstr>journal_append</vt:lpstr>
      <vt:lpstr>Sheet3</vt:lpstr>
      <vt:lpstr>List Names</vt:lpstr>
      <vt:lpstr>jan_data</vt:lpstr>
      <vt:lpstr>Journal!BudgetActual</vt:lpstr>
      <vt:lpstr>BudgetActual</vt:lpstr>
      <vt:lpstr>Journal!CalcAccountActual</vt:lpstr>
      <vt:lpstr>CalcAccountActual</vt:lpstr>
      <vt:lpstr>Journal!CalcAccountAll</vt:lpstr>
      <vt:lpstr>CalcAccountAll</vt:lpstr>
      <vt:lpstr>Journal!CalcAccountBudget</vt:lpstr>
      <vt:lpstr>CalcAccountBudget</vt:lpstr>
      <vt:lpstr>CalcAccountDiff</vt:lpstr>
      <vt:lpstr>Journal!CalcAccountName</vt:lpstr>
      <vt:lpstr>CalcAccountName</vt:lpstr>
      <vt:lpstr>Journal!CalcAccountType</vt:lpstr>
      <vt:lpstr>CalcAccountType</vt:lpstr>
      <vt:lpstr>Journal!CalcItemAccountName</vt:lpstr>
      <vt:lpstr>CalcItemAccountName</vt:lpstr>
      <vt:lpstr>Journal!CalcItemAccountType</vt:lpstr>
      <vt:lpstr>CalcItemAccountType</vt:lpstr>
      <vt:lpstr>Journal!CalcItemActual</vt:lpstr>
      <vt:lpstr>CalcItemActual</vt:lpstr>
      <vt:lpstr>Journal!CalcItemAll</vt:lpstr>
      <vt:lpstr>CalcItemAll</vt:lpstr>
      <vt:lpstr>Journal!CalcItemBudget</vt:lpstr>
      <vt:lpstr>CalcItemBudget</vt:lpstr>
      <vt:lpstr>CalcItemDiff</vt:lpstr>
      <vt:lpstr>Journal!CalcItemName</vt:lpstr>
      <vt:lpstr>CalcItemName</vt:lpstr>
      <vt:lpstr>Dash_Cash_Equivalent</vt:lpstr>
      <vt:lpstr>DashYearAnalysis</vt:lpstr>
      <vt:lpstr>DateToday</vt:lpstr>
      <vt:lpstr>Liability</vt:lpstr>
      <vt:lpstr>ListAccountsAsset</vt:lpstr>
      <vt:lpstr>ListAccountsCapital</vt:lpstr>
      <vt:lpstr>ListAccountsContraAssets</vt:lpstr>
      <vt:lpstr>ListAccountsExpense</vt:lpstr>
      <vt:lpstr>ListAccountsRevenue</vt:lpstr>
      <vt:lpstr>ListAccountTypes</vt:lpstr>
      <vt:lpstr>Journal!ListAggAccounts</vt:lpstr>
      <vt:lpstr>ListAggAccounts</vt:lpstr>
      <vt:lpstr>PageLinkDashSummary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Kubisewsky</dc:creator>
  <cp:lastModifiedBy>Michael Kubisewsky</cp:lastModifiedBy>
  <cp:lastPrinted>2024-09-15T23:24:29Z</cp:lastPrinted>
  <dcterms:created xsi:type="dcterms:W3CDTF">2024-04-22T23:05:42Z</dcterms:created>
  <dcterms:modified xsi:type="dcterms:W3CDTF">2025-12-31T14:23:16Z</dcterms:modified>
</cp:coreProperties>
</file>