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my_toolbox\projects\career\portfolio_main\projects\shift_tracker\"/>
    </mc:Choice>
  </mc:AlternateContent>
  <xr:revisionPtr revIDLastSave="0" documentId="13_ncr:1_{7295646C-4D84-4763-B7E9-CA743A90988E}" xr6:coauthVersionLast="47" xr6:coauthVersionMax="47" xr10:uidLastSave="{00000000-0000-0000-0000-000000000000}"/>
  <bookViews>
    <workbookView xWindow="-38520" yWindow="-120" windowWidth="38640" windowHeight="21120" xr2:uid="{317E1021-94FD-4586-B48D-C39BFB1E8F64}"/>
  </bookViews>
  <sheets>
    <sheet name="TitlePage" sheetId="5" r:id="rId1"/>
    <sheet name="Shift Tracker" sheetId="3" r:id="rId2"/>
    <sheet name="Pay Summary" sheetId="1" r:id="rId3"/>
    <sheet name="Reference" sheetId="4" r:id="rId4"/>
    <sheet name="Dates Reference" sheetId="2" r:id="rId5"/>
  </sheets>
  <externalReferences>
    <externalReference r:id="rId6"/>
    <externalReference r:id="rId7"/>
  </externalReferences>
  <definedNames>
    <definedName name="BudgetActual">[1]AcctRef!$J$7:$J$8</definedName>
    <definedName name="CalcAccountActual">[1]DashCalculations!$AZ$10:$AZ$511</definedName>
    <definedName name="CalcAccountAll">[1]DashCalculations!$AW$10:$BC$511</definedName>
    <definedName name="CalcAccountBudget">[1]DashCalculations!$AY$10:$AY$511</definedName>
    <definedName name="CalcAccountName">[1]DashCalculations!$AW$10:$AW$511</definedName>
    <definedName name="CalcAccountType">[1]DashCalculations!$AX$10:$AX$511</definedName>
    <definedName name="CalcItemAccountName">[1]DashCalculations!$BF$10:$BF$511</definedName>
    <definedName name="CalcItemAccountType">[1]DashCalculations!$BG$10:$BG$511</definedName>
    <definedName name="CalcItemActual">[1]DashCalculations!$BI$10:$BI$511</definedName>
    <definedName name="CalcItemAll">[1]DashCalculations!$BE$10:$BL$511</definedName>
    <definedName name="CalcItemBudget">[1]DashCalculations!$BH$10:$BH$511</definedName>
    <definedName name="CalcItemName">[1]DashCalculations!$BE$10:$BE$511</definedName>
    <definedName name="CIQWBGuid" hidden="1">"2cd8126d-26c3-430c-b7fa-a069e3a1fc62"</definedName>
    <definedName name="current_date" localSheetId="0">TODAY()</definedName>
    <definedName name="current_date">'Shift Tracker'!$B$14</definedName>
    <definedName name="DashRangeAccountItem">INDEX(_xlfn.ANCHORARRAY([1]Dashboard!$E$8),0,1)</definedName>
    <definedName name="DashRangeAmountActual">INDEX(_xlfn.ANCHORARRAY([1]Dashboard!$E$8),0,2)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ournal_Header_Row">ROW([1]!Journal[[#Headers],[PostRef]])</definedName>
    <definedName name="Journal_Row_Max">MAX(ROW([1]!Journal[#Data]))</definedName>
    <definedName name="Journal_Row_Min">MIN(ROW([1]!Journal[#Data]))</definedName>
    <definedName name="list_active_pts_clinics_day">_xlfn.ANCHORARRAY('[2]data creation'!$C$4)</definedName>
    <definedName name="list_attri_all_with_duplicates">_xlfn.ANCHORARRAY('[2]Attribute Reference'!$C$5)</definedName>
    <definedName name="list_attri_alt_loc">_xlfn.ANCHORARRAY('[2]Attribute Reference'!$G$5)</definedName>
    <definedName name="list_attri_dim_loc_id">_xlfn.ANCHORARRAY('[2]Attribute Reference'!$F$5)</definedName>
    <definedName name="list_attri_dim_pt_id">_xlfn.ANCHORARRAY('[2]Attribute Reference'!$H$5)</definedName>
    <definedName name="list_attri_main_tracker">_xlfn.ANCHORARRAY('[2]Attribute Reference'!$E$5)</definedName>
    <definedName name="list_attri_org_id">_xlfn.ANCHORARRAY('[2]Attribute Reference'!$I$5)</definedName>
    <definedName name="list_attri_summ_unit">_xlfn.ANCHORARRAY('[2]Attribute Reference'!$J$5)</definedName>
    <definedName name="list_clinic_day_emerg">_xlfn.ANCHORARRAY('[2]data creation'!$B$4)</definedName>
    <definedName name="list_org_struc_name">_xlfn.ANCHORARRAY('[2]Organization ID'!$B$15)</definedName>
    <definedName name="list_rooms_available">_xlfn.ANCHORARRAY('[2]Main Tracker'!$B$21)</definedName>
    <definedName name="list_staffable_beds">[2]!dim_alt_loc[loc_name]</definedName>
    <definedName name="ListAccountTypes">[1]!AcctTypeRef[AcctType]</definedName>
    <definedName name="ListAggAccounts">[1]!AggAcctDash[AggAcctName]</definedName>
    <definedName name="ListCashEquivalent">_xlfn._xlws.FILTER([1]!AcctRef[AccountName],[1]!AcctRef[AggActDash]=1,"")</definedName>
    <definedName name="ListDebtLong">_xlfn._xlws.FILTER([1]!AcctRef[AccountName],[1]!AcctRef[AggActDash]=_xlfn.XLOOKUP("Long-Term Debt",[1]!AggAcctDash[AggAcctName],[1]!AggAcctDash[ID]),"")</definedName>
    <definedName name="ListDebtShort">_xlfn._xlws.FILTER([1]!AcctRef[AccountName],(([1]!AcctRef[AggActDash]=10)+([1]!AcctRef[AggActDash]=11)),"")</definedName>
    <definedName name="ListDebtShortCredit">_xlfn._xlws.FILTER([1]!AcctRef[AccountName],[1]!AcctRef[AggActDash]=_xlfn.XLOOKUP("Short-Term Debt Credit",[1]!AggAcctDash[AggAcctName],[1]!AggAcctDash[ID]),"")</definedName>
    <definedName name="ListDebtShortOther">_xlfn._xlws.FILTER([1]!AcctRef[AccountName],[1]!AcctRef[AggActDash]=_xlfn.XLOOKUP("Short-Term Debt Other",[1]!AggAcctDash[AggAcctName],[1]!AggAcctDash[ID]),"")</definedName>
    <definedName name="ListExpensesHome">_xlfn._xlws.FILTER([1]!AcctRef[AccountName],[1]!AcctRef[AggActDash]=_xlfn.XLOOKUP("Home Expenses",[1]!AggAcctDash[AggAcctName],[1]!AggAcctDash[ID]),"")</definedName>
    <definedName name="ListExpensesSelfCare">_xlfn._xlws.FILTER([1]!AcctRef[AccountName],[1]!AcctRef[AggActDash]=_xlfn.XLOOKUP("Self-Care Expenses",[1]!AggAcctDash[AggAcctName],[1]!AggAcctDash[ID]),"")</definedName>
    <definedName name="ListInvestments">_xlfn._xlws.FILTER([1]!AcctRef[AccountName],[1]!AcctRef[AggActDash]=_xlfn.XLOOKUP("Investments",[1]!AggAcctDash[AggAcctName],[1]!AggAcctDash[ID]),"")</definedName>
    <definedName name="ListKPI">_xlfn._xlws.FILTER([1]!ItemRef[Item],[1]!ItemRef[AggItemID]=_xlfn.XLOOKUP("Key Indicators",[1]!AggItems[AggItem],[1]!AggItems[ID],"",0),"")</definedName>
    <definedName name="ListRevenueOther">_xlfn._xlws.FILTER([1]!AcctRef[AccountName],[1]!AcctRef[AggActDash]=_xlfn.XLOOKUP("Income Other",[1]!AggAcctDash[AggAcctName],[1]!AggAcctDash[ID]),"")</definedName>
    <definedName name="ListRevenueSalary">_xlfn._xlws.FILTER([1]!AcctRef[AccountName],[1]!AcctRef[AggActDash]=_xlfn.XLOOKUP("Income Salary",[1]!AggAcctDash[AggAcctName],[1]!AggAcctDash[ID]),"")</definedName>
    <definedName name="ListSubsDonationsActive">_xlfn._xlws.FILTER([1]!ItemRef[Item],([1]!ItemRef[AggItemID]=2)*([1]!ItemRef[Status]=1),"")</definedName>
    <definedName name="ListSubsDonationsAll">_xlfn._xlws.FILTER([1]!ItemRef[Item],([1]!ItemRef[AggItemID]=2),"")</definedName>
    <definedName name="moveCounter">#REF!</definedName>
    <definedName name="Row_Min_Journal">MIN(ROW([1]!Journal[#Data]))</definedName>
    <definedName name="Row_Ref_Max_Journal">INDEX([1]!Journal[PostRef], COUNTA([1]!Journal[PostRef]))</definedName>
    <definedName name="Row_Ref_Min_Journal">INDEX([1]!Journal[#Data],1,1)</definedName>
    <definedName name="Shift_Tracker">'Shift Tracker'!$1:$1048576</definedName>
    <definedName name="todayDate">#REF!</definedName>
    <definedName name="TrialCreditBalance">INDEX([1]!TrialBalanceTotals[Amount],2)</definedName>
    <definedName name="TrialDebitBalance">INDEX([1]!TrialBalanceTotals[Amount],1)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3" i="3" l="1"/>
  <c r="I93" i="3"/>
  <c r="J93" i="3"/>
  <c r="K93" i="3"/>
  <c r="L93" i="3"/>
  <c r="M93" i="3"/>
  <c r="H96" i="3"/>
  <c r="I96" i="3"/>
  <c r="J96" i="3"/>
  <c r="K96" i="3"/>
  <c r="L96" i="3"/>
  <c r="M96" i="3"/>
  <c r="H92" i="3"/>
  <c r="I92" i="3"/>
  <c r="J92" i="3"/>
  <c r="K92" i="3"/>
  <c r="L92" i="3"/>
  <c r="M92" i="3"/>
  <c r="H95" i="3"/>
  <c r="I95" i="3"/>
  <c r="J95" i="3"/>
  <c r="K95" i="3"/>
  <c r="L95" i="3"/>
  <c r="M95" i="3"/>
  <c r="H89" i="3"/>
  <c r="I89" i="3"/>
  <c r="J89" i="3"/>
  <c r="K89" i="3"/>
  <c r="L89" i="3"/>
  <c r="M89" i="3"/>
  <c r="H88" i="3"/>
  <c r="I88" i="3"/>
  <c r="J88" i="3"/>
  <c r="K88" i="3"/>
  <c r="L88" i="3"/>
  <c r="M88" i="3"/>
  <c r="H100" i="3"/>
  <c r="I100" i="3"/>
  <c r="J100" i="3"/>
  <c r="K100" i="3"/>
  <c r="L100" i="3"/>
  <c r="M100" i="3"/>
  <c r="H99" i="3"/>
  <c r="I99" i="3"/>
  <c r="J99" i="3"/>
  <c r="K99" i="3"/>
  <c r="L99" i="3"/>
  <c r="M99" i="3"/>
  <c r="H98" i="3"/>
  <c r="I98" i="3"/>
  <c r="J98" i="3"/>
  <c r="K98" i="3"/>
  <c r="L98" i="3"/>
  <c r="M98" i="3"/>
  <c r="H97" i="3"/>
  <c r="I97" i="3"/>
  <c r="J97" i="3"/>
  <c r="K97" i="3"/>
  <c r="L97" i="3"/>
  <c r="M97" i="3"/>
  <c r="H94" i="3"/>
  <c r="I94" i="3"/>
  <c r="J94" i="3"/>
  <c r="K94" i="3"/>
  <c r="L94" i="3"/>
  <c r="M94" i="3"/>
  <c r="H91" i="3"/>
  <c r="I91" i="3"/>
  <c r="J91" i="3"/>
  <c r="K91" i="3"/>
  <c r="L91" i="3"/>
  <c r="M91" i="3"/>
  <c r="H90" i="3"/>
  <c r="I90" i="3"/>
  <c r="J90" i="3"/>
  <c r="K90" i="3"/>
  <c r="L90" i="3"/>
  <c r="M90" i="3"/>
  <c r="H86" i="3"/>
  <c r="I86" i="3"/>
  <c r="J86" i="3"/>
  <c r="K86" i="3"/>
  <c r="L86" i="3"/>
  <c r="M86" i="3"/>
  <c r="H81" i="3"/>
  <c r="I81" i="3"/>
  <c r="J81" i="3"/>
  <c r="K81" i="3"/>
  <c r="L81" i="3"/>
  <c r="M81" i="3"/>
  <c r="H87" i="3"/>
  <c r="K87" i="3"/>
  <c r="L87" i="3"/>
  <c r="M87" i="3"/>
  <c r="H63" i="3"/>
  <c r="I63" i="3"/>
  <c r="J63" i="3"/>
  <c r="K63" i="3"/>
  <c r="L63" i="3"/>
  <c r="M63" i="3"/>
  <c r="H69" i="3"/>
  <c r="K69" i="3"/>
  <c r="G69" i="3" s="1"/>
  <c r="L69" i="3"/>
  <c r="M69" i="3"/>
  <c r="G93" i="3" l="1"/>
  <c r="G96" i="3"/>
  <c r="G92" i="3"/>
  <c r="G95" i="3"/>
  <c r="G89" i="3"/>
  <c r="G88" i="3"/>
  <c r="G100" i="3"/>
  <c r="G99" i="3"/>
  <c r="G98" i="3"/>
  <c r="G97" i="3"/>
  <c r="G94" i="3"/>
  <c r="G91" i="3"/>
  <c r="G90" i="3"/>
  <c r="G86" i="3"/>
  <c r="G81" i="3"/>
  <c r="G87" i="3"/>
  <c r="G63" i="3"/>
  <c r="H85" i="3"/>
  <c r="I85" i="3"/>
  <c r="J85" i="3"/>
  <c r="K85" i="3"/>
  <c r="L85" i="3"/>
  <c r="M85" i="3"/>
  <c r="H84" i="3"/>
  <c r="I84" i="3"/>
  <c r="J84" i="3"/>
  <c r="K84" i="3"/>
  <c r="L84" i="3"/>
  <c r="M84" i="3"/>
  <c r="H83" i="3"/>
  <c r="I83" i="3"/>
  <c r="J83" i="3"/>
  <c r="K83" i="3"/>
  <c r="L83" i="3"/>
  <c r="M83" i="3"/>
  <c r="H82" i="3"/>
  <c r="I82" i="3"/>
  <c r="J82" i="3"/>
  <c r="K82" i="3"/>
  <c r="L82" i="3"/>
  <c r="M82" i="3"/>
  <c r="H80" i="3"/>
  <c r="K80" i="3"/>
  <c r="L80" i="3"/>
  <c r="M80" i="3"/>
  <c r="H79" i="3"/>
  <c r="I79" i="3"/>
  <c r="J79" i="3"/>
  <c r="K79" i="3"/>
  <c r="L79" i="3"/>
  <c r="M79" i="3"/>
  <c r="H78" i="3"/>
  <c r="I78" i="3"/>
  <c r="J78" i="3"/>
  <c r="K78" i="3"/>
  <c r="L78" i="3"/>
  <c r="M78" i="3"/>
  <c r="H77" i="3"/>
  <c r="I77" i="3"/>
  <c r="J77" i="3"/>
  <c r="K77" i="3"/>
  <c r="L77" i="3"/>
  <c r="M77" i="3"/>
  <c r="H76" i="3"/>
  <c r="I76" i="3"/>
  <c r="J76" i="3"/>
  <c r="K76" i="3"/>
  <c r="L76" i="3"/>
  <c r="M76" i="3"/>
  <c r="H75" i="3"/>
  <c r="I75" i="3"/>
  <c r="J75" i="3"/>
  <c r="K75" i="3"/>
  <c r="L75" i="3"/>
  <c r="M75" i="3"/>
  <c r="H74" i="3"/>
  <c r="I74" i="3"/>
  <c r="J74" i="3"/>
  <c r="K74" i="3"/>
  <c r="L74" i="3"/>
  <c r="M74" i="3"/>
  <c r="H73" i="3"/>
  <c r="I73" i="3"/>
  <c r="J73" i="3"/>
  <c r="K73" i="3"/>
  <c r="L73" i="3"/>
  <c r="M73" i="3"/>
  <c r="H72" i="3"/>
  <c r="I72" i="3"/>
  <c r="J72" i="3"/>
  <c r="K72" i="3"/>
  <c r="L72" i="3"/>
  <c r="M72" i="3"/>
  <c r="H71" i="3"/>
  <c r="I71" i="3"/>
  <c r="J71" i="3"/>
  <c r="K71" i="3"/>
  <c r="L71" i="3"/>
  <c r="M71" i="3"/>
  <c r="H70" i="3"/>
  <c r="K70" i="3"/>
  <c r="L70" i="3"/>
  <c r="M70" i="3"/>
  <c r="H68" i="3"/>
  <c r="I68" i="3"/>
  <c r="J68" i="3"/>
  <c r="K68" i="3"/>
  <c r="L68" i="3"/>
  <c r="M68" i="3"/>
  <c r="M5" i="2"/>
  <c r="M6" i="2"/>
  <c r="M7" i="2"/>
  <c r="M8" i="2"/>
  <c r="M9" i="2"/>
  <c r="M10" i="2"/>
  <c r="M11" i="2"/>
  <c r="M12" i="2"/>
  <c r="M13"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C945" i="2"/>
  <c r="C946" i="2" s="1"/>
  <c r="H945" i="2"/>
  <c r="I945" i="2"/>
  <c r="C6" i="2"/>
  <c r="C7" i="2" s="1"/>
  <c r="I5" i="2"/>
  <c r="H5" i="2"/>
  <c r="B14" i="3"/>
  <c r="L47" i="3"/>
  <c r="M47"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8" i="3"/>
  <c r="M49" i="3"/>
  <c r="M50" i="3"/>
  <c r="M51" i="3"/>
  <c r="M52" i="3"/>
  <c r="M53" i="3"/>
  <c r="M54" i="3"/>
  <c r="M55" i="3"/>
  <c r="M56" i="3"/>
  <c r="M57" i="3"/>
  <c r="M58" i="3"/>
  <c r="M59" i="3"/>
  <c r="M60" i="3"/>
  <c r="M61" i="3"/>
  <c r="M62" i="3"/>
  <c r="M64" i="3"/>
  <c r="M65" i="3"/>
  <c r="M66" i="3"/>
  <c r="M67"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8" i="3"/>
  <c r="L49" i="3"/>
  <c r="L50" i="3"/>
  <c r="L51" i="3"/>
  <c r="L52" i="3"/>
  <c r="L53" i="3"/>
  <c r="L54" i="3"/>
  <c r="L55" i="3"/>
  <c r="L56" i="3"/>
  <c r="L57" i="3"/>
  <c r="L58" i="3"/>
  <c r="L59" i="3"/>
  <c r="L60" i="3"/>
  <c r="L61" i="3"/>
  <c r="L62" i="3"/>
  <c r="L64" i="3"/>
  <c r="L65" i="3"/>
  <c r="L66" i="3"/>
  <c r="L67" i="3"/>
  <c r="K19" i="3"/>
  <c r="K20" i="3"/>
  <c r="K21" i="3"/>
  <c r="K22" i="3"/>
  <c r="K23" i="3"/>
  <c r="K24" i="3"/>
  <c r="K25" i="3"/>
  <c r="K26" i="3"/>
  <c r="K27" i="3"/>
  <c r="K28" i="3"/>
  <c r="K29" i="3"/>
  <c r="K30" i="3"/>
  <c r="K31" i="3"/>
  <c r="K32" i="3"/>
  <c r="K33" i="3"/>
  <c r="K34" i="3"/>
  <c r="K35" i="3"/>
  <c r="K36" i="3"/>
  <c r="K37" i="3"/>
  <c r="G37" i="3" s="1"/>
  <c r="K38" i="3"/>
  <c r="K39" i="3"/>
  <c r="K40" i="3"/>
  <c r="K41" i="3"/>
  <c r="K42" i="3"/>
  <c r="K43" i="3"/>
  <c r="K44" i="3"/>
  <c r="K45" i="3"/>
  <c r="K46" i="3"/>
  <c r="K48" i="3"/>
  <c r="K49" i="3"/>
  <c r="K50" i="3"/>
  <c r="K51" i="3"/>
  <c r="K52" i="3"/>
  <c r="K53" i="3"/>
  <c r="K54" i="3"/>
  <c r="G54" i="3" s="1"/>
  <c r="K55" i="3"/>
  <c r="K56" i="3"/>
  <c r="K57" i="3"/>
  <c r="K58" i="3"/>
  <c r="K59" i="3"/>
  <c r="K60" i="3"/>
  <c r="K61" i="3"/>
  <c r="K62" i="3"/>
  <c r="K64" i="3"/>
  <c r="K65" i="3"/>
  <c r="K66" i="3"/>
  <c r="K67" i="3"/>
  <c r="J20" i="3"/>
  <c r="J21" i="3"/>
  <c r="J22" i="3"/>
  <c r="J23" i="3"/>
  <c r="J24" i="3"/>
  <c r="J26" i="3"/>
  <c r="J27" i="3"/>
  <c r="J28" i="3"/>
  <c r="J29" i="3"/>
  <c r="J30" i="3"/>
  <c r="J31" i="3"/>
  <c r="J32" i="3"/>
  <c r="J33" i="3"/>
  <c r="J34" i="3"/>
  <c r="J35" i="3"/>
  <c r="J36" i="3"/>
  <c r="J38" i="3"/>
  <c r="J39" i="3"/>
  <c r="J40" i="3"/>
  <c r="J41" i="3"/>
  <c r="J42" i="3"/>
  <c r="J43" i="3"/>
  <c r="J44" i="3"/>
  <c r="J45" i="3"/>
  <c r="J46" i="3"/>
  <c r="J48" i="3"/>
  <c r="J49" i="3"/>
  <c r="J50" i="3"/>
  <c r="J51" i="3"/>
  <c r="J52" i="3"/>
  <c r="J55" i="3"/>
  <c r="J56" i="3"/>
  <c r="J57" i="3"/>
  <c r="J58" i="3"/>
  <c r="J59" i="3"/>
  <c r="J60" i="3"/>
  <c r="J61" i="3"/>
  <c r="J62" i="3"/>
  <c r="J64" i="3"/>
  <c r="J65" i="3"/>
  <c r="J66" i="3"/>
  <c r="J67" i="3"/>
  <c r="I19" i="3"/>
  <c r="I20" i="3"/>
  <c r="I21" i="3"/>
  <c r="I22" i="3"/>
  <c r="I23" i="3"/>
  <c r="I24" i="3"/>
  <c r="I26" i="3"/>
  <c r="I27" i="3"/>
  <c r="I28" i="3"/>
  <c r="I29" i="3"/>
  <c r="I30" i="3"/>
  <c r="I31" i="3"/>
  <c r="I32" i="3"/>
  <c r="I33" i="3"/>
  <c r="I34" i="3"/>
  <c r="I35" i="3"/>
  <c r="I36" i="3"/>
  <c r="I38" i="3"/>
  <c r="I39" i="3"/>
  <c r="I40" i="3"/>
  <c r="I41" i="3"/>
  <c r="I42" i="3"/>
  <c r="I43" i="3"/>
  <c r="I44" i="3"/>
  <c r="I45" i="3"/>
  <c r="I46" i="3"/>
  <c r="I48" i="3"/>
  <c r="I49" i="3"/>
  <c r="I50" i="3"/>
  <c r="I51" i="3"/>
  <c r="I52" i="3"/>
  <c r="I53" i="3"/>
  <c r="I55" i="3"/>
  <c r="I56" i="3"/>
  <c r="I57" i="3"/>
  <c r="I58" i="3"/>
  <c r="I59" i="3"/>
  <c r="I60" i="3"/>
  <c r="I61" i="3"/>
  <c r="I62" i="3"/>
  <c r="I64" i="3"/>
  <c r="I65" i="3"/>
  <c r="I66" i="3"/>
  <c r="I67" i="3"/>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C8" i="1"/>
  <c r="D8" i="1" s="1"/>
  <c r="M8" i="4" l="1"/>
  <c r="G85" i="3"/>
  <c r="G84" i="3"/>
  <c r="G83" i="3"/>
  <c r="G82" i="3"/>
  <c r="G80" i="3"/>
  <c r="G76" i="3"/>
  <c r="G79" i="3"/>
  <c r="G78" i="3"/>
  <c r="G75" i="3"/>
  <c r="G77" i="3"/>
  <c r="G19" i="3"/>
  <c r="G35" i="3"/>
  <c r="G74" i="3"/>
  <c r="G73" i="3"/>
  <c r="G68" i="3"/>
  <c r="G72" i="3"/>
  <c r="G71" i="3"/>
  <c r="G70" i="3"/>
  <c r="G36" i="3"/>
  <c r="C947" i="2"/>
  <c r="H946" i="2"/>
  <c r="I946" i="2"/>
  <c r="H6" i="2"/>
  <c r="I6" i="2"/>
  <c r="C8" i="2"/>
  <c r="I7" i="2"/>
  <c r="C9" i="1"/>
  <c r="D9" i="1" s="1"/>
  <c r="H7" i="2"/>
  <c r="C9" i="2"/>
  <c r="C10" i="2" s="1"/>
  <c r="H8" i="2"/>
  <c r="I8" i="2"/>
  <c r="G21" i="3"/>
  <c r="G67" i="3"/>
  <c r="G39" i="3"/>
  <c r="G65" i="3"/>
  <c r="G32" i="3"/>
  <c r="G47" i="3"/>
  <c r="G25" i="3"/>
  <c r="G56" i="3"/>
  <c r="G23" i="3"/>
  <c r="G20" i="3"/>
  <c r="G40" i="3"/>
  <c r="G24" i="3"/>
  <c r="G38" i="3"/>
  <c r="G22" i="3"/>
  <c r="G55" i="3"/>
  <c r="G48" i="3"/>
  <c r="G59" i="3"/>
  <c r="G50" i="3"/>
  <c r="G62" i="3"/>
  <c r="G52" i="3"/>
  <c r="G51" i="3"/>
  <c r="G30" i="3"/>
  <c r="G34" i="3"/>
  <c r="G49" i="3"/>
  <c r="G53" i="3"/>
  <c r="G57" i="3"/>
  <c r="G41" i="3"/>
  <c r="G58" i="3"/>
  <c r="G42" i="3"/>
  <c r="G61" i="3"/>
  <c r="G29" i="3"/>
  <c r="G33" i="3"/>
  <c r="G60" i="3"/>
  <c r="G44" i="3"/>
  <c r="G66" i="3"/>
  <c r="G46" i="3"/>
  <c r="G43" i="3"/>
  <c r="G45" i="3"/>
  <c r="G28" i="3"/>
  <c r="G26" i="3"/>
  <c r="G27" i="3"/>
  <c r="G64" i="3"/>
  <c r="G31" i="3"/>
  <c r="M9" i="4" l="1"/>
  <c r="C87" i="3" s="1"/>
  <c r="C51" i="3"/>
  <c r="C83" i="3"/>
  <c r="C70" i="3"/>
  <c r="C86" i="3"/>
  <c r="C55" i="3"/>
  <c r="C94" i="3"/>
  <c r="C82" i="3"/>
  <c r="C20" i="3"/>
  <c r="C36" i="3"/>
  <c r="C52" i="3"/>
  <c r="C71" i="3"/>
  <c r="C21" i="3"/>
  <c r="C37" i="3"/>
  <c r="C53" i="3"/>
  <c r="C69" i="3"/>
  <c r="C85" i="3"/>
  <c r="C54" i="3"/>
  <c r="C39" i="3"/>
  <c r="C74" i="3"/>
  <c r="C22" i="3"/>
  <c r="C34" i="3"/>
  <c r="C23" i="3"/>
  <c r="C24" i="3"/>
  <c r="C40" i="3"/>
  <c r="C56" i="3"/>
  <c r="C90" i="3"/>
  <c r="C26" i="3"/>
  <c r="C25" i="3"/>
  <c r="C41" i="3"/>
  <c r="C57" i="3"/>
  <c r="C73" i="3"/>
  <c r="C91" i="3"/>
  <c r="C42" i="3"/>
  <c r="C27" i="3"/>
  <c r="C43" i="3"/>
  <c r="C59" i="3"/>
  <c r="C75" i="3"/>
  <c r="C97" i="3"/>
  <c r="C76" i="3"/>
  <c r="C77" i="3"/>
  <c r="C100" i="3"/>
  <c r="C79" i="3"/>
  <c r="C65" i="3"/>
  <c r="C28" i="3"/>
  <c r="C44" i="3"/>
  <c r="C60" i="3"/>
  <c r="C98" i="3"/>
  <c r="C62" i="3"/>
  <c r="C47" i="3"/>
  <c r="C50" i="3"/>
  <c r="C29" i="3"/>
  <c r="C45" i="3"/>
  <c r="C61" i="3"/>
  <c r="C99" i="3"/>
  <c r="C78" i="3"/>
  <c r="C66" i="3"/>
  <c r="C30" i="3"/>
  <c r="C81" i="3"/>
  <c r="C31" i="3"/>
  <c r="C32" i="3"/>
  <c r="C48" i="3"/>
  <c r="C64" i="3"/>
  <c r="C33" i="3"/>
  <c r="C49" i="3"/>
  <c r="C948" i="2"/>
  <c r="H947" i="2"/>
  <c r="I947" i="2"/>
  <c r="C11" i="2"/>
  <c r="I10" i="2"/>
  <c r="H10" i="2"/>
  <c r="C10" i="1"/>
  <c r="D10" i="1" s="1"/>
  <c r="H9" i="2"/>
  <c r="I9" i="2"/>
  <c r="C67" i="3" l="1"/>
  <c r="C35" i="3"/>
  <c r="C19" i="3"/>
  <c r="C80" i="3"/>
  <c r="C63" i="3"/>
  <c r="C46" i="3"/>
  <c r="C72" i="3"/>
  <c r="C58" i="3"/>
  <c r="C92" i="3"/>
  <c r="C88" i="3"/>
  <c r="C68" i="3"/>
  <c r="C38" i="3"/>
  <c r="C84" i="3"/>
  <c r="H948" i="2"/>
  <c r="I948" i="2"/>
  <c r="C12" i="2"/>
  <c r="C11" i="1"/>
  <c r="D11" i="1" s="1"/>
  <c r="H11" i="2"/>
  <c r="I11" i="2"/>
  <c r="H12" i="2" l="1"/>
  <c r="I12" i="2"/>
  <c r="C13" i="2"/>
  <c r="H13" i="2" l="1"/>
  <c r="C14" i="2"/>
  <c r="C12" i="1"/>
  <c r="D12" i="1" s="1"/>
  <c r="I13" i="2"/>
  <c r="C15" i="2" l="1"/>
  <c r="H14" i="2"/>
  <c r="I14" i="2"/>
  <c r="C13" i="1" l="1"/>
  <c r="D13" i="1" s="1"/>
  <c r="I15" i="2"/>
  <c r="C16" i="2"/>
  <c r="H15" i="2"/>
  <c r="I16" i="2" l="1"/>
  <c r="C17" i="2"/>
  <c r="H16" i="2"/>
  <c r="H17" i="2" l="1"/>
  <c r="C18" i="2"/>
  <c r="C14" i="1"/>
  <c r="D14" i="1" s="1"/>
  <c r="I17" i="2"/>
  <c r="I18" i="2" l="1"/>
  <c r="H18" i="2"/>
  <c r="C19" i="2"/>
  <c r="H19" i="2" l="1"/>
  <c r="I19" i="2"/>
  <c r="C20" i="2"/>
  <c r="C15" i="1"/>
  <c r="D15" i="1" s="1"/>
  <c r="I20" i="2" l="1"/>
  <c r="H20" i="2"/>
  <c r="C21" i="2"/>
  <c r="I21" i="2" l="1"/>
  <c r="C22" i="2"/>
  <c r="C16" i="1"/>
  <c r="D16" i="1" s="1"/>
  <c r="H21" i="2"/>
  <c r="H22" i="2" l="1"/>
  <c r="I22" i="2"/>
  <c r="C23" i="2"/>
  <c r="H23" i="2" l="1"/>
  <c r="C24" i="2"/>
  <c r="C17" i="1"/>
  <c r="D17" i="1" s="1"/>
  <c r="I23" i="2"/>
  <c r="C25" i="2" l="1"/>
  <c r="I24" i="2"/>
  <c r="H24" i="2"/>
  <c r="C26" i="2" l="1"/>
  <c r="I25" i="2"/>
  <c r="H25" i="2"/>
  <c r="C18" i="1"/>
  <c r="D18" i="1" s="1"/>
  <c r="I26" i="2" l="1"/>
  <c r="C27" i="2"/>
  <c r="H26" i="2"/>
  <c r="C19" i="1" l="1"/>
  <c r="D19" i="1" s="1"/>
  <c r="C28" i="2"/>
  <c r="H27" i="2"/>
  <c r="I27" i="2"/>
  <c r="I28" i="2" l="1"/>
  <c r="H28" i="2"/>
  <c r="C29" i="2"/>
  <c r="H29" i="2" l="1"/>
  <c r="C20" i="1"/>
  <c r="D20" i="1" s="1"/>
  <c r="C30" i="2"/>
  <c r="I29" i="2"/>
  <c r="I30" i="2" l="1"/>
  <c r="H30" i="2"/>
  <c r="C31" i="2"/>
  <c r="C32" i="2" l="1"/>
  <c r="H31" i="2"/>
  <c r="C21" i="1"/>
  <c r="D21" i="1" s="1"/>
  <c r="I31" i="2"/>
  <c r="C33" i="2" l="1"/>
  <c r="I32" i="2"/>
  <c r="H32" i="2"/>
  <c r="C22" i="1" l="1"/>
  <c r="D22" i="1" s="1"/>
  <c r="H33" i="2"/>
  <c r="C34" i="2"/>
  <c r="I33" i="2"/>
  <c r="C35" i="2" l="1"/>
  <c r="H34" i="2"/>
  <c r="I34" i="2"/>
  <c r="C36" i="2" l="1"/>
  <c r="H35" i="2"/>
  <c r="C23" i="1"/>
  <c r="D23" i="1" s="1"/>
  <c r="I35" i="2"/>
  <c r="C37" i="2" l="1"/>
  <c r="I36" i="2"/>
  <c r="H36" i="2"/>
  <c r="C38" i="2" l="1"/>
  <c r="H37" i="2"/>
  <c r="C24" i="1"/>
  <c r="D24" i="1" s="1"/>
  <c r="I37" i="2"/>
  <c r="I38" i="2" l="1"/>
  <c r="C39" i="2"/>
  <c r="H38" i="2"/>
  <c r="C40" i="2" l="1"/>
  <c r="H39" i="2"/>
  <c r="I39" i="2"/>
  <c r="C25" i="1"/>
  <c r="D25" i="1" s="1"/>
  <c r="I40" i="2" l="1"/>
  <c r="C41" i="2"/>
  <c r="H40" i="2"/>
  <c r="I41" i="2" l="1"/>
  <c r="H41" i="2"/>
  <c r="C42" i="2"/>
  <c r="C26" i="1"/>
  <c r="D26" i="1" s="1"/>
  <c r="C43" i="2" l="1"/>
  <c r="H42" i="2"/>
  <c r="I42" i="2"/>
  <c r="C44" i="2" l="1"/>
  <c r="H43" i="2"/>
  <c r="C27" i="1"/>
  <c r="D27" i="1" s="1"/>
  <c r="I43" i="2"/>
  <c r="C45" i="2" l="1"/>
  <c r="I44" i="2"/>
  <c r="H44" i="2"/>
  <c r="C46" i="2" l="1"/>
  <c r="I45" i="2"/>
  <c r="C28" i="1"/>
  <c r="D28" i="1" s="1"/>
  <c r="H45" i="2"/>
  <c r="H46" i="2" l="1"/>
  <c r="I46" i="2"/>
  <c r="C47" i="2"/>
  <c r="H47" i="2" l="1"/>
  <c r="C48" i="2"/>
  <c r="I47" i="2"/>
  <c r="C29" i="1"/>
  <c r="D29" i="1" s="1"/>
  <c r="H48" i="2" l="1"/>
  <c r="I48" i="2"/>
  <c r="C49" i="2"/>
  <c r="C50" i="2" l="1"/>
  <c r="H49" i="2"/>
  <c r="C30" i="1"/>
  <c r="D30" i="1" s="1"/>
  <c r="I49" i="2"/>
  <c r="C51" i="2" l="1"/>
  <c r="H50" i="2"/>
  <c r="I50" i="2"/>
  <c r="C52" i="2" l="1"/>
  <c r="H51" i="2"/>
  <c r="C31" i="1"/>
  <c r="D31" i="1" s="1"/>
  <c r="I51" i="2"/>
  <c r="I52" i="2" l="1"/>
  <c r="C53" i="2"/>
  <c r="H52" i="2"/>
  <c r="C54" i="2" l="1"/>
  <c r="H53" i="2"/>
  <c r="I53" i="2"/>
  <c r="C32" i="1"/>
  <c r="D32" i="1" s="1"/>
  <c r="C55" i="2" l="1"/>
  <c r="H54" i="2"/>
  <c r="I54" i="2"/>
  <c r="C33" i="1" l="1"/>
  <c r="D33" i="1" s="1"/>
  <c r="C56" i="2"/>
  <c r="I55" i="2"/>
  <c r="H55" i="2"/>
  <c r="I56" i="2" l="1"/>
  <c r="H56" i="2"/>
  <c r="C57" i="2"/>
  <c r="I57" i="2" l="1"/>
  <c r="C58" i="2"/>
  <c r="C34" i="1"/>
  <c r="D34" i="1" s="1"/>
  <c r="H57" i="2"/>
  <c r="I58" i="2" l="1"/>
  <c r="C59" i="2"/>
  <c r="H58" i="2"/>
  <c r="C60" i="2" l="1"/>
  <c r="H59" i="2"/>
  <c r="I59" i="2"/>
  <c r="C35" i="1"/>
  <c r="D35" i="1" s="1"/>
  <c r="C61" i="2" l="1"/>
  <c r="H60" i="2"/>
  <c r="I60" i="2"/>
  <c r="C62" i="2" l="1"/>
  <c r="I61" i="2"/>
  <c r="H61" i="2"/>
  <c r="C36" i="1"/>
  <c r="D36" i="1" s="1"/>
  <c r="C63" i="2" l="1"/>
  <c r="I62" i="2"/>
  <c r="H62" i="2"/>
  <c r="C37" i="1" l="1"/>
  <c r="D37" i="1" s="1"/>
  <c r="C64" i="2"/>
  <c r="H63" i="2"/>
  <c r="I63" i="2"/>
  <c r="C65" i="2" l="1"/>
  <c r="I64" i="2"/>
  <c r="H64" i="2"/>
  <c r="C66" i="2" l="1"/>
  <c r="C38" i="1"/>
  <c r="D38" i="1" s="1"/>
  <c r="H65" i="2"/>
  <c r="I65" i="2"/>
  <c r="C67" i="2" l="1"/>
  <c r="I66" i="2"/>
  <c r="H66" i="2"/>
  <c r="C68" i="2" l="1"/>
  <c r="H67" i="2"/>
  <c r="I67" i="2"/>
  <c r="C39" i="1"/>
  <c r="D39" i="1" s="1"/>
  <c r="C69" i="2" l="1"/>
  <c r="I68" i="2"/>
  <c r="H68" i="2"/>
  <c r="C70" i="2" l="1"/>
  <c r="I69" i="2"/>
  <c r="C40" i="1"/>
  <c r="D40" i="1" s="1"/>
  <c r="H69" i="2"/>
  <c r="C71" i="2" l="1"/>
  <c r="I70" i="2"/>
  <c r="H70" i="2"/>
  <c r="C41" i="1" l="1"/>
  <c r="D41" i="1" s="1"/>
  <c r="I71" i="2"/>
  <c r="C72" i="2"/>
  <c r="H71" i="2"/>
  <c r="H72" i="2" l="1"/>
  <c r="C73" i="2"/>
  <c r="I72" i="2"/>
  <c r="H73" i="2" l="1"/>
  <c r="C74" i="2"/>
  <c r="I73" i="2"/>
  <c r="C42" i="1"/>
  <c r="D42" i="1" s="1"/>
  <c r="C75" i="2" l="1"/>
  <c r="H74" i="2"/>
  <c r="I74" i="2"/>
  <c r="C76" i="2" l="1"/>
  <c r="H75" i="2"/>
  <c r="C43" i="1"/>
  <c r="D43" i="1" s="1"/>
  <c r="I75" i="2"/>
  <c r="I76" i="2" l="1"/>
  <c r="H76" i="2"/>
  <c r="C77" i="2"/>
  <c r="C78" i="2" l="1"/>
  <c r="I77" i="2"/>
  <c r="C44" i="1"/>
  <c r="D44" i="1" s="1"/>
  <c r="H77" i="2"/>
  <c r="C79" i="2" l="1"/>
  <c r="I78" i="2"/>
  <c r="H78" i="2"/>
  <c r="C80" i="2" l="1"/>
  <c r="C45" i="1"/>
  <c r="D45" i="1" s="1"/>
  <c r="H79" i="2"/>
  <c r="I79" i="2"/>
  <c r="I80" i="2" l="1"/>
  <c r="C81" i="2"/>
  <c r="H80" i="2"/>
  <c r="C82" i="2" l="1"/>
  <c r="C46" i="1"/>
  <c r="D46" i="1" s="1"/>
  <c r="H81" i="2"/>
  <c r="I81" i="2"/>
  <c r="H82" i="2" l="1"/>
  <c r="C83" i="2"/>
  <c r="I82" i="2"/>
  <c r="C84" i="2" l="1"/>
  <c r="C47" i="1"/>
  <c r="D47" i="1" s="1"/>
  <c r="I83" i="2"/>
  <c r="H83" i="2"/>
  <c r="C85" i="2" l="1"/>
  <c r="H84" i="2"/>
  <c r="I84" i="2"/>
  <c r="H85" i="2" l="1"/>
  <c r="I85" i="2"/>
  <c r="C86" i="2"/>
  <c r="C48" i="1"/>
  <c r="D48" i="1" s="1"/>
  <c r="C87" i="2" l="1"/>
  <c r="I86" i="2"/>
  <c r="H86" i="2"/>
  <c r="C88" i="2" l="1"/>
  <c r="H87" i="2"/>
  <c r="C49" i="1"/>
  <c r="D49" i="1" s="1"/>
  <c r="I87" i="2"/>
  <c r="I88" i="2" l="1"/>
  <c r="C89" i="2"/>
  <c r="H88" i="2"/>
  <c r="C90" i="2" l="1"/>
  <c r="I89" i="2"/>
  <c r="H89" i="2"/>
  <c r="C50" i="1"/>
  <c r="D50" i="1" s="1"/>
  <c r="I90" i="2" l="1"/>
  <c r="C91" i="2"/>
  <c r="H90" i="2"/>
  <c r="C92" i="2" l="1"/>
  <c r="C51" i="1"/>
  <c r="D51" i="1" s="1"/>
  <c r="H91" i="2"/>
  <c r="I91" i="2"/>
  <c r="I92" i="2" l="1"/>
  <c r="H92" i="2"/>
  <c r="C93" i="2"/>
  <c r="C94" i="2" l="1"/>
  <c r="I93" i="2"/>
  <c r="H93" i="2"/>
  <c r="C52" i="1"/>
  <c r="D52" i="1" s="1"/>
  <c r="I94" i="2" l="1"/>
  <c r="C95" i="2"/>
  <c r="H94" i="2"/>
  <c r="C53" i="1" l="1"/>
  <c r="D53" i="1" s="1"/>
  <c r="C96" i="2"/>
  <c r="H95" i="2"/>
  <c r="I95" i="2"/>
  <c r="I96" i="2" l="1"/>
  <c r="C97" i="2"/>
  <c r="H96" i="2"/>
  <c r="I97" i="2" l="1"/>
  <c r="C54" i="1"/>
  <c r="D54" i="1" s="1"/>
  <c r="C98" i="2"/>
  <c r="H97" i="2"/>
  <c r="C99" i="2" l="1"/>
  <c r="H98" i="2"/>
  <c r="I98" i="2"/>
  <c r="C55" i="1" l="1"/>
  <c r="D55" i="1" s="1"/>
  <c r="C100" i="2"/>
  <c r="I99" i="2"/>
  <c r="H99" i="2"/>
  <c r="I100" i="2" l="1"/>
  <c r="C101" i="2"/>
  <c r="H100" i="2"/>
  <c r="C56" i="1" l="1"/>
  <c r="D56" i="1" s="1"/>
  <c r="C102" i="2"/>
  <c r="H101" i="2"/>
  <c r="I101" i="2"/>
  <c r="I102" i="2" l="1"/>
  <c r="C103" i="2"/>
  <c r="H102" i="2"/>
  <c r="C104" i="2" l="1"/>
  <c r="H103" i="2"/>
  <c r="C57" i="1"/>
  <c r="D57" i="1" s="1"/>
  <c r="I103" i="2"/>
  <c r="C105" i="2" l="1"/>
  <c r="I104" i="2"/>
  <c r="H104" i="2"/>
  <c r="C106" i="2" l="1"/>
  <c r="C58" i="1"/>
  <c r="D58" i="1" s="1"/>
  <c r="I105" i="2"/>
  <c r="H105" i="2"/>
  <c r="I106" i="2" l="1"/>
  <c r="C107" i="2"/>
  <c r="H106" i="2"/>
  <c r="H107" i="2" l="1"/>
  <c r="C59" i="1"/>
  <c r="D59" i="1" s="1"/>
  <c r="C108" i="2"/>
  <c r="I107" i="2"/>
  <c r="C109" i="2" l="1"/>
  <c r="I108" i="2"/>
  <c r="H108" i="2"/>
  <c r="C110" i="2" l="1"/>
  <c r="H109" i="2"/>
  <c r="I109" i="2"/>
  <c r="C60" i="1"/>
  <c r="D60" i="1" s="1"/>
  <c r="H110" i="2" l="1"/>
  <c r="I110" i="2"/>
  <c r="C111" i="2"/>
  <c r="C112" i="2" l="1"/>
  <c r="C61" i="1"/>
  <c r="D61" i="1" s="1"/>
  <c r="H111" i="2"/>
  <c r="I111" i="2"/>
  <c r="C113" i="2" l="1"/>
  <c r="I112" i="2"/>
  <c r="H112" i="2"/>
  <c r="H113" i="2" l="1"/>
  <c r="C114" i="2"/>
  <c r="C62" i="1"/>
  <c r="D62" i="1" s="1"/>
  <c r="I113" i="2"/>
  <c r="H114" i="2" l="1"/>
  <c r="C115" i="2"/>
  <c r="I114" i="2"/>
  <c r="C116" i="2" l="1"/>
  <c r="H115" i="2"/>
  <c r="C63" i="1"/>
  <c r="D63" i="1" s="1"/>
  <c r="I115" i="2"/>
  <c r="C117" i="2" l="1"/>
  <c r="H116" i="2"/>
  <c r="I116" i="2"/>
  <c r="C118" i="2" l="1"/>
  <c r="I117" i="2"/>
  <c r="H117" i="2"/>
  <c r="C64" i="1"/>
  <c r="D64" i="1" s="1"/>
  <c r="I118" i="2" l="1"/>
  <c r="C119" i="2"/>
  <c r="H118" i="2"/>
  <c r="C120" i="2" l="1"/>
  <c r="H119" i="2"/>
  <c r="I119" i="2"/>
  <c r="C65" i="1"/>
  <c r="D65" i="1" s="1"/>
  <c r="C121" i="2" l="1"/>
  <c r="I120" i="2"/>
  <c r="H120" i="2"/>
  <c r="I121" i="2" l="1"/>
  <c r="C122" i="2"/>
  <c r="C66" i="1"/>
  <c r="D66" i="1" s="1"/>
  <c r="H121" i="2"/>
  <c r="I122" i="2" l="1"/>
  <c r="C123" i="2"/>
  <c r="H122" i="2"/>
  <c r="I123" i="2" l="1"/>
  <c r="C124" i="2"/>
  <c r="H123" i="2"/>
  <c r="C67" i="1"/>
  <c r="D67" i="1" s="1"/>
  <c r="C125" i="2" l="1"/>
  <c r="I124" i="2"/>
  <c r="H124" i="2"/>
  <c r="C126" i="2" l="1"/>
  <c r="H125" i="2"/>
  <c r="C68" i="1"/>
  <c r="D68" i="1" s="1"/>
  <c r="I125" i="2"/>
  <c r="H126" i="2" l="1"/>
  <c r="C127" i="2"/>
  <c r="I126" i="2"/>
  <c r="I127" i="2" l="1"/>
  <c r="C128" i="2"/>
  <c r="H127" i="2"/>
  <c r="C69" i="1"/>
  <c r="D69" i="1" s="1"/>
  <c r="H128" i="2" l="1"/>
  <c r="C129" i="2"/>
  <c r="I128" i="2"/>
  <c r="C130" i="2" l="1"/>
  <c r="I129" i="2"/>
  <c r="H129" i="2"/>
  <c r="C70" i="1"/>
  <c r="D70" i="1" s="1"/>
  <c r="H130" i="2" l="1"/>
  <c r="C131" i="2"/>
  <c r="I130" i="2"/>
  <c r="I131" i="2" l="1"/>
  <c r="C132" i="2"/>
  <c r="H131" i="2"/>
  <c r="C71" i="1"/>
  <c r="D71" i="1" s="1"/>
  <c r="C133" i="2" l="1"/>
  <c r="I132" i="2"/>
  <c r="H132" i="2"/>
  <c r="C72" i="1" l="1"/>
  <c r="D72" i="1" s="1"/>
  <c r="H133" i="2"/>
  <c r="C134" i="2"/>
  <c r="I133" i="2"/>
  <c r="C135" i="2" l="1"/>
  <c r="H134" i="2"/>
  <c r="I134" i="2"/>
  <c r="C136" i="2" l="1"/>
  <c r="H135" i="2"/>
  <c r="I135" i="2"/>
  <c r="C73" i="1"/>
  <c r="D73" i="1" s="1"/>
  <c r="I136" i="2" l="1"/>
  <c r="C137" i="2"/>
  <c r="H136" i="2"/>
  <c r="C138" i="2" l="1"/>
  <c r="H137" i="2"/>
  <c r="I137" i="2"/>
  <c r="C74" i="1"/>
  <c r="D74" i="1" s="1"/>
  <c r="C139" i="2" l="1"/>
  <c r="I138" i="2"/>
  <c r="H138" i="2"/>
  <c r="C140" i="2" l="1"/>
  <c r="C75" i="1"/>
  <c r="D75" i="1" s="1"/>
  <c r="H139" i="2"/>
  <c r="I139" i="2"/>
  <c r="I140" i="2" l="1"/>
  <c r="C141" i="2"/>
  <c r="H140" i="2"/>
  <c r="C76" i="1" l="1"/>
  <c r="D76" i="1" s="1"/>
  <c r="C142" i="2"/>
  <c r="I141" i="2"/>
  <c r="H141" i="2"/>
  <c r="H142" i="2" l="1"/>
  <c r="C143" i="2"/>
  <c r="I142" i="2"/>
  <c r="C77" i="1" l="1"/>
  <c r="D77" i="1" s="1"/>
  <c r="C144" i="2"/>
  <c r="I143" i="2"/>
  <c r="H143" i="2"/>
  <c r="C145" i="2" l="1"/>
  <c r="H144" i="2"/>
  <c r="I144" i="2"/>
  <c r="H145" i="2" l="1"/>
  <c r="I145" i="2"/>
  <c r="C146" i="2"/>
  <c r="C78" i="1"/>
  <c r="D78" i="1" s="1"/>
  <c r="I146" i="2" l="1"/>
  <c r="C147" i="2"/>
  <c r="H146" i="2"/>
  <c r="C148" i="2" l="1"/>
  <c r="H147" i="2"/>
  <c r="I147" i="2"/>
  <c r="C79" i="1"/>
  <c r="D79" i="1" s="1"/>
  <c r="I148" i="2" l="1"/>
  <c r="H148" i="2"/>
  <c r="C149" i="2"/>
  <c r="C150" i="2" l="1"/>
  <c r="I149" i="2"/>
  <c r="H149" i="2"/>
  <c r="C80" i="1"/>
  <c r="D80" i="1" s="1"/>
  <c r="C151" i="2" l="1"/>
  <c r="I150" i="2"/>
  <c r="H150" i="2"/>
  <c r="H151" i="2" l="1"/>
  <c r="C152" i="2"/>
  <c r="I151" i="2"/>
  <c r="C81" i="1"/>
  <c r="D81" i="1" s="1"/>
  <c r="C153" i="2" l="1"/>
  <c r="H152" i="2"/>
  <c r="I152" i="2"/>
  <c r="C154" i="2" l="1"/>
  <c r="C82" i="1"/>
  <c r="D82" i="1" s="1"/>
  <c r="I153" i="2"/>
  <c r="H153" i="2"/>
  <c r="H154" i="2" l="1"/>
  <c r="I154" i="2"/>
  <c r="C155" i="2"/>
  <c r="H155" i="2" l="1"/>
  <c r="C156" i="2"/>
  <c r="I155" i="2"/>
  <c r="C83" i="1"/>
  <c r="D83" i="1" s="1"/>
  <c r="C157" i="2" l="1"/>
  <c r="I156" i="2"/>
  <c r="H156" i="2"/>
  <c r="C158" i="2" l="1"/>
  <c r="C84" i="1"/>
  <c r="D84" i="1" s="1"/>
  <c r="H157" i="2"/>
  <c r="I157" i="2"/>
  <c r="H158" i="2" l="1"/>
  <c r="C159" i="2"/>
  <c r="I158" i="2"/>
  <c r="C160" i="2" l="1"/>
  <c r="H159" i="2"/>
  <c r="I159" i="2"/>
  <c r="C85" i="1"/>
  <c r="D85" i="1" s="1"/>
  <c r="I160" i="2" l="1"/>
  <c r="C161" i="2"/>
  <c r="H160" i="2"/>
  <c r="C162" i="2" l="1"/>
  <c r="H161" i="2"/>
  <c r="I161" i="2"/>
  <c r="C86" i="1"/>
  <c r="D86" i="1" s="1"/>
  <c r="I162" i="2" l="1"/>
  <c r="H162" i="2"/>
  <c r="C163" i="2"/>
  <c r="H163" i="2" l="1"/>
  <c r="C164" i="2"/>
  <c r="C87" i="1"/>
  <c r="D87" i="1" s="1"/>
  <c r="I163" i="2"/>
  <c r="C165" i="2" l="1"/>
  <c r="I164" i="2"/>
  <c r="H164" i="2"/>
  <c r="C166" i="2" l="1"/>
  <c r="C88" i="1"/>
  <c r="D88" i="1" s="1"/>
  <c r="I165" i="2"/>
  <c r="H165" i="2"/>
  <c r="C167" i="2" l="1"/>
  <c r="H166" i="2"/>
  <c r="I166" i="2"/>
  <c r="C89" i="1" l="1"/>
  <c r="D89" i="1" s="1"/>
  <c r="C168" i="2"/>
  <c r="I167" i="2"/>
  <c r="H167" i="2"/>
  <c r="I168" i="2" l="1"/>
  <c r="C169" i="2"/>
  <c r="H168" i="2"/>
  <c r="C170" i="2" l="1"/>
  <c r="H169" i="2"/>
  <c r="I169" i="2"/>
  <c r="C90" i="1"/>
  <c r="D90" i="1" s="1"/>
  <c r="I170" i="2" l="1"/>
  <c r="C171" i="2"/>
  <c r="H170" i="2"/>
  <c r="C172" i="2" l="1"/>
  <c r="I171" i="2"/>
  <c r="C91" i="1"/>
  <c r="D91" i="1" s="1"/>
  <c r="H171" i="2"/>
  <c r="H172" i="2" l="1"/>
  <c r="C173" i="2"/>
  <c r="I172" i="2"/>
  <c r="C174" i="2" l="1"/>
  <c r="H173" i="2"/>
  <c r="C92" i="1"/>
  <c r="D92" i="1" s="1"/>
  <c r="I173" i="2"/>
  <c r="C175" i="2" l="1"/>
  <c r="H174" i="2"/>
  <c r="I174" i="2"/>
  <c r="C176" i="2" l="1"/>
  <c r="I175" i="2"/>
  <c r="C93" i="1"/>
  <c r="D93" i="1" s="1"/>
  <c r="H175" i="2"/>
  <c r="C177" i="2" l="1"/>
  <c r="I176" i="2"/>
  <c r="H176" i="2"/>
  <c r="C178" i="2" l="1"/>
  <c r="H177" i="2"/>
  <c r="C94" i="1"/>
  <c r="D94" i="1" s="1"/>
  <c r="I177" i="2"/>
  <c r="H178" i="2" l="1"/>
  <c r="C179" i="2"/>
  <c r="I178" i="2"/>
  <c r="C180" i="2" l="1"/>
  <c r="C95" i="1"/>
  <c r="D95" i="1" s="1"/>
  <c r="H179" i="2"/>
  <c r="I179" i="2"/>
  <c r="C181" i="2" l="1"/>
  <c r="I180" i="2"/>
  <c r="H180" i="2"/>
  <c r="C182" i="2" l="1"/>
  <c r="I181" i="2"/>
  <c r="H181" i="2"/>
  <c r="C96" i="1"/>
  <c r="D96" i="1" s="1"/>
  <c r="I182" i="2" l="1"/>
  <c r="C183" i="2"/>
  <c r="H182" i="2"/>
  <c r="C184" i="2" l="1"/>
  <c r="C97" i="1"/>
  <c r="D97" i="1" s="1"/>
  <c r="I183" i="2"/>
  <c r="H183" i="2"/>
  <c r="I184" i="2" l="1"/>
  <c r="C185" i="2"/>
  <c r="H184" i="2"/>
  <c r="C98" i="1" l="1"/>
  <c r="D98" i="1" s="1"/>
  <c r="H185" i="2"/>
  <c r="C186" i="2"/>
  <c r="I185" i="2"/>
  <c r="H186" i="2" l="1"/>
  <c r="I186" i="2"/>
  <c r="C187" i="2"/>
  <c r="C188" i="2" l="1"/>
  <c r="I187" i="2"/>
  <c r="H187" i="2"/>
  <c r="C99" i="1"/>
  <c r="D99" i="1" s="1"/>
  <c r="C189" i="2" l="1"/>
  <c r="H188" i="2"/>
  <c r="I188" i="2"/>
  <c r="H189" i="2" l="1"/>
  <c r="C190" i="2"/>
  <c r="I189" i="2"/>
  <c r="C100" i="1"/>
  <c r="D100" i="1" s="1"/>
  <c r="C191" i="2" l="1"/>
  <c r="I190" i="2"/>
  <c r="H190" i="2"/>
  <c r="I191" i="2" l="1"/>
  <c r="C192" i="2"/>
  <c r="H191" i="2"/>
  <c r="C101" i="1"/>
  <c r="D101" i="1" s="1"/>
  <c r="C193" i="2" l="1"/>
  <c r="H192" i="2"/>
  <c r="I192" i="2"/>
  <c r="C194" i="2" l="1"/>
  <c r="H193" i="2"/>
  <c r="I193" i="2"/>
  <c r="C102" i="1"/>
  <c r="D102" i="1" s="1"/>
  <c r="I194" i="2" l="1"/>
  <c r="C195" i="2"/>
  <c r="H194" i="2"/>
  <c r="C103" i="1" l="1"/>
  <c r="D103" i="1" s="1"/>
  <c r="C196" i="2"/>
  <c r="I195" i="2"/>
  <c r="H195" i="2"/>
  <c r="I196" i="2" l="1"/>
  <c r="C197" i="2"/>
  <c r="H196" i="2"/>
  <c r="C198" i="2" l="1"/>
  <c r="I197" i="2"/>
  <c r="H197" i="2"/>
  <c r="C104" i="1"/>
  <c r="D104" i="1" s="1"/>
  <c r="C199" i="2" l="1"/>
  <c r="H198" i="2"/>
  <c r="I198" i="2"/>
  <c r="C200" i="2" l="1"/>
  <c r="H199" i="2"/>
  <c r="I199" i="2"/>
  <c r="C105" i="1"/>
  <c r="D105" i="1" s="1"/>
  <c r="H200" i="2" l="1"/>
  <c r="C201" i="2"/>
  <c r="I200" i="2"/>
  <c r="C202" i="2" l="1"/>
  <c r="H201" i="2"/>
  <c r="C106" i="1"/>
  <c r="D106" i="1" s="1"/>
  <c r="I201" i="2"/>
  <c r="C203" i="2" l="1"/>
  <c r="I202" i="2"/>
  <c r="H202" i="2"/>
  <c r="H203" i="2" l="1"/>
  <c r="C204" i="2"/>
  <c r="C107" i="1"/>
  <c r="D107" i="1" s="1"/>
  <c r="I203" i="2"/>
  <c r="H204" i="2" l="1"/>
  <c r="C205" i="2"/>
  <c r="I204" i="2"/>
  <c r="C206" i="2" l="1"/>
  <c r="H205" i="2"/>
  <c r="C108" i="1"/>
  <c r="D108" i="1" s="1"/>
  <c r="I205" i="2"/>
  <c r="C207" i="2" l="1"/>
  <c r="H206" i="2"/>
  <c r="I206" i="2"/>
  <c r="C208" i="2" l="1"/>
  <c r="H207" i="2"/>
  <c r="I207" i="2"/>
  <c r="C109" i="1"/>
  <c r="D109" i="1" s="1"/>
  <c r="I208" i="2" l="1"/>
  <c r="C209" i="2"/>
  <c r="H208" i="2"/>
  <c r="C110" i="1" l="1"/>
  <c r="D110" i="1" s="1"/>
  <c r="C210" i="2"/>
  <c r="I209" i="2"/>
  <c r="H209" i="2"/>
  <c r="H210" i="2" l="1"/>
  <c r="C211" i="2"/>
  <c r="I210" i="2"/>
  <c r="I211" i="2" l="1"/>
  <c r="C212" i="2"/>
  <c r="C111" i="1"/>
  <c r="D111" i="1" s="1"/>
  <c r="H211" i="2"/>
  <c r="C213" i="2" l="1"/>
  <c r="H212" i="2"/>
  <c r="I212" i="2"/>
  <c r="I213" i="2" l="1"/>
  <c r="C214" i="2"/>
  <c r="C112" i="1"/>
  <c r="D112" i="1" s="1"/>
  <c r="H213" i="2"/>
  <c r="C215" i="2" l="1"/>
  <c r="I214" i="2"/>
  <c r="H214" i="2"/>
  <c r="C113" i="1" l="1"/>
  <c r="D113" i="1" s="1"/>
  <c r="H215" i="2"/>
  <c r="C216" i="2"/>
  <c r="I215" i="2"/>
  <c r="H216" i="2" l="1"/>
  <c r="C217" i="2"/>
  <c r="I216" i="2"/>
  <c r="C218" i="2" l="1"/>
  <c r="H217" i="2"/>
  <c r="C114" i="1"/>
  <c r="D114" i="1" s="1"/>
  <c r="I217" i="2"/>
  <c r="C219" i="2" l="1"/>
  <c r="H218" i="2"/>
  <c r="I218" i="2"/>
  <c r="C220" i="2" l="1"/>
  <c r="I219" i="2"/>
  <c r="C115" i="1"/>
  <c r="D115" i="1" s="1"/>
  <c r="H219" i="2"/>
  <c r="C221" i="2" l="1"/>
  <c r="H220" i="2"/>
  <c r="I220" i="2"/>
  <c r="C222" i="2" l="1"/>
  <c r="H221" i="2"/>
  <c r="C116" i="1"/>
  <c r="D116" i="1" s="1"/>
  <c r="I221" i="2"/>
  <c r="C223" i="2" l="1"/>
  <c r="H222" i="2"/>
  <c r="I222" i="2"/>
  <c r="I223" i="2" l="1"/>
  <c r="C224" i="2"/>
  <c r="C117" i="1"/>
  <c r="D117" i="1" s="1"/>
  <c r="H223" i="2"/>
  <c r="C225" i="2" l="1"/>
  <c r="H224" i="2"/>
  <c r="I224" i="2"/>
  <c r="H225" i="2" l="1"/>
  <c r="C226" i="2"/>
  <c r="I225" i="2"/>
  <c r="C118" i="1"/>
  <c r="D118" i="1" s="1"/>
  <c r="C227" i="2" l="1"/>
  <c r="H226" i="2"/>
  <c r="I226" i="2"/>
  <c r="C228" i="2" l="1"/>
  <c r="C119" i="1"/>
  <c r="D119" i="1" s="1"/>
  <c r="I227" i="2"/>
  <c r="H227" i="2"/>
  <c r="C229" i="2" l="1"/>
  <c r="I228" i="2"/>
  <c r="H228" i="2"/>
  <c r="I229" i="2" l="1"/>
  <c r="H229" i="2"/>
  <c r="C230" i="2"/>
  <c r="C120" i="1"/>
  <c r="D120" i="1" s="1"/>
  <c r="I230" i="2" l="1"/>
  <c r="C231" i="2"/>
  <c r="H230" i="2"/>
  <c r="C121" i="1" l="1"/>
  <c r="D121" i="1" s="1"/>
  <c r="C232" i="2"/>
  <c r="I231" i="2"/>
  <c r="H231" i="2"/>
  <c r="H232" i="2" l="1"/>
  <c r="C233" i="2"/>
  <c r="I232" i="2"/>
  <c r="H233" i="2" l="1"/>
  <c r="C122" i="1"/>
  <c r="D122" i="1" s="1"/>
  <c r="C234" i="2"/>
  <c r="I233" i="2"/>
  <c r="C235" i="2" l="1"/>
  <c r="H234" i="2"/>
  <c r="I234" i="2"/>
  <c r="C236" i="2" l="1"/>
  <c r="I235" i="2"/>
  <c r="C123" i="1"/>
  <c r="D123" i="1" s="1"/>
  <c r="H235" i="2"/>
  <c r="C237" i="2" l="1"/>
  <c r="H236" i="2"/>
  <c r="I236" i="2"/>
  <c r="C238" i="2" l="1"/>
  <c r="H237" i="2"/>
  <c r="I237" i="2"/>
  <c r="C124" i="1"/>
  <c r="D124" i="1" s="1"/>
  <c r="C239" i="2" l="1"/>
  <c r="H238" i="2"/>
  <c r="I238" i="2"/>
  <c r="I239" i="2" l="1"/>
  <c r="C240" i="2"/>
  <c r="C125" i="1"/>
  <c r="D125" i="1" s="1"/>
  <c r="H239" i="2"/>
  <c r="C241" i="2" l="1"/>
  <c r="H240" i="2"/>
  <c r="I240" i="2"/>
  <c r="I241" i="2" l="1"/>
  <c r="C126" i="1"/>
  <c r="D126" i="1" s="1"/>
  <c r="C242" i="2"/>
  <c r="H241" i="2"/>
  <c r="C243" i="2" l="1"/>
  <c r="I242" i="2"/>
  <c r="H242" i="2"/>
  <c r="C244" i="2" l="1"/>
  <c r="H243" i="2"/>
  <c r="I243" i="2"/>
  <c r="C127" i="1"/>
  <c r="D127" i="1" s="1"/>
  <c r="C245" i="2" l="1"/>
  <c r="H244" i="2"/>
  <c r="I244" i="2"/>
  <c r="C128" i="1" l="1"/>
  <c r="D128" i="1" s="1"/>
  <c r="C246" i="2"/>
  <c r="H245" i="2"/>
  <c r="I245" i="2"/>
  <c r="C247" i="2" l="1"/>
  <c r="I246" i="2"/>
  <c r="H246" i="2"/>
  <c r="C248" i="2" l="1"/>
  <c r="H247" i="2"/>
  <c r="C129" i="1"/>
  <c r="D129" i="1" s="1"/>
  <c r="I247" i="2"/>
  <c r="H248" i="2" l="1"/>
  <c r="C249" i="2"/>
  <c r="I248" i="2"/>
  <c r="C250" i="2" l="1"/>
  <c r="H249" i="2"/>
  <c r="C130" i="1"/>
  <c r="D130" i="1" s="1"/>
  <c r="I249" i="2"/>
  <c r="C251" i="2" l="1"/>
  <c r="I250" i="2"/>
  <c r="H250" i="2"/>
  <c r="C252" i="2" l="1"/>
  <c r="I251" i="2"/>
  <c r="C131" i="1"/>
  <c r="D131" i="1" s="1"/>
  <c r="H251" i="2"/>
  <c r="H252" i="2" l="1"/>
  <c r="I252" i="2"/>
  <c r="C253" i="2"/>
  <c r="C132" i="1" l="1"/>
  <c r="D132" i="1" s="1"/>
  <c r="C254" i="2"/>
  <c r="I253" i="2"/>
  <c r="H253" i="2"/>
  <c r="C255" i="2" l="1"/>
  <c r="I254" i="2"/>
  <c r="H254" i="2"/>
  <c r="H255" i="2" l="1"/>
  <c r="I255" i="2"/>
  <c r="C256" i="2"/>
  <c r="C133" i="1"/>
  <c r="D133" i="1" s="1"/>
  <c r="I256" i="2" l="1"/>
  <c r="C257" i="2"/>
  <c r="H256" i="2"/>
  <c r="C134" i="1" l="1"/>
  <c r="D134" i="1" s="1"/>
  <c r="C258" i="2"/>
  <c r="I257" i="2"/>
  <c r="H257" i="2"/>
  <c r="C259" i="2" l="1"/>
  <c r="I258" i="2"/>
  <c r="H258" i="2"/>
  <c r="C135" i="1" l="1"/>
  <c r="D135" i="1" s="1"/>
  <c r="I259" i="2"/>
  <c r="C260" i="2"/>
  <c r="H259" i="2"/>
  <c r="I260" i="2" l="1"/>
  <c r="H260" i="2"/>
  <c r="C261" i="2"/>
  <c r="I261" i="2" l="1"/>
  <c r="H261" i="2"/>
  <c r="C262" i="2"/>
  <c r="C136" i="1"/>
  <c r="D136" i="1" s="1"/>
  <c r="C263" i="2" l="1"/>
  <c r="I262" i="2"/>
  <c r="H262" i="2"/>
  <c r="H263" i="2" l="1"/>
  <c r="I263" i="2"/>
  <c r="C264" i="2"/>
  <c r="C137" i="1"/>
  <c r="D137" i="1" s="1"/>
  <c r="C265" i="2" l="1"/>
  <c r="I264" i="2"/>
  <c r="H264" i="2"/>
  <c r="I265" i="2" l="1"/>
  <c r="C266" i="2"/>
  <c r="H265" i="2"/>
  <c r="C138" i="1"/>
  <c r="D138" i="1" s="1"/>
  <c r="C267" i="2" l="1"/>
  <c r="H266" i="2"/>
  <c r="I266" i="2"/>
  <c r="C139" i="1" l="1"/>
  <c r="D139" i="1" s="1"/>
  <c r="C268" i="2"/>
  <c r="H267" i="2"/>
  <c r="I267" i="2"/>
  <c r="C269" i="2" l="1"/>
  <c r="H268" i="2"/>
  <c r="I268" i="2"/>
  <c r="C270" i="2" l="1"/>
  <c r="H269" i="2"/>
  <c r="C140" i="1"/>
  <c r="D140" i="1" s="1"/>
  <c r="I269" i="2"/>
  <c r="C271" i="2" l="1"/>
  <c r="I270" i="2"/>
  <c r="H270" i="2"/>
  <c r="C272" i="2" l="1"/>
  <c r="H271" i="2"/>
  <c r="C141" i="1"/>
  <c r="D141" i="1" s="1"/>
  <c r="I271" i="2"/>
  <c r="H272" i="2" l="1"/>
  <c r="I272" i="2"/>
  <c r="C273" i="2"/>
  <c r="C274" i="2" l="1"/>
  <c r="I273" i="2"/>
  <c r="C142" i="1"/>
  <c r="D142" i="1" s="1"/>
  <c r="H273" i="2"/>
  <c r="C275" i="2" l="1"/>
  <c r="I274" i="2"/>
  <c r="H274" i="2"/>
  <c r="C143" i="1" l="1"/>
  <c r="D143" i="1" s="1"/>
  <c r="C276" i="2"/>
  <c r="H275" i="2"/>
  <c r="I275" i="2"/>
  <c r="I276" i="2" l="1"/>
  <c r="H276" i="2"/>
  <c r="C277" i="2"/>
  <c r="C278" i="2" l="1"/>
  <c r="I277" i="2"/>
  <c r="C144" i="1"/>
  <c r="D144" i="1" s="1"/>
  <c r="H277" i="2"/>
  <c r="I278" i="2" l="1"/>
  <c r="H278" i="2"/>
  <c r="C279" i="2"/>
  <c r="I279" i="2" l="1"/>
  <c r="C280" i="2"/>
  <c r="C145" i="1"/>
  <c r="D145" i="1" s="1"/>
  <c r="H279" i="2"/>
  <c r="C281" i="2" l="1"/>
  <c r="H280" i="2"/>
  <c r="I280" i="2"/>
  <c r="H281" i="2" l="1"/>
  <c r="I281" i="2"/>
  <c r="C282" i="2"/>
  <c r="C146" i="1"/>
  <c r="D146" i="1" s="1"/>
  <c r="C283" i="2" l="1"/>
  <c r="I282" i="2"/>
  <c r="H282" i="2"/>
  <c r="H283" i="2" l="1"/>
  <c r="C284" i="2"/>
  <c r="C147" i="1"/>
  <c r="D147" i="1" s="1"/>
  <c r="I283" i="2"/>
  <c r="C285" i="2" l="1"/>
  <c r="H284" i="2"/>
  <c r="I284" i="2"/>
  <c r="C286" i="2" l="1"/>
  <c r="H285" i="2"/>
  <c r="I285" i="2"/>
  <c r="C148" i="1"/>
  <c r="D148" i="1" s="1"/>
  <c r="C287" i="2" l="1"/>
  <c r="I286" i="2"/>
  <c r="H286" i="2"/>
  <c r="C149" i="1" l="1"/>
  <c r="D149" i="1" s="1"/>
  <c r="C288" i="2"/>
  <c r="I287" i="2"/>
  <c r="H287" i="2"/>
  <c r="I288" i="2" l="1"/>
  <c r="C289" i="2"/>
  <c r="H288" i="2"/>
  <c r="H289" i="2" l="1"/>
  <c r="I289" i="2"/>
  <c r="C290" i="2"/>
  <c r="C150" i="1"/>
  <c r="D150" i="1" s="1"/>
  <c r="C291" i="2" l="1"/>
  <c r="H290" i="2"/>
  <c r="I290" i="2"/>
  <c r="H291" i="2" l="1"/>
  <c r="C151" i="1"/>
  <c r="D151" i="1" s="1"/>
  <c r="C292" i="2"/>
  <c r="I291" i="2"/>
  <c r="C293" i="2" l="1"/>
  <c r="I292" i="2"/>
  <c r="H292" i="2"/>
  <c r="H293" i="2" l="1"/>
  <c r="C294" i="2"/>
  <c r="C152" i="1"/>
  <c r="D152" i="1" s="1"/>
  <c r="I293" i="2"/>
  <c r="H294" i="2" l="1"/>
  <c r="I294" i="2"/>
  <c r="C295" i="2"/>
  <c r="C296" i="2" l="1"/>
  <c r="C153" i="1"/>
  <c r="D153" i="1" s="1"/>
  <c r="I295" i="2"/>
  <c r="H295" i="2"/>
  <c r="H296" i="2" l="1"/>
  <c r="C297" i="2"/>
  <c r="I296" i="2"/>
  <c r="C154" i="1" l="1"/>
  <c r="D154" i="1" s="1"/>
  <c r="C298" i="2"/>
  <c r="I297" i="2"/>
  <c r="H297" i="2"/>
  <c r="C299" i="2" l="1"/>
  <c r="H298" i="2"/>
  <c r="I298" i="2"/>
  <c r="H299" i="2" l="1"/>
  <c r="C300" i="2"/>
  <c r="C155" i="1"/>
  <c r="D155" i="1" s="1"/>
  <c r="I299" i="2"/>
  <c r="C301" i="2" l="1"/>
  <c r="I300" i="2"/>
  <c r="H300" i="2"/>
  <c r="C302" i="2" l="1"/>
  <c r="H301" i="2"/>
  <c r="I301" i="2"/>
  <c r="C156" i="1"/>
  <c r="D156" i="1" s="1"/>
  <c r="I302" i="2" l="1"/>
  <c r="C303" i="2"/>
  <c r="H302" i="2"/>
  <c r="C304" i="2" l="1"/>
  <c r="H303" i="2"/>
  <c r="I303" i="2"/>
  <c r="C157" i="1"/>
  <c r="D157" i="1" s="1"/>
  <c r="I304" i="2" l="1"/>
  <c r="C305" i="2"/>
  <c r="H304" i="2"/>
  <c r="C306" i="2" l="1"/>
  <c r="I305" i="2"/>
  <c r="C158" i="1"/>
  <c r="D158" i="1" s="1"/>
  <c r="H305" i="2"/>
  <c r="I306" i="2" l="1"/>
  <c r="H306" i="2"/>
  <c r="C307" i="2"/>
  <c r="C308" i="2" l="1"/>
  <c r="C159" i="1"/>
  <c r="D159" i="1" s="1"/>
  <c r="I307" i="2"/>
  <c r="H307" i="2"/>
  <c r="I308" i="2" l="1"/>
  <c r="H308" i="2"/>
  <c r="C309" i="2"/>
  <c r="I309" i="2" l="1"/>
  <c r="H309" i="2"/>
  <c r="C310" i="2"/>
  <c r="C160" i="1"/>
  <c r="D160" i="1" s="1"/>
  <c r="H310" i="2" l="1"/>
  <c r="C311" i="2"/>
  <c r="I310" i="2"/>
  <c r="C312" i="2" l="1"/>
  <c r="C161" i="1"/>
  <c r="D161" i="1" s="1"/>
  <c r="H311" i="2"/>
  <c r="I311" i="2"/>
  <c r="C313" i="2" l="1"/>
  <c r="I312" i="2"/>
  <c r="H312" i="2"/>
  <c r="C314" i="2" l="1"/>
  <c r="I313" i="2"/>
  <c r="H313" i="2"/>
  <c r="C162" i="1"/>
  <c r="D162" i="1" s="1"/>
  <c r="I314" i="2" l="1"/>
  <c r="C315" i="2"/>
  <c r="H314" i="2"/>
  <c r="I315" i="2" l="1"/>
  <c r="C316" i="2"/>
  <c r="H315" i="2"/>
  <c r="C163" i="1"/>
  <c r="D163" i="1" s="1"/>
  <c r="C317" i="2" l="1"/>
  <c r="I316" i="2"/>
  <c r="H316" i="2"/>
  <c r="C164" i="1" l="1"/>
  <c r="D164" i="1" s="1"/>
  <c r="C318" i="2"/>
  <c r="I317" i="2"/>
  <c r="H317" i="2"/>
  <c r="I318" i="2" l="1"/>
  <c r="C319" i="2"/>
  <c r="H318" i="2"/>
  <c r="H319" i="2" l="1"/>
  <c r="I319" i="2"/>
  <c r="C320" i="2"/>
  <c r="C165" i="1"/>
  <c r="D165" i="1" s="1"/>
  <c r="C321" i="2" l="1"/>
  <c r="H320" i="2"/>
  <c r="I320" i="2"/>
  <c r="H321" i="2" l="1"/>
  <c r="C322" i="2"/>
  <c r="I321" i="2"/>
  <c r="C166" i="1"/>
  <c r="D166" i="1" s="1"/>
  <c r="C323" i="2" l="1"/>
  <c r="H322" i="2"/>
  <c r="I322" i="2"/>
  <c r="I323" i="2" l="1"/>
  <c r="C324" i="2"/>
  <c r="C167" i="1"/>
  <c r="D167" i="1" s="1"/>
  <c r="H323" i="2"/>
  <c r="C325" i="2" l="1"/>
  <c r="H324" i="2"/>
  <c r="I324" i="2"/>
  <c r="H325" i="2" l="1"/>
  <c r="C168" i="1"/>
  <c r="D168" i="1" s="1"/>
  <c r="C326" i="2"/>
  <c r="I325" i="2"/>
  <c r="C327" i="2" l="1"/>
  <c r="H326" i="2"/>
  <c r="I326" i="2"/>
  <c r="C328" i="2" l="1"/>
  <c r="I327" i="2"/>
  <c r="C169" i="1"/>
  <c r="D169" i="1" s="1"/>
  <c r="H327" i="2"/>
  <c r="C329" i="2" l="1"/>
  <c r="I328" i="2"/>
  <c r="H328" i="2"/>
  <c r="H329" i="2" l="1"/>
  <c r="C330" i="2"/>
  <c r="I329" i="2"/>
  <c r="C170" i="1"/>
  <c r="D170" i="1" s="1"/>
  <c r="C331" i="2" l="1"/>
  <c r="H330" i="2"/>
  <c r="I330" i="2"/>
  <c r="H331" i="2" l="1"/>
  <c r="C332" i="2"/>
  <c r="I331" i="2"/>
  <c r="C171" i="1"/>
  <c r="D171" i="1" s="1"/>
  <c r="C333" i="2" l="1"/>
  <c r="H332" i="2"/>
  <c r="I332" i="2"/>
  <c r="C172" i="1" l="1"/>
  <c r="D172" i="1" s="1"/>
  <c r="C334" i="2"/>
  <c r="I333" i="2"/>
  <c r="H333" i="2"/>
  <c r="C335" i="2" l="1"/>
  <c r="I334" i="2"/>
  <c r="H334" i="2"/>
  <c r="I335" i="2" l="1"/>
  <c r="C173" i="1"/>
  <c r="D173" i="1" s="1"/>
  <c r="C336" i="2"/>
  <c r="H335" i="2"/>
  <c r="I336" i="2" l="1"/>
  <c r="H336" i="2"/>
  <c r="C337" i="2"/>
  <c r="I337" i="2" l="1"/>
  <c r="C338" i="2"/>
  <c r="H337" i="2"/>
  <c r="C174" i="1"/>
  <c r="D174" i="1" s="1"/>
  <c r="I338" i="2" l="1"/>
  <c r="H338" i="2"/>
  <c r="C339" i="2"/>
  <c r="I339" i="2" l="1"/>
  <c r="C340" i="2"/>
  <c r="C175" i="1"/>
  <c r="D175" i="1" s="1"/>
  <c r="H339" i="2"/>
  <c r="I340" i="2" l="1"/>
  <c r="H340" i="2"/>
  <c r="C341" i="2"/>
  <c r="H341" i="2" l="1"/>
  <c r="C176" i="1"/>
  <c r="D176" i="1" s="1"/>
  <c r="C342" i="2"/>
  <c r="I341" i="2"/>
  <c r="I342" i="2" l="1"/>
  <c r="C343" i="2"/>
  <c r="H342" i="2"/>
  <c r="C344" i="2" l="1"/>
  <c r="I343" i="2"/>
  <c r="H343" i="2"/>
  <c r="C177" i="1"/>
  <c r="D177" i="1" s="1"/>
  <c r="H344" i="2" l="1"/>
  <c r="I344" i="2"/>
  <c r="C345" i="2"/>
  <c r="H345" i="2" l="1"/>
  <c r="I345" i="2"/>
  <c r="C346" i="2"/>
  <c r="C178" i="1"/>
  <c r="D178" i="1" s="1"/>
  <c r="C347" i="2" l="1"/>
  <c r="I346" i="2"/>
  <c r="H346" i="2"/>
  <c r="I347" i="2" l="1"/>
  <c r="C348" i="2"/>
  <c r="H347" i="2"/>
  <c r="C179" i="1"/>
  <c r="D179" i="1" s="1"/>
  <c r="C349" i="2" l="1"/>
  <c r="H348" i="2"/>
  <c r="I348" i="2"/>
  <c r="C180" i="1" l="1"/>
  <c r="D180" i="1" s="1"/>
  <c r="C350" i="2"/>
  <c r="H349" i="2"/>
  <c r="I349" i="2"/>
  <c r="C351" i="2" l="1"/>
  <c r="I350" i="2"/>
  <c r="H350" i="2"/>
  <c r="C352" i="2" l="1"/>
  <c r="H351" i="2"/>
  <c r="I351" i="2"/>
  <c r="C181" i="1"/>
  <c r="D181" i="1" s="1"/>
  <c r="H352" i="2" l="1"/>
  <c r="I352" i="2"/>
  <c r="C353" i="2"/>
  <c r="H353" i="2" l="1"/>
  <c r="C354" i="2"/>
  <c r="I353" i="2"/>
  <c r="C182" i="1"/>
  <c r="D182" i="1" s="1"/>
  <c r="C355" i="2" l="1"/>
  <c r="H354" i="2"/>
  <c r="I354" i="2"/>
  <c r="I355" i="2" l="1"/>
  <c r="C356" i="2"/>
  <c r="C183" i="1"/>
  <c r="D183" i="1" s="1"/>
  <c r="H355" i="2"/>
  <c r="C357" i="2" l="1"/>
  <c r="I356" i="2"/>
  <c r="H356" i="2"/>
  <c r="C184" i="1" l="1"/>
  <c r="D184" i="1" s="1"/>
  <c r="C358" i="2"/>
  <c r="I357" i="2"/>
  <c r="H357" i="2"/>
  <c r="H358" i="2" l="1"/>
  <c r="C359" i="2"/>
  <c r="I358" i="2"/>
  <c r="H359" i="2" l="1"/>
  <c r="C185" i="1"/>
  <c r="D185" i="1" s="1"/>
  <c r="C360" i="2"/>
  <c r="I359" i="2"/>
  <c r="C361" i="2" l="1"/>
  <c r="I360" i="2"/>
  <c r="H360" i="2"/>
  <c r="H361" i="2" l="1"/>
  <c r="C362" i="2"/>
  <c r="I361" i="2"/>
  <c r="C186" i="1"/>
  <c r="D186" i="1" s="1"/>
  <c r="C363" i="2" l="1"/>
  <c r="H362" i="2"/>
  <c r="I362" i="2"/>
  <c r="C187" i="1" l="1"/>
  <c r="D187" i="1" s="1"/>
  <c r="C364" i="2"/>
  <c r="I363" i="2"/>
  <c r="H363" i="2"/>
  <c r="C365" i="2" l="1"/>
  <c r="H364" i="2"/>
  <c r="I364" i="2"/>
  <c r="I365" i="2" l="1"/>
  <c r="H365" i="2"/>
  <c r="C366" i="2"/>
  <c r="C188" i="1"/>
  <c r="D188" i="1" s="1"/>
  <c r="C367" i="2" l="1"/>
  <c r="H366" i="2"/>
  <c r="I366" i="2"/>
  <c r="H367" i="2" l="1"/>
  <c r="C189" i="1"/>
  <c r="D189" i="1" s="1"/>
  <c r="C368" i="2"/>
  <c r="I367" i="2"/>
  <c r="C369" i="2" l="1"/>
  <c r="H368" i="2"/>
  <c r="I368" i="2"/>
  <c r="C370" i="2" l="1"/>
  <c r="I369" i="2"/>
  <c r="C190" i="1"/>
  <c r="D190" i="1" s="1"/>
  <c r="H369" i="2"/>
  <c r="C371" i="2" l="1"/>
  <c r="I370" i="2"/>
  <c r="H370" i="2"/>
  <c r="C372" i="2" l="1"/>
  <c r="H371" i="2"/>
  <c r="I371" i="2"/>
  <c r="C191" i="1"/>
  <c r="D191" i="1" s="1"/>
  <c r="C373" i="2" l="1"/>
  <c r="H372" i="2"/>
  <c r="I372" i="2"/>
  <c r="I373" i="2" l="1"/>
  <c r="C374" i="2"/>
  <c r="C192" i="1"/>
  <c r="D192" i="1" s="1"/>
  <c r="H373" i="2"/>
  <c r="C375" i="2" l="1"/>
  <c r="H374" i="2"/>
  <c r="I374" i="2"/>
  <c r="C193" i="1" l="1"/>
  <c r="D193" i="1" s="1"/>
  <c r="C376" i="2"/>
  <c r="I375" i="2"/>
  <c r="H375" i="2"/>
  <c r="C377" i="2" l="1"/>
  <c r="I376" i="2"/>
  <c r="H376" i="2"/>
  <c r="H377" i="2" l="1"/>
  <c r="I377" i="2"/>
  <c r="C378" i="2"/>
  <c r="C194" i="1"/>
  <c r="D194" i="1" s="1"/>
  <c r="I378" i="2" l="1"/>
  <c r="H378" i="2"/>
  <c r="C379" i="2"/>
  <c r="C195" i="1" l="1"/>
  <c r="D195" i="1" s="1"/>
  <c r="C380" i="2"/>
  <c r="H379" i="2"/>
  <c r="I379" i="2"/>
  <c r="H380" i="2" l="1"/>
  <c r="C381" i="2"/>
  <c r="I380" i="2"/>
  <c r="C382" i="2" l="1"/>
  <c r="H381" i="2"/>
  <c r="C196" i="1"/>
  <c r="D196" i="1" s="1"/>
  <c r="I381" i="2"/>
  <c r="C383" i="2" l="1"/>
  <c r="I382" i="2"/>
  <c r="H382" i="2"/>
  <c r="C384" i="2" l="1"/>
  <c r="H383" i="2"/>
  <c r="C197" i="1"/>
  <c r="D197" i="1" s="1"/>
  <c r="I383" i="2"/>
  <c r="C385" i="2" l="1"/>
  <c r="H384" i="2"/>
  <c r="I384" i="2"/>
  <c r="C386" i="2" l="1"/>
  <c r="I385" i="2"/>
  <c r="H385" i="2"/>
  <c r="C198" i="1"/>
  <c r="D198" i="1" s="1"/>
  <c r="C387" i="2" l="1"/>
  <c r="H386" i="2"/>
  <c r="I386" i="2"/>
  <c r="C388" i="2" l="1"/>
  <c r="I387" i="2"/>
  <c r="H387" i="2"/>
  <c r="C199" i="1"/>
  <c r="D199" i="1" s="1"/>
  <c r="C389" i="2" l="1"/>
  <c r="I388" i="2"/>
  <c r="H388" i="2"/>
  <c r="I389" i="2" l="1"/>
  <c r="C390" i="2"/>
  <c r="H389" i="2"/>
  <c r="C200" i="1"/>
  <c r="D200" i="1" s="1"/>
  <c r="I390" i="2" l="1"/>
  <c r="H390" i="2"/>
  <c r="C391" i="2"/>
  <c r="C201" i="1" l="1"/>
  <c r="D201" i="1" s="1"/>
  <c r="C392" i="2"/>
  <c r="I391" i="2"/>
  <c r="H391" i="2"/>
  <c r="I392" i="2" l="1"/>
  <c r="C393" i="2"/>
  <c r="H392" i="2"/>
  <c r="H393" i="2" l="1"/>
  <c r="C202" i="1"/>
  <c r="D202" i="1" s="1"/>
  <c r="C394" i="2"/>
  <c r="I393" i="2"/>
  <c r="C395" i="2" l="1"/>
  <c r="H394" i="2"/>
  <c r="I394" i="2"/>
  <c r="C396" i="2" l="1"/>
  <c r="I395" i="2"/>
  <c r="H395" i="2"/>
  <c r="C203" i="1"/>
  <c r="D203" i="1" s="1"/>
  <c r="C397" i="2" l="1"/>
  <c r="I396" i="2"/>
  <c r="H396" i="2"/>
  <c r="C398" i="2" l="1"/>
  <c r="C204" i="1"/>
  <c r="D204" i="1" s="1"/>
  <c r="H397" i="2"/>
  <c r="I397" i="2"/>
  <c r="H398" i="2" l="1"/>
  <c r="I398" i="2"/>
  <c r="C399" i="2"/>
  <c r="C400" i="2" l="1"/>
  <c r="H399" i="2"/>
  <c r="C205" i="1"/>
  <c r="D205" i="1" s="1"/>
  <c r="I399" i="2"/>
  <c r="C401" i="2" l="1"/>
  <c r="H400" i="2"/>
  <c r="I400" i="2"/>
  <c r="C402" i="2" l="1"/>
  <c r="H401" i="2"/>
  <c r="C206" i="1"/>
  <c r="D206" i="1" s="1"/>
  <c r="I401" i="2"/>
  <c r="C403" i="2" l="1"/>
  <c r="I402" i="2"/>
  <c r="H402" i="2"/>
  <c r="C404" i="2" l="1"/>
  <c r="H403" i="2"/>
  <c r="I403" i="2"/>
  <c r="C207" i="1"/>
  <c r="D207" i="1" s="1"/>
  <c r="H404" i="2" l="1"/>
  <c r="I404" i="2"/>
  <c r="C405" i="2"/>
  <c r="H405" i="2" l="1"/>
  <c r="C406" i="2"/>
  <c r="C208" i="1"/>
  <c r="D208" i="1" s="1"/>
  <c r="I405" i="2"/>
  <c r="C407" i="2" l="1"/>
  <c r="I406" i="2"/>
  <c r="H406" i="2"/>
  <c r="C408" i="2" l="1"/>
  <c r="I407" i="2"/>
  <c r="C209" i="1"/>
  <c r="D209" i="1" s="1"/>
  <c r="H407" i="2"/>
  <c r="I408" i="2" l="1"/>
  <c r="H408" i="2"/>
  <c r="C409" i="2"/>
  <c r="H409" i="2" l="1"/>
  <c r="C210" i="1"/>
  <c r="D210" i="1" s="1"/>
  <c r="C410" i="2"/>
  <c r="I409" i="2"/>
  <c r="C411" i="2" l="1"/>
  <c r="H410" i="2"/>
  <c r="I410" i="2"/>
  <c r="C412" i="2" l="1"/>
  <c r="C211" i="1"/>
  <c r="D211" i="1" s="1"/>
  <c r="H411" i="2"/>
  <c r="I411" i="2"/>
  <c r="C413" i="2" l="1"/>
  <c r="H412" i="2"/>
  <c r="I412" i="2"/>
  <c r="C414" i="2" l="1"/>
  <c r="C212" i="1"/>
  <c r="D212" i="1" s="1"/>
  <c r="H413" i="2"/>
  <c r="I413" i="2"/>
  <c r="C415" i="2" l="1"/>
  <c r="I414" i="2"/>
  <c r="H414" i="2"/>
  <c r="C416" i="2" l="1"/>
  <c r="H415" i="2"/>
  <c r="C213" i="1"/>
  <c r="D213" i="1" s="1"/>
  <c r="I415" i="2"/>
  <c r="I416" i="2" l="1"/>
  <c r="C417" i="2"/>
  <c r="H416" i="2"/>
  <c r="C418" i="2" l="1"/>
  <c r="H417" i="2"/>
  <c r="I417" i="2"/>
  <c r="C214" i="1"/>
  <c r="D214" i="1" s="1"/>
  <c r="C419" i="2" l="1"/>
  <c r="I418" i="2"/>
  <c r="H418" i="2"/>
  <c r="C215" i="1" l="1"/>
  <c r="D215" i="1" s="1"/>
  <c r="C420" i="2"/>
  <c r="H419" i="2"/>
  <c r="I419" i="2"/>
  <c r="C421" i="2" l="1"/>
  <c r="H420" i="2"/>
  <c r="I420" i="2"/>
  <c r="C422" i="2" l="1"/>
  <c r="I421" i="2"/>
  <c r="C216" i="1"/>
  <c r="D216" i="1" s="1"/>
  <c r="H421" i="2"/>
  <c r="C423" i="2" l="1"/>
  <c r="I422" i="2"/>
  <c r="H422" i="2"/>
  <c r="I423" i="2" l="1"/>
  <c r="C424" i="2"/>
  <c r="H423" i="2"/>
  <c r="C217" i="1"/>
  <c r="D217" i="1" s="1"/>
  <c r="C425" i="2" l="1"/>
  <c r="H424" i="2"/>
  <c r="I424" i="2"/>
  <c r="C218" i="1" l="1"/>
  <c r="D218" i="1" s="1"/>
  <c r="C426" i="2"/>
  <c r="H425" i="2"/>
  <c r="I425" i="2"/>
  <c r="C427" i="2" l="1"/>
  <c r="I426" i="2"/>
  <c r="H426" i="2"/>
  <c r="C428" i="2" l="1"/>
  <c r="I427" i="2"/>
  <c r="C219" i="1"/>
  <c r="D219" i="1" s="1"/>
  <c r="H427" i="2"/>
  <c r="H428" i="2" l="1"/>
  <c r="C429" i="2"/>
  <c r="I428" i="2"/>
  <c r="H429" i="2" l="1"/>
  <c r="I429" i="2"/>
  <c r="C430" i="2"/>
  <c r="C220" i="1"/>
  <c r="D220" i="1" s="1"/>
  <c r="C431" i="2" l="1"/>
  <c r="H430" i="2"/>
  <c r="I430" i="2"/>
  <c r="I431" i="2" l="1"/>
  <c r="C432" i="2"/>
  <c r="H431" i="2"/>
  <c r="C221" i="1"/>
  <c r="D221" i="1" s="1"/>
  <c r="C433" i="2" l="1"/>
  <c r="I432" i="2"/>
  <c r="H432" i="2"/>
  <c r="C222" i="1" l="1"/>
  <c r="D222" i="1" s="1"/>
  <c r="C434" i="2"/>
  <c r="H433" i="2"/>
  <c r="I433" i="2"/>
  <c r="I434" i="2" l="1"/>
  <c r="H434" i="2"/>
  <c r="C435" i="2"/>
  <c r="C436" i="2" l="1"/>
  <c r="H435" i="2"/>
  <c r="C223" i="1"/>
  <c r="D223" i="1" s="1"/>
  <c r="I435" i="2"/>
  <c r="H436" i="2" l="1"/>
  <c r="C437" i="2"/>
  <c r="I436" i="2"/>
  <c r="C438" i="2" l="1"/>
  <c r="I437" i="2"/>
  <c r="H437" i="2"/>
  <c r="C224" i="1"/>
  <c r="D224" i="1" s="1"/>
  <c r="C439" i="2" l="1"/>
  <c r="I438" i="2"/>
  <c r="H438" i="2"/>
  <c r="C225" i="1" l="1"/>
  <c r="D225" i="1" s="1"/>
  <c r="C440" i="2"/>
  <c r="I439" i="2"/>
  <c r="H439" i="2"/>
  <c r="I440" i="2" l="1"/>
  <c r="C441" i="2"/>
  <c r="H440" i="2"/>
  <c r="H441" i="2" l="1"/>
  <c r="I441" i="2"/>
  <c r="C442" i="2"/>
  <c r="C226" i="1"/>
  <c r="D226" i="1" s="1"/>
  <c r="C443" i="2" l="1"/>
  <c r="H442" i="2"/>
  <c r="I442" i="2"/>
  <c r="C227" i="1" l="1"/>
  <c r="D227" i="1" s="1"/>
  <c r="C444" i="2"/>
  <c r="H443" i="2"/>
  <c r="I443" i="2"/>
  <c r="C445" i="2" l="1"/>
  <c r="H444" i="2"/>
  <c r="I444" i="2"/>
  <c r="C446" i="2" l="1"/>
  <c r="I445" i="2"/>
  <c r="C228" i="1"/>
  <c r="D228" i="1" s="1"/>
  <c r="H445" i="2"/>
  <c r="C447" i="2" l="1"/>
  <c r="I446" i="2"/>
  <c r="H446" i="2"/>
  <c r="H447" i="2" l="1"/>
  <c r="C448" i="2"/>
  <c r="I447" i="2"/>
  <c r="C229" i="1"/>
  <c r="D229" i="1" s="1"/>
  <c r="C449" i="2" l="1"/>
  <c r="H448" i="2"/>
  <c r="I448" i="2"/>
  <c r="H449" i="2" l="1"/>
  <c r="C450" i="2"/>
  <c r="C230" i="1"/>
  <c r="D230" i="1" s="1"/>
  <c r="I449" i="2"/>
  <c r="C451" i="2" l="1"/>
  <c r="I450" i="2"/>
  <c r="H450" i="2"/>
  <c r="C452" i="2" l="1"/>
  <c r="H451" i="2"/>
  <c r="C231" i="1"/>
  <c r="D231" i="1" s="1"/>
  <c r="I451" i="2"/>
  <c r="H452" i="2" l="1"/>
  <c r="I452" i="2"/>
  <c r="C453" i="2"/>
  <c r="C454" i="2" l="1"/>
  <c r="I453" i="2"/>
  <c r="C232" i="1"/>
  <c r="D232" i="1" s="1"/>
  <c r="H453" i="2"/>
  <c r="H454" i="2" l="1"/>
  <c r="C455" i="2"/>
  <c r="I454" i="2"/>
  <c r="C456" i="2" l="1"/>
  <c r="H455" i="2"/>
  <c r="C233" i="1"/>
  <c r="D233" i="1" s="1"/>
  <c r="I455" i="2"/>
  <c r="C457" i="2" l="1"/>
  <c r="H456" i="2"/>
  <c r="I456" i="2"/>
  <c r="C458" i="2" l="1"/>
  <c r="H457" i="2"/>
  <c r="C234" i="1"/>
  <c r="D234" i="1" s="1"/>
  <c r="I457" i="2"/>
  <c r="C459" i="2" l="1"/>
  <c r="I458" i="2"/>
  <c r="H458" i="2"/>
  <c r="C460" i="2" l="1"/>
  <c r="H459" i="2"/>
  <c r="I459" i="2"/>
  <c r="C235" i="1"/>
  <c r="D235" i="1" s="1"/>
  <c r="H460" i="2" l="1"/>
  <c r="I460" i="2"/>
  <c r="C461" i="2"/>
  <c r="C462" i="2" l="1"/>
  <c r="H461" i="2"/>
  <c r="C236" i="1"/>
  <c r="D236" i="1" s="1"/>
  <c r="I461" i="2"/>
  <c r="C463" i="2" l="1"/>
  <c r="H462" i="2"/>
  <c r="I462" i="2"/>
  <c r="C464" i="2" l="1"/>
  <c r="I463" i="2"/>
  <c r="C237" i="1"/>
  <c r="D237" i="1" s="1"/>
  <c r="H463" i="2"/>
  <c r="I464" i="2" l="1"/>
  <c r="C465" i="2"/>
  <c r="H464" i="2"/>
  <c r="C466" i="2" l="1"/>
  <c r="C238" i="1"/>
  <c r="D238" i="1" s="1"/>
  <c r="I465" i="2"/>
  <c r="H465" i="2"/>
  <c r="H466" i="2" l="1"/>
  <c r="C467" i="2"/>
  <c r="I466" i="2"/>
  <c r="H467" i="2" l="1"/>
  <c r="C468" i="2"/>
  <c r="C239" i="1"/>
  <c r="D239" i="1" s="1"/>
  <c r="I467" i="2"/>
  <c r="C469" i="2" l="1"/>
  <c r="I468" i="2"/>
  <c r="H468" i="2"/>
  <c r="C470" i="2" l="1"/>
  <c r="I469" i="2"/>
  <c r="H469" i="2"/>
  <c r="C240" i="1"/>
  <c r="D240" i="1" s="1"/>
  <c r="I470" i="2" l="1"/>
  <c r="C471" i="2"/>
  <c r="H470" i="2"/>
  <c r="I471" i="2" l="1"/>
  <c r="C472" i="2"/>
  <c r="C241" i="1"/>
  <c r="D241" i="1" s="1"/>
  <c r="H471" i="2"/>
  <c r="H472" i="2" l="1"/>
  <c r="I472" i="2"/>
  <c r="C473" i="2"/>
  <c r="C474" i="2" l="1"/>
  <c r="C242" i="1"/>
  <c r="D242" i="1" s="1"/>
  <c r="I473" i="2"/>
  <c r="H473" i="2"/>
  <c r="I474" i="2" l="1"/>
  <c r="C475" i="2"/>
  <c r="H474" i="2"/>
  <c r="C243" i="1" l="1"/>
  <c r="D243" i="1" s="1"/>
  <c r="H475" i="2"/>
  <c r="C476" i="2"/>
  <c r="I475" i="2"/>
  <c r="I476" i="2" l="1"/>
  <c r="C477" i="2"/>
  <c r="H476" i="2"/>
  <c r="C478" i="2" l="1"/>
  <c r="H477" i="2"/>
  <c r="C244" i="1"/>
  <c r="D244" i="1" s="1"/>
  <c r="I477" i="2"/>
  <c r="I478" i="2" l="1"/>
  <c r="C479" i="2"/>
  <c r="H478" i="2"/>
  <c r="C480" i="2" l="1"/>
  <c r="H479" i="2"/>
  <c r="C245" i="1"/>
  <c r="D245" i="1" s="1"/>
  <c r="I479" i="2"/>
  <c r="C481" i="2" l="1"/>
  <c r="H480" i="2"/>
  <c r="I480" i="2"/>
  <c r="H481" i="2" l="1"/>
  <c r="C482" i="2"/>
  <c r="I481" i="2"/>
  <c r="C246" i="1"/>
  <c r="D246" i="1" s="1"/>
  <c r="C483" i="2" l="1"/>
  <c r="H482" i="2"/>
  <c r="I482" i="2"/>
  <c r="H483" i="2" l="1"/>
  <c r="C484" i="2"/>
  <c r="C247" i="1"/>
  <c r="D247" i="1" s="1"/>
  <c r="I483" i="2"/>
  <c r="C485" i="2" l="1"/>
  <c r="I484" i="2"/>
  <c r="H484" i="2"/>
  <c r="C486" i="2" l="1"/>
  <c r="I485" i="2"/>
  <c r="C248" i="1"/>
  <c r="D248" i="1" s="1"/>
  <c r="H485" i="2"/>
  <c r="I486" i="2" l="1"/>
  <c r="C487" i="2"/>
  <c r="H486" i="2"/>
  <c r="I487" i="2" l="1"/>
  <c r="H487" i="2"/>
  <c r="C488" i="2"/>
  <c r="C249" i="1"/>
  <c r="D249" i="1" s="1"/>
  <c r="C489" i="2" l="1"/>
  <c r="H488" i="2"/>
  <c r="I488" i="2"/>
  <c r="C250" i="1" l="1"/>
  <c r="D250" i="1" s="1"/>
  <c r="C490" i="2"/>
  <c r="H489" i="2"/>
  <c r="I489" i="2"/>
  <c r="C491" i="2" l="1"/>
  <c r="I490" i="2"/>
  <c r="H490" i="2"/>
  <c r="C492" i="2" l="1"/>
  <c r="I491" i="2"/>
  <c r="C251" i="1"/>
  <c r="D251" i="1" s="1"/>
  <c r="H491" i="2"/>
  <c r="I492" i="2" l="1"/>
  <c r="C493" i="2"/>
  <c r="H492" i="2"/>
  <c r="C252" i="1" l="1"/>
  <c r="D252" i="1" s="1"/>
  <c r="C494" i="2"/>
  <c r="H493" i="2"/>
  <c r="I493" i="2"/>
  <c r="C495" i="2" l="1"/>
  <c r="H494" i="2"/>
  <c r="I494" i="2"/>
  <c r="C496" i="2" l="1"/>
  <c r="H495" i="2"/>
  <c r="C253" i="1"/>
  <c r="D253" i="1" s="1"/>
  <c r="I495" i="2"/>
  <c r="C497" i="2" l="1"/>
  <c r="I496" i="2"/>
  <c r="H496" i="2"/>
  <c r="I497" i="2" l="1"/>
  <c r="C498" i="2"/>
  <c r="C254" i="1"/>
  <c r="D254" i="1" s="1"/>
  <c r="H497" i="2"/>
  <c r="C499" i="2" l="1"/>
  <c r="I498" i="2"/>
  <c r="H498" i="2"/>
  <c r="H499" i="2" l="1"/>
  <c r="I499" i="2"/>
  <c r="C500" i="2"/>
  <c r="C255" i="1"/>
  <c r="D255" i="1" s="1"/>
  <c r="C501" i="2" l="1"/>
  <c r="H500" i="2"/>
  <c r="I500" i="2"/>
  <c r="C502" i="2" l="1"/>
  <c r="C256" i="1"/>
  <c r="D256" i="1" s="1"/>
  <c r="H501" i="2"/>
  <c r="I501" i="2"/>
  <c r="H502" i="2" l="1"/>
  <c r="C503" i="2"/>
  <c r="I502" i="2"/>
  <c r="C504" i="2" l="1"/>
  <c r="H503" i="2"/>
  <c r="I503" i="2"/>
  <c r="C257" i="1"/>
  <c r="D257" i="1" s="1"/>
  <c r="C505" i="2" l="1"/>
  <c r="I504" i="2"/>
  <c r="H504" i="2"/>
  <c r="I505" i="2" l="1"/>
  <c r="C258" i="1"/>
  <c r="D258" i="1" s="1"/>
  <c r="C506" i="2"/>
  <c r="H505" i="2"/>
  <c r="I506" i="2" l="1"/>
  <c r="H506" i="2"/>
  <c r="C507" i="2"/>
  <c r="I507" i="2" l="1"/>
  <c r="C259" i="1"/>
  <c r="D259" i="1" s="1"/>
  <c r="C508" i="2"/>
  <c r="H507" i="2"/>
  <c r="H508" i="2" l="1"/>
  <c r="C509" i="2"/>
  <c r="I508" i="2"/>
  <c r="C510" i="2" l="1"/>
  <c r="C260" i="1"/>
  <c r="D260" i="1" s="1"/>
  <c r="I509" i="2"/>
  <c r="H509" i="2"/>
  <c r="I510" i="2" l="1"/>
  <c r="C511" i="2"/>
  <c r="H510" i="2"/>
  <c r="H511" i="2" l="1"/>
  <c r="I511" i="2"/>
  <c r="C512" i="2"/>
  <c r="C261" i="1"/>
  <c r="D261" i="1" s="1"/>
  <c r="H512" i="2" l="1"/>
  <c r="C513" i="2"/>
  <c r="I512" i="2"/>
  <c r="I513" i="2" l="1"/>
  <c r="C514" i="2"/>
  <c r="C262" i="1"/>
  <c r="D262" i="1" s="1"/>
  <c r="H513" i="2"/>
  <c r="C515" i="2" l="1"/>
  <c r="H514" i="2"/>
  <c r="I514" i="2"/>
  <c r="H515" i="2" l="1"/>
  <c r="I515" i="2"/>
  <c r="C516" i="2"/>
  <c r="C263" i="1"/>
  <c r="D263" i="1" s="1"/>
  <c r="C517" i="2" l="1"/>
  <c r="I516" i="2"/>
  <c r="H516" i="2"/>
  <c r="C264" i="1" l="1"/>
  <c r="D264" i="1" s="1"/>
  <c r="C518" i="2"/>
  <c r="I517" i="2"/>
  <c r="H517" i="2"/>
  <c r="I518" i="2" l="1"/>
  <c r="C519" i="2"/>
  <c r="H518" i="2"/>
  <c r="H519" i="2" l="1"/>
  <c r="C520" i="2"/>
  <c r="C265" i="1"/>
  <c r="D265" i="1" s="1"/>
  <c r="I519" i="2"/>
  <c r="C521" i="2" l="1"/>
  <c r="I520" i="2"/>
  <c r="H520" i="2"/>
  <c r="C522" i="2" l="1"/>
  <c r="H521" i="2"/>
  <c r="I521" i="2"/>
  <c r="C266" i="1"/>
  <c r="D266" i="1" s="1"/>
  <c r="C523" i="2" l="1"/>
  <c r="I522" i="2"/>
  <c r="H522" i="2"/>
  <c r="C524" i="2" l="1"/>
  <c r="H523" i="2"/>
  <c r="I523" i="2"/>
  <c r="C267" i="1"/>
  <c r="D267" i="1" s="1"/>
  <c r="C525" i="2" l="1"/>
  <c r="H524" i="2"/>
  <c r="I524" i="2"/>
  <c r="C526" i="2" l="1"/>
  <c r="C268" i="1"/>
  <c r="D268" i="1" s="1"/>
  <c r="H525" i="2"/>
  <c r="I525" i="2"/>
  <c r="C527" i="2" l="1"/>
  <c r="H526" i="2"/>
  <c r="I526" i="2"/>
  <c r="H527" i="2" l="1"/>
  <c r="C528" i="2"/>
  <c r="C269" i="1"/>
  <c r="D269" i="1" s="1"/>
  <c r="I527" i="2"/>
  <c r="H528" i="2" l="1"/>
  <c r="C529" i="2"/>
  <c r="I528" i="2"/>
  <c r="C530" i="2" l="1"/>
  <c r="C270" i="1"/>
  <c r="D270" i="1" s="1"/>
  <c r="H529" i="2"/>
  <c r="I529" i="2"/>
  <c r="I530" i="2" l="1"/>
  <c r="C531" i="2"/>
  <c r="H530" i="2"/>
  <c r="I531" i="2" l="1"/>
  <c r="C532" i="2"/>
  <c r="C271" i="1"/>
  <c r="D271" i="1" s="1"/>
  <c r="H531" i="2"/>
  <c r="H532" i="2" l="1"/>
  <c r="C533" i="2"/>
  <c r="I532" i="2"/>
  <c r="I533" i="2" l="1"/>
  <c r="C534" i="2"/>
  <c r="C272" i="1"/>
  <c r="D272" i="1" s="1"/>
  <c r="H533" i="2"/>
  <c r="I534" i="2" l="1"/>
  <c r="C535" i="2"/>
  <c r="H534" i="2"/>
  <c r="C536" i="2" l="1"/>
  <c r="C273" i="1"/>
  <c r="D273" i="1" s="1"/>
  <c r="H535" i="2"/>
  <c r="I535" i="2"/>
  <c r="H536" i="2" l="1"/>
  <c r="C537" i="2"/>
  <c r="I536" i="2"/>
  <c r="C538" i="2" l="1"/>
  <c r="H537" i="2"/>
  <c r="I537" i="2"/>
  <c r="C274" i="1"/>
  <c r="D274" i="1" s="1"/>
  <c r="C539" i="2" l="1"/>
  <c r="I538" i="2"/>
  <c r="H538" i="2"/>
  <c r="I539" i="2" l="1"/>
  <c r="C540" i="2"/>
  <c r="C275" i="1"/>
  <c r="D275" i="1" s="1"/>
  <c r="H539" i="2"/>
  <c r="H540" i="2" l="1"/>
  <c r="I540" i="2"/>
  <c r="C541" i="2"/>
  <c r="H541" i="2" l="1"/>
  <c r="C542" i="2"/>
  <c r="C276" i="1"/>
  <c r="D276" i="1" s="1"/>
  <c r="I541" i="2"/>
  <c r="C543" i="2" l="1"/>
  <c r="H542" i="2"/>
  <c r="I542" i="2"/>
  <c r="C544" i="2" l="1"/>
  <c r="C277" i="1"/>
  <c r="D277" i="1" s="1"/>
  <c r="H543" i="2"/>
  <c r="I543" i="2"/>
  <c r="C545" i="2" l="1"/>
  <c r="H544" i="2"/>
  <c r="I544" i="2"/>
  <c r="C278" i="1" l="1"/>
  <c r="D278" i="1" s="1"/>
  <c r="C546" i="2"/>
  <c r="H545" i="2"/>
  <c r="I545" i="2"/>
  <c r="C547" i="2" l="1"/>
  <c r="H546" i="2"/>
  <c r="I546" i="2"/>
  <c r="C548" i="2" l="1"/>
  <c r="H547" i="2"/>
  <c r="C279" i="1"/>
  <c r="D279" i="1" s="1"/>
  <c r="I547" i="2"/>
  <c r="C549" i="2" l="1"/>
  <c r="I548" i="2"/>
  <c r="H548" i="2"/>
  <c r="C550" i="2" l="1"/>
  <c r="I549" i="2"/>
  <c r="C280" i="1"/>
  <c r="D280" i="1" s="1"/>
  <c r="H549" i="2"/>
  <c r="H550" i="2" l="1"/>
  <c r="C551" i="2"/>
  <c r="I550" i="2"/>
  <c r="C281" i="1" l="1"/>
  <c r="D281" i="1" s="1"/>
  <c r="C552" i="2"/>
  <c r="H551" i="2"/>
  <c r="I551" i="2"/>
  <c r="C553" i="2" l="1"/>
  <c r="I552" i="2"/>
  <c r="H552" i="2"/>
  <c r="H553" i="2" l="1"/>
  <c r="I553" i="2"/>
  <c r="C282" i="1"/>
  <c r="D282" i="1" s="1"/>
  <c r="C554" i="2"/>
  <c r="H554" i="2" l="1"/>
  <c r="C555" i="2"/>
  <c r="I554" i="2"/>
  <c r="C283" i="1" l="1"/>
  <c r="D283" i="1" s="1"/>
  <c r="I555" i="2"/>
  <c r="H555" i="2"/>
  <c r="C556" i="2"/>
  <c r="C557" i="2" l="1"/>
  <c r="H556" i="2"/>
  <c r="I556" i="2"/>
  <c r="C558" i="2" l="1"/>
  <c r="H557" i="2"/>
  <c r="I557" i="2"/>
  <c r="C284" i="1"/>
  <c r="D284" i="1" s="1"/>
  <c r="H558" i="2" l="1"/>
  <c r="C559" i="2"/>
  <c r="I558" i="2"/>
  <c r="I559" i="2" l="1"/>
  <c r="C560" i="2"/>
  <c r="C285" i="1"/>
  <c r="D285" i="1" s="1"/>
  <c r="H559" i="2"/>
  <c r="C561" i="2" l="1"/>
  <c r="I560" i="2"/>
  <c r="H560" i="2"/>
  <c r="C286" i="1" l="1"/>
  <c r="D286" i="1" s="1"/>
  <c r="C562" i="2"/>
  <c r="H561" i="2"/>
  <c r="I561" i="2"/>
  <c r="H562" i="2" l="1"/>
  <c r="C563" i="2"/>
  <c r="I562" i="2"/>
  <c r="C564" i="2" l="1"/>
  <c r="H563" i="2"/>
  <c r="I563" i="2"/>
  <c r="C287" i="1"/>
  <c r="D287" i="1" s="1"/>
  <c r="C565" i="2" l="1"/>
  <c r="I564" i="2"/>
  <c r="H564" i="2"/>
  <c r="C566" i="2" l="1"/>
  <c r="C288" i="1"/>
  <c r="D288" i="1" s="1"/>
  <c r="H565" i="2"/>
  <c r="I565" i="2"/>
  <c r="I566" i="2" l="1"/>
  <c r="C567" i="2"/>
  <c r="H566" i="2"/>
  <c r="C568" i="2" l="1"/>
  <c r="C289" i="1"/>
  <c r="D289" i="1" s="1"/>
  <c r="H567" i="2"/>
  <c r="I567" i="2"/>
  <c r="C569" i="2" l="1"/>
  <c r="I568" i="2"/>
  <c r="H568" i="2"/>
  <c r="I569" i="2" l="1"/>
  <c r="C570" i="2"/>
  <c r="C290" i="1"/>
  <c r="D290" i="1" s="1"/>
  <c r="H569" i="2"/>
  <c r="H570" i="2" l="1"/>
  <c r="C571" i="2"/>
  <c r="I570" i="2"/>
  <c r="C572" i="2" l="1"/>
  <c r="H571" i="2"/>
  <c r="I571" i="2"/>
  <c r="C291" i="1"/>
  <c r="D291" i="1" s="1"/>
  <c r="C573" i="2" l="1"/>
  <c r="I572" i="2"/>
  <c r="H572" i="2"/>
  <c r="H573" i="2" l="1"/>
  <c r="C574" i="2"/>
  <c r="I573" i="2"/>
  <c r="C292" i="1"/>
  <c r="D292" i="1" s="1"/>
  <c r="C575" i="2" l="1"/>
  <c r="I574" i="2"/>
  <c r="H574" i="2"/>
  <c r="C576" i="2" l="1"/>
  <c r="H575" i="2"/>
  <c r="I575" i="2"/>
  <c r="C293" i="1"/>
  <c r="D293" i="1" s="1"/>
  <c r="H576" i="2" l="1"/>
  <c r="C577" i="2"/>
  <c r="I576" i="2"/>
  <c r="I577" i="2" l="1"/>
  <c r="C578" i="2"/>
  <c r="C294" i="1"/>
  <c r="D294" i="1" s="1"/>
  <c r="H577" i="2"/>
  <c r="C579" i="2" l="1"/>
  <c r="I578" i="2"/>
  <c r="H578" i="2"/>
  <c r="I579" i="2" l="1"/>
  <c r="C580" i="2"/>
  <c r="H579" i="2"/>
  <c r="C295" i="1"/>
  <c r="D295" i="1" s="1"/>
  <c r="I580" i="2" l="1"/>
  <c r="C581" i="2"/>
  <c r="H580" i="2"/>
  <c r="H581" i="2" l="1"/>
  <c r="C582" i="2"/>
  <c r="I581" i="2"/>
  <c r="C296" i="1"/>
  <c r="D296" i="1" s="1"/>
  <c r="H582" i="2" l="1"/>
  <c r="C583" i="2"/>
  <c r="I582" i="2"/>
  <c r="C584" i="2" l="1"/>
  <c r="H583" i="2"/>
  <c r="C297" i="1"/>
  <c r="D297" i="1" s="1"/>
  <c r="I583" i="2"/>
  <c r="C585" i="2" l="1"/>
  <c r="I584" i="2"/>
  <c r="H584" i="2"/>
  <c r="C298" i="1" l="1"/>
  <c r="D298" i="1" s="1"/>
  <c r="C586" i="2"/>
  <c r="H585" i="2"/>
  <c r="I585" i="2"/>
  <c r="H586" i="2" l="1"/>
  <c r="C587" i="2"/>
  <c r="I586" i="2"/>
  <c r="C299" i="1" l="1"/>
  <c r="D299" i="1" s="1"/>
  <c r="C588" i="2"/>
  <c r="H587" i="2"/>
  <c r="I587" i="2"/>
  <c r="C589" i="2" l="1"/>
  <c r="H588" i="2"/>
  <c r="I588" i="2"/>
  <c r="H589" i="2" l="1"/>
  <c r="I589" i="2"/>
  <c r="C590" i="2"/>
  <c r="C300" i="1"/>
  <c r="D300" i="1" s="1"/>
  <c r="I590" i="2" l="1"/>
  <c r="C591" i="2"/>
  <c r="H590" i="2"/>
  <c r="H591" i="2" l="1"/>
  <c r="C592" i="2"/>
  <c r="C301" i="1"/>
  <c r="D301" i="1" s="1"/>
  <c r="I591" i="2"/>
  <c r="I592" i="2" l="1"/>
  <c r="C593" i="2"/>
  <c r="H592" i="2"/>
  <c r="C594" i="2" l="1"/>
  <c r="H593" i="2"/>
  <c r="I593" i="2"/>
  <c r="C302" i="1"/>
  <c r="D302" i="1" s="1"/>
  <c r="I594" i="2" l="1"/>
  <c r="C595" i="2"/>
  <c r="H594" i="2"/>
  <c r="C596" i="2" l="1"/>
  <c r="H595" i="2"/>
  <c r="I595" i="2"/>
  <c r="C303" i="1"/>
  <c r="D303" i="1" s="1"/>
  <c r="H596" i="2" l="1"/>
  <c r="C597" i="2"/>
  <c r="I596" i="2"/>
  <c r="C598" i="2" l="1"/>
  <c r="C304" i="1"/>
  <c r="D304" i="1" s="1"/>
  <c r="I597" i="2"/>
  <c r="H597" i="2"/>
  <c r="C599" i="2" l="1"/>
  <c r="I598" i="2"/>
  <c r="H598" i="2"/>
  <c r="I599" i="2" l="1"/>
  <c r="C600" i="2"/>
  <c r="H599" i="2"/>
  <c r="C305" i="1"/>
  <c r="D305" i="1" s="1"/>
  <c r="H600" i="2" l="1"/>
  <c r="C601" i="2"/>
  <c r="I600" i="2"/>
  <c r="I601" i="2" l="1"/>
  <c r="C602" i="2"/>
  <c r="H601" i="2"/>
  <c r="C306" i="1"/>
  <c r="D306" i="1" s="1"/>
  <c r="C603" i="2" l="1"/>
  <c r="I602" i="2"/>
  <c r="H602" i="2"/>
  <c r="C604" i="2" l="1"/>
  <c r="I603" i="2"/>
  <c r="C307" i="1"/>
  <c r="D307" i="1" s="1"/>
  <c r="H603" i="2"/>
  <c r="I604" i="2" l="1"/>
  <c r="H604" i="2"/>
  <c r="C605" i="2"/>
  <c r="H605" i="2" l="1"/>
  <c r="C606" i="2"/>
  <c r="C308" i="1"/>
  <c r="D308" i="1" s="1"/>
  <c r="I605" i="2"/>
  <c r="C607" i="2" l="1"/>
  <c r="H606" i="2"/>
  <c r="I606" i="2"/>
  <c r="C608" i="2" l="1"/>
  <c r="H607" i="2"/>
  <c r="I607" i="2"/>
  <c r="C309" i="1"/>
  <c r="D309" i="1" s="1"/>
  <c r="C609" i="2" l="1"/>
  <c r="I608" i="2"/>
  <c r="H608" i="2"/>
  <c r="I609" i="2" l="1"/>
  <c r="C610" i="2"/>
  <c r="C310" i="1"/>
  <c r="D310" i="1" s="1"/>
  <c r="H609" i="2"/>
  <c r="C611" i="2" l="1"/>
  <c r="I610" i="2"/>
  <c r="H610" i="2"/>
  <c r="C311" i="1" l="1"/>
  <c r="D311" i="1" s="1"/>
  <c r="C612" i="2"/>
  <c r="H611" i="2"/>
  <c r="I611" i="2"/>
  <c r="I612" i="2" l="1"/>
  <c r="H612" i="2"/>
  <c r="C613" i="2"/>
  <c r="C614" i="2" l="1"/>
  <c r="C312" i="1"/>
  <c r="D312" i="1" s="1"/>
  <c r="H613" i="2"/>
  <c r="I613" i="2"/>
  <c r="C615" i="2" l="1"/>
  <c r="H614" i="2"/>
  <c r="I614" i="2"/>
  <c r="C616" i="2" l="1"/>
  <c r="C313" i="1"/>
  <c r="D313" i="1" s="1"/>
  <c r="H615" i="2"/>
  <c r="I615" i="2"/>
  <c r="C617" i="2" l="1"/>
  <c r="I616" i="2"/>
  <c r="H616" i="2"/>
  <c r="C314" i="1" l="1"/>
  <c r="D314" i="1" s="1"/>
  <c r="C618" i="2"/>
  <c r="H617" i="2"/>
  <c r="I617" i="2"/>
  <c r="C619" i="2" l="1"/>
  <c r="H618" i="2"/>
  <c r="I618" i="2"/>
  <c r="C620" i="2" l="1"/>
  <c r="H619" i="2"/>
  <c r="C315" i="1"/>
  <c r="D315" i="1" s="1"/>
  <c r="I619" i="2"/>
  <c r="C621" i="2" l="1"/>
  <c r="I620" i="2"/>
  <c r="H620" i="2"/>
  <c r="C622" i="2" l="1"/>
  <c r="H621" i="2"/>
  <c r="C316" i="1"/>
  <c r="D316" i="1" s="1"/>
  <c r="I621" i="2"/>
  <c r="I622" i="2" l="1"/>
  <c r="H622" i="2"/>
  <c r="C623" i="2"/>
  <c r="I623" i="2" l="1"/>
  <c r="C624" i="2"/>
  <c r="C317" i="1"/>
  <c r="D317" i="1" s="1"/>
  <c r="H623" i="2"/>
  <c r="H624" i="2" l="1"/>
  <c r="I624" i="2"/>
  <c r="C625" i="2"/>
  <c r="H625" i="2" l="1"/>
  <c r="I625" i="2"/>
  <c r="C626" i="2"/>
  <c r="C318" i="1"/>
  <c r="D318" i="1" s="1"/>
  <c r="C627" i="2" l="1"/>
  <c r="H626" i="2"/>
  <c r="I626" i="2"/>
  <c r="C319" i="1" l="1"/>
  <c r="D319" i="1" s="1"/>
  <c r="C628" i="2"/>
  <c r="H627" i="2"/>
  <c r="I627" i="2"/>
  <c r="C629" i="2" l="1"/>
  <c r="H628" i="2"/>
  <c r="I628" i="2"/>
  <c r="C630" i="2" l="1"/>
  <c r="H629" i="2"/>
  <c r="C320" i="1"/>
  <c r="D320" i="1" s="1"/>
  <c r="I629" i="2"/>
  <c r="C631" i="2" l="1"/>
  <c r="I630" i="2"/>
  <c r="H630" i="2"/>
  <c r="C632" i="2" l="1"/>
  <c r="C321" i="1"/>
  <c r="D321" i="1" s="1"/>
  <c r="H631" i="2"/>
  <c r="I631" i="2"/>
  <c r="I632" i="2" l="1"/>
  <c r="H632" i="2"/>
  <c r="C633" i="2"/>
  <c r="C322" i="1" l="1"/>
  <c r="D322" i="1" s="1"/>
  <c r="C634" i="2"/>
  <c r="H633" i="2"/>
  <c r="I633" i="2"/>
  <c r="I634" i="2" l="1"/>
  <c r="C635" i="2"/>
  <c r="H634" i="2"/>
  <c r="I635" i="2" l="1"/>
  <c r="C636" i="2"/>
  <c r="C323" i="1"/>
  <c r="D323" i="1" s="1"/>
  <c r="H635" i="2"/>
  <c r="C637" i="2" l="1"/>
  <c r="H636" i="2"/>
  <c r="I636" i="2"/>
  <c r="H637" i="2" l="1"/>
  <c r="C638" i="2"/>
  <c r="I637" i="2"/>
  <c r="C324" i="1"/>
  <c r="D324" i="1" s="1"/>
  <c r="C639" i="2" l="1"/>
  <c r="I638" i="2"/>
  <c r="H638" i="2"/>
  <c r="I639" i="2" l="1"/>
  <c r="C640" i="2"/>
  <c r="H639" i="2"/>
  <c r="C325" i="1"/>
  <c r="D325" i="1" s="1"/>
  <c r="C641" i="2" l="1"/>
  <c r="H640" i="2"/>
  <c r="I640" i="2"/>
  <c r="H641" i="2" l="1"/>
  <c r="I641" i="2"/>
  <c r="C642" i="2"/>
  <c r="C326" i="1"/>
  <c r="D326" i="1" s="1"/>
  <c r="C643" i="2" l="1"/>
  <c r="I642" i="2"/>
  <c r="H642" i="2"/>
  <c r="I643" i="2" l="1"/>
  <c r="C644" i="2"/>
  <c r="H643" i="2"/>
  <c r="C327" i="1"/>
  <c r="D327" i="1" s="1"/>
  <c r="C645" i="2" l="1"/>
  <c r="H644" i="2"/>
  <c r="I644" i="2"/>
  <c r="H645" i="2" l="1"/>
  <c r="I645" i="2"/>
  <c r="C646" i="2"/>
  <c r="C328" i="1"/>
  <c r="D328" i="1" s="1"/>
  <c r="C647" i="2" l="1"/>
  <c r="H646" i="2"/>
  <c r="I646" i="2"/>
  <c r="C648" i="2" l="1"/>
  <c r="I647" i="2"/>
  <c r="C329" i="1"/>
  <c r="D329" i="1" s="1"/>
  <c r="H647" i="2"/>
  <c r="C649" i="2" l="1"/>
  <c r="I648" i="2"/>
  <c r="H648" i="2"/>
  <c r="C330" i="1" l="1"/>
  <c r="D330" i="1" s="1"/>
  <c r="C650" i="2"/>
  <c r="I649" i="2"/>
  <c r="H649" i="2"/>
  <c r="H650" i="2" l="1"/>
  <c r="C651" i="2"/>
  <c r="I650" i="2"/>
  <c r="H651" i="2" l="1"/>
  <c r="C652" i="2"/>
  <c r="I651" i="2"/>
  <c r="C331" i="1"/>
  <c r="D331" i="1" s="1"/>
  <c r="C653" i="2" l="1"/>
  <c r="I652" i="2"/>
  <c r="H652" i="2"/>
  <c r="H653" i="2" l="1"/>
  <c r="C654" i="2"/>
  <c r="I653" i="2"/>
  <c r="C332" i="1"/>
  <c r="D332" i="1" s="1"/>
  <c r="C655" i="2" l="1"/>
  <c r="I654" i="2"/>
  <c r="H654" i="2"/>
  <c r="H655" i="2" l="1"/>
  <c r="C656" i="2"/>
  <c r="I655" i="2"/>
  <c r="C333" i="1"/>
  <c r="D333" i="1" s="1"/>
  <c r="C657" i="2" l="1"/>
  <c r="I656" i="2"/>
  <c r="H656" i="2"/>
  <c r="C658" i="2" l="1"/>
  <c r="H657" i="2"/>
  <c r="C334" i="1"/>
  <c r="D334" i="1" s="1"/>
  <c r="I657" i="2"/>
  <c r="C659" i="2" l="1"/>
  <c r="H658" i="2"/>
  <c r="I658" i="2"/>
  <c r="C660" i="2" l="1"/>
  <c r="I659" i="2"/>
  <c r="C335" i="1"/>
  <c r="D335" i="1" s="1"/>
  <c r="H659" i="2"/>
  <c r="C661" i="2" l="1"/>
  <c r="H660" i="2"/>
  <c r="I660" i="2"/>
  <c r="H661" i="2" l="1"/>
  <c r="C662" i="2"/>
  <c r="C336" i="1"/>
  <c r="D336" i="1" s="1"/>
  <c r="I661" i="2"/>
  <c r="C663" i="2" l="1"/>
  <c r="I662" i="2"/>
  <c r="H662" i="2"/>
  <c r="C664" i="2" l="1"/>
  <c r="I663" i="2"/>
  <c r="H663" i="2"/>
  <c r="C337" i="1"/>
  <c r="D337" i="1" s="1"/>
  <c r="I664" i="2" l="1"/>
  <c r="H664" i="2"/>
  <c r="C665" i="2"/>
  <c r="I665" i="2" l="1"/>
  <c r="C666" i="2"/>
  <c r="C338" i="1"/>
  <c r="D338" i="1" s="1"/>
  <c r="H665" i="2"/>
  <c r="H666" i="2" l="1"/>
  <c r="I666" i="2"/>
  <c r="C667" i="2"/>
  <c r="H667" i="2" l="1"/>
  <c r="I667" i="2"/>
  <c r="C668" i="2"/>
  <c r="C339" i="1"/>
  <c r="D339" i="1" s="1"/>
  <c r="C669" i="2" l="1"/>
  <c r="H668" i="2"/>
  <c r="I668" i="2"/>
  <c r="C340" i="1" l="1"/>
  <c r="D340" i="1" s="1"/>
  <c r="C670" i="2"/>
  <c r="I669" i="2"/>
  <c r="H669" i="2"/>
  <c r="C671" i="2" l="1"/>
  <c r="I670" i="2"/>
  <c r="H670" i="2"/>
  <c r="C672" i="2" l="1"/>
  <c r="H671" i="2"/>
  <c r="C341" i="1"/>
  <c r="D341" i="1" s="1"/>
  <c r="I671" i="2"/>
  <c r="I672" i="2" l="1"/>
  <c r="H672" i="2"/>
  <c r="C673" i="2"/>
  <c r="I673" i="2" l="1"/>
  <c r="C674" i="2"/>
  <c r="C342" i="1"/>
  <c r="D342" i="1" s="1"/>
  <c r="H673" i="2"/>
  <c r="C675" i="2" l="1"/>
  <c r="H674" i="2"/>
  <c r="I674" i="2"/>
  <c r="C343" i="1" l="1"/>
  <c r="D343" i="1" s="1"/>
  <c r="C676" i="2"/>
  <c r="H675" i="2"/>
  <c r="I675" i="2"/>
  <c r="C677" i="2" l="1"/>
  <c r="I676" i="2"/>
  <c r="H676" i="2"/>
  <c r="I677" i="2" l="1"/>
  <c r="C678" i="2"/>
  <c r="C344" i="1"/>
  <c r="D344" i="1" s="1"/>
  <c r="H677" i="2"/>
  <c r="C679" i="2" l="1"/>
  <c r="H678" i="2"/>
  <c r="I678" i="2"/>
  <c r="H679" i="2" l="1"/>
  <c r="C345" i="1"/>
  <c r="D345" i="1" s="1"/>
  <c r="C680" i="2"/>
  <c r="I679" i="2"/>
  <c r="C681" i="2" l="1"/>
  <c r="I680" i="2"/>
  <c r="H680" i="2"/>
  <c r="C682" i="2" l="1"/>
  <c r="H681" i="2"/>
  <c r="C346" i="1"/>
  <c r="D346" i="1" s="1"/>
  <c r="I681" i="2"/>
  <c r="H682" i="2" l="1"/>
  <c r="I682" i="2"/>
  <c r="C683" i="2"/>
  <c r="C684" i="2" l="1"/>
  <c r="H683" i="2"/>
  <c r="C347" i="1"/>
  <c r="D347" i="1" s="1"/>
  <c r="I683" i="2"/>
  <c r="C685" i="2" l="1"/>
  <c r="H684" i="2"/>
  <c r="I684" i="2"/>
  <c r="C686" i="2" l="1"/>
  <c r="H685" i="2"/>
  <c r="I685" i="2"/>
  <c r="C687" i="2" l="1"/>
  <c r="H686" i="2"/>
  <c r="I686" i="2"/>
  <c r="C688" i="2" l="1"/>
  <c r="I687" i="2"/>
  <c r="H687" i="2"/>
  <c r="C689" i="2" l="1"/>
  <c r="I688" i="2"/>
  <c r="H688" i="2"/>
  <c r="C690" i="2" l="1"/>
  <c r="H689" i="2"/>
  <c r="I689" i="2"/>
  <c r="C691" i="2" l="1"/>
  <c r="I690" i="2"/>
  <c r="H690" i="2"/>
  <c r="C692" i="2" l="1"/>
  <c r="H691" i="2"/>
  <c r="I691" i="2"/>
  <c r="C693" i="2" l="1"/>
  <c r="I692" i="2"/>
  <c r="H692" i="2"/>
  <c r="C694" i="2" l="1"/>
  <c r="I693" i="2"/>
  <c r="H693" i="2"/>
  <c r="C695" i="2" l="1"/>
  <c r="H694" i="2"/>
  <c r="I694" i="2"/>
  <c r="C696" i="2" l="1"/>
  <c r="H695" i="2"/>
  <c r="I695" i="2"/>
  <c r="C697" i="2" l="1"/>
  <c r="I696" i="2"/>
  <c r="H696" i="2"/>
  <c r="C698" i="2" l="1"/>
  <c r="I697" i="2"/>
  <c r="H697" i="2"/>
  <c r="C699" i="2" l="1"/>
  <c r="H698" i="2"/>
  <c r="I698" i="2"/>
  <c r="I699" i="2" l="1"/>
  <c r="C700" i="2"/>
  <c r="H699" i="2"/>
  <c r="C701" i="2" l="1"/>
  <c r="I700" i="2"/>
  <c r="H700" i="2"/>
  <c r="C702" i="2" l="1"/>
  <c r="I701" i="2"/>
  <c r="H701" i="2"/>
  <c r="C703" i="2" l="1"/>
  <c r="I702" i="2"/>
  <c r="H702" i="2"/>
  <c r="C704" i="2" l="1"/>
  <c r="I703" i="2"/>
  <c r="H703" i="2"/>
  <c r="C705" i="2" l="1"/>
  <c r="I704" i="2"/>
  <c r="H704" i="2"/>
  <c r="C706" i="2" l="1"/>
  <c r="I705" i="2"/>
  <c r="H705" i="2"/>
  <c r="C707" i="2" l="1"/>
  <c r="I706" i="2"/>
  <c r="H706" i="2"/>
  <c r="C708" i="2" l="1"/>
  <c r="H707" i="2"/>
  <c r="I707" i="2"/>
  <c r="C709" i="2" l="1"/>
  <c r="I708" i="2"/>
  <c r="H708" i="2"/>
  <c r="C710" i="2" l="1"/>
  <c r="I709" i="2"/>
  <c r="H709" i="2"/>
  <c r="C711" i="2" l="1"/>
  <c r="I710" i="2"/>
  <c r="H710" i="2"/>
  <c r="C712" i="2" l="1"/>
  <c r="I711" i="2"/>
  <c r="H711" i="2"/>
  <c r="C713" i="2" l="1"/>
  <c r="H712" i="2"/>
  <c r="I712" i="2"/>
  <c r="C714" i="2" l="1"/>
  <c r="H713" i="2"/>
  <c r="I713" i="2"/>
  <c r="C715" i="2" l="1"/>
  <c r="H714" i="2"/>
  <c r="I714" i="2"/>
  <c r="C716" i="2" l="1"/>
  <c r="H715" i="2"/>
  <c r="I715" i="2"/>
  <c r="C717" i="2" l="1"/>
  <c r="H716" i="2"/>
  <c r="I716" i="2"/>
  <c r="C718" i="2" l="1"/>
  <c r="H717" i="2"/>
  <c r="I717" i="2"/>
  <c r="C719" i="2" l="1"/>
  <c r="I718" i="2"/>
  <c r="H718" i="2"/>
  <c r="C720" i="2" l="1"/>
  <c r="I719" i="2"/>
  <c r="H719" i="2"/>
  <c r="I720" i="2" l="1"/>
  <c r="C721" i="2"/>
  <c r="H720" i="2"/>
  <c r="H721" i="2" l="1"/>
  <c r="I721" i="2"/>
  <c r="C722" i="2"/>
  <c r="I722" i="2" l="1"/>
  <c r="C723" i="2"/>
  <c r="H722" i="2"/>
  <c r="C724" i="2" l="1"/>
  <c r="H723" i="2"/>
  <c r="I723" i="2"/>
  <c r="I724" i="2" l="1"/>
  <c r="C725" i="2"/>
  <c r="H724" i="2"/>
  <c r="C726" i="2" l="1"/>
  <c r="I725" i="2"/>
  <c r="H725" i="2"/>
  <c r="I726" i="2" l="1"/>
  <c r="H726" i="2"/>
  <c r="C727" i="2"/>
  <c r="I727" i="2" l="1"/>
  <c r="C728" i="2"/>
  <c r="H727" i="2"/>
  <c r="H728" i="2" l="1"/>
  <c r="C729" i="2"/>
  <c r="I728" i="2"/>
  <c r="I729" i="2" l="1"/>
  <c r="H729" i="2"/>
  <c r="C730" i="2"/>
  <c r="C731" i="2" l="1"/>
  <c r="I730" i="2"/>
  <c r="H730" i="2"/>
  <c r="I731" i="2" l="1"/>
  <c r="C732" i="2"/>
  <c r="H731" i="2"/>
  <c r="H732" i="2" l="1"/>
  <c r="C733" i="2"/>
  <c r="I732" i="2"/>
  <c r="H733" i="2" l="1"/>
  <c r="C734" i="2"/>
  <c r="I733" i="2"/>
  <c r="C735" i="2" l="1"/>
  <c r="I734" i="2"/>
  <c r="H734" i="2"/>
  <c r="C736" i="2" l="1"/>
  <c r="H735" i="2"/>
  <c r="I735" i="2"/>
  <c r="I736" i="2" l="1"/>
  <c r="H736" i="2"/>
  <c r="C737" i="2"/>
  <c r="C738" i="2" l="1"/>
  <c r="I737" i="2"/>
  <c r="H737" i="2"/>
  <c r="H738" i="2" l="1"/>
  <c r="C739" i="2"/>
  <c r="I738" i="2"/>
  <c r="I739" i="2" l="1"/>
  <c r="C740" i="2"/>
  <c r="H739" i="2"/>
  <c r="C741" i="2" l="1"/>
  <c r="I740" i="2"/>
  <c r="H740" i="2"/>
  <c r="H741" i="2" l="1"/>
  <c r="C742" i="2"/>
  <c r="I741" i="2"/>
  <c r="I742" i="2" l="1"/>
  <c r="C743" i="2"/>
  <c r="H742" i="2"/>
  <c r="C744" i="2" l="1"/>
  <c r="I743" i="2"/>
  <c r="H743" i="2"/>
  <c r="H744" i="2" l="1"/>
  <c r="C745" i="2"/>
  <c r="I744" i="2"/>
  <c r="H745" i="2" l="1"/>
  <c r="C746" i="2"/>
  <c r="I745" i="2"/>
  <c r="C747" i="2" l="1"/>
  <c r="I746" i="2"/>
  <c r="H746" i="2"/>
  <c r="C748" i="2" l="1"/>
  <c r="H747" i="2"/>
  <c r="I747" i="2"/>
  <c r="H748" i="2" l="1"/>
  <c r="C749" i="2"/>
  <c r="I748" i="2"/>
  <c r="C750" i="2" l="1"/>
  <c r="H749" i="2"/>
  <c r="I749" i="2"/>
  <c r="C751" i="2" l="1"/>
  <c r="H750" i="2"/>
  <c r="I750" i="2"/>
  <c r="C752" i="2" l="1"/>
  <c r="H751" i="2"/>
  <c r="I751" i="2"/>
  <c r="C753" i="2" l="1"/>
  <c r="I752" i="2"/>
  <c r="H752" i="2"/>
  <c r="C754" i="2" l="1"/>
  <c r="H753" i="2"/>
  <c r="I753" i="2"/>
  <c r="I754" i="2" l="1"/>
  <c r="C755" i="2"/>
  <c r="H754" i="2"/>
  <c r="C756" i="2" l="1"/>
  <c r="I755" i="2"/>
  <c r="H755" i="2"/>
  <c r="H756" i="2" l="1"/>
  <c r="I756" i="2"/>
  <c r="C757" i="2"/>
  <c r="H757" i="2" l="1"/>
  <c r="C758" i="2"/>
  <c r="I757" i="2"/>
  <c r="C759" i="2" l="1"/>
  <c r="H758" i="2"/>
  <c r="I758" i="2"/>
  <c r="C760" i="2" l="1"/>
  <c r="H759" i="2"/>
  <c r="I759" i="2"/>
  <c r="C761" i="2" l="1"/>
  <c r="H760" i="2"/>
  <c r="I760" i="2"/>
  <c r="C762" i="2" l="1"/>
  <c r="I761" i="2"/>
  <c r="H761" i="2"/>
  <c r="C763" i="2" l="1"/>
  <c r="H762" i="2"/>
  <c r="I762" i="2"/>
  <c r="H763" i="2" l="1"/>
  <c r="C764" i="2"/>
  <c r="I763" i="2"/>
  <c r="C765" i="2" l="1"/>
  <c r="H764" i="2"/>
  <c r="I764" i="2"/>
  <c r="C766" i="2" l="1"/>
  <c r="H765" i="2"/>
  <c r="I765" i="2"/>
  <c r="C767" i="2" l="1"/>
  <c r="I766" i="2"/>
  <c r="H766" i="2"/>
  <c r="C768" i="2" l="1"/>
  <c r="H767" i="2"/>
  <c r="I767" i="2"/>
  <c r="H768" i="2" l="1"/>
  <c r="C769" i="2"/>
  <c r="I768" i="2"/>
  <c r="C770" i="2" l="1"/>
  <c r="H769" i="2"/>
  <c r="I769" i="2"/>
  <c r="C771" i="2" l="1"/>
  <c r="I770" i="2"/>
  <c r="H770" i="2"/>
  <c r="C772" i="2" l="1"/>
  <c r="H771" i="2"/>
  <c r="I771" i="2"/>
  <c r="H772" i="2" l="1"/>
  <c r="C773" i="2"/>
  <c r="I772" i="2"/>
  <c r="C774" i="2" l="1"/>
  <c r="I773" i="2"/>
  <c r="H773" i="2"/>
  <c r="C775" i="2" l="1"/>
  <c r="I774" i="2"/>
  <c r="H774" i="2"/>
  <c r="I775" i="2" l="1"/>
  <c r="C776" i="2"/>
  <c r="H775" i="2"/>
  <c r="H776" i="2" l="1"/>
  <c r="C777" i="2"/>
  <c r="I776" i="2"/>
  <c r="H777" i="2" l="1"/>
  <c r="I777" i="2"/>
  <c r="C778" i="2"/>
  <c r="C779" i="2" l="1"/>
  <c r="H778" i="2"/>
  <c r="I778" i="2"/>
  <c r="C780" i="2" l="1"/>
  <c r="H779" i="2"/>
  <c r="I779" i="2"/>
  <c r="C781" i="2" l="1"/>
  <c r="I780" i="2"/>
  <c r="H780" i="2"/>
  <c r="C782" i="2" l="1"/>
  <c r="I781" i="2"/>
  <c r="H781" i="2"/>
  <c r="I782" i="2" l="1"/>
  <c r="C783" i="2"/>
  <c r="H782" i="2"/>
  <c r="H783" i="2" l="1"/>
  <c r="C784" i="2"/>
  <c r="I783" i="2"/>
  <c r="I784" i="2" l="1"/>
  <c r="C785" i="2"/>
  <c r="H784" i="2"/>
  <c r="C786" i="2" l="1"/>
  <c r="H785" i="2"/>
  <c r="I785" i="2"/>
  <c r="I786" i="2" l="1"/>
  <c r="C787" i="2"/>
  <c r="H786" i="2"/>
  <c r="C788" i="2" l="1"/>
  <c r="H787" i="2"/>
  <c r="I787" i="2"/>
  <c r="I788" i="2" l="1"/>
  <c r="C789" i="2"/>
  <c r="H788" i="2"/>
  <c r="C790" i="2" l="1"/>
  <c r="I789" i="2"/>
  <c r="H789" i="2"/>
  <c r="H790" i="2" l="1"/>
  <c r="I790" i="2"/>
  <c r="C791" i="2"/>
  <c r="I791" i="2" l="1"/>
  <c r="C792" i="2"/>
  <c r="H791" i="2"/>
  <c r="C793" i="2" l="1"/>
  <c r="I792" i="2"/>
  <c r="H792" i="2"/>
  <c r="H793" i="2" l="1"/>
  <c r="I793" i="2"/>
  <c r="C794" i="2"/>
  <c r="H794" i="2" l="1"/>
  <c r="C795" i="2"/>
  <c r="I794" i="2"/>
  <c r="C796" i="2" l="1"/>
  <c r="H795" i="2"/>
  <c r="I795" i="2"/>
  <c r="C797" i="2" l="1"/>
  <c r="H796" i="2"/>
  <c r="I796" i="2"/>
  <c r="C798" i="2" l="1"/>
  <c r="I797" i="2"/>
  <c r="H797" i="2"/>
  <c r="C799" i="2" l="1"/>
  <c r="I798" i="2"/>
  <c r="H798" i="2"/>
  <c r="I799" i="2" l="1"/>
  <c r="C800" i="2"/>
  <c r="H799" i="2"/>
  <c r="H800" i="2" l="1"/>
  <c r="C801" i="2"/>
  <c r="I800" i="2"/>
  <c r="I801" i="2" l="1"/>
  <c r="C802" i="2"/>
  <c r="H801" i="2"/>
  <c r="C803" i="2" l="1"/>
  <c r="H802" i="2"/>
  <c r="I802" i="2"/>
  <c r="H803" i="2" l="1"/>
  <c r="C804" i="2"/>
  <c r="I803" i="2"/>
  <c r="C805" i="2" l="1"/>
  <c r="H804" i="2"/>
  <c r="I804" i="2"/>
  <c r="C806" i="2" l="1"/>
  <c r="H805" i="2"/>
  <c r="I805" i="2"/>
  <c r="C807" i="2" l="1"/>
  <c r="I806" i="2"/>
  <c r="H806" i="2"/>
  <c r="C808" i="2" l="1"/>
  <c r="I807" i="2"/>
  <c r="H807" i="2"/>
  <c r="I808" i="2" l="1"/>
  <c r="C809" i="2"/>
  <c r="H808" i="2"/>
  <c r="I809" i="2" l="1"/>
  <c r="C810" i="2"/>
  <c r="H809" i="2"/>
  <c r="I810" i="2" l="1"/>
  <c r="C811" i="2"/>
  <c r="H810" i="2"/>
  <c r="H811" i="2" l="1"/>
  <c r="C812" i="2"/>
  <c r="I811" i="2"/>
  <c r="H812" i="2" l="1"/>
  <c r="C813" i="2"/>
  <c r="I812" i="2"/>
  <c r="C814" i="2" l="1"/>
  <c r="I813" i="2"/>
  <c r="H813" i="2"/>
  <c r="C815" i="2" l="1"/>
  <c r="H814" i="2"/>
  <c r="I814" i="2"/>
  <c r="H815" i="2" l="1"/>
  <c r="C816" i="2"/>
  <c r="I815" i="2"/>
  <c r="C817" i="2" l="1"/>
  <c r="I816" i="2"/>
  <c r="H816" i="2"/>
  <c r="C818" i="2" l="1"/>
  <c r="H817" i="2"/>
  <c r="I817" i="2"/>
  <c r="I818" i="2" l="1"/>
  <c r="C819" i="2"/>
  <c r="H818" i="2"/>
  <c r="C820" i="2" l="1"/>
  <c r="I819" i="2"/>
  <c r="H819" i="2"/>
  <c r="H820" i="2" l="1"/>
  <c r="I820" i="2"/>
  <c r="C821" i="2"/>
  <c r="H821" i="2" l="1"/>
  <c r="C822" i="2"/>
  <c r="I821" i="2"/>
  <c r="C823" i="2" l="1"/>
  <c r="H822" i="2"/>
  <c r="I822" i="2"/>
  <c r="C824" i="2" l="1"/>
  <c r="H823" i="2"/>
  <c r="I823" i="2"/>
  <c r="C825" i="2" l="1"/>
  <c r="I824" i="2"/>
  <c r="H824" i="2"/>
  <c r="C826" i="2" l="1"/>
  <c r="I825" i="2"/>
  <c r="H825" i="2"/>
  <c r="H826" i="2" l="1"/>
  <c r="C827" i="2"/>
  <c r="I826" i="2"/>
  <c r="H827" i="2" l="1"/>
  <c r="C828" i="2"/>
  <c r="I827" i="2"/>
  <c r="C829" i="2" l="1"/>
  <c r="I828" i="2"/>
  <c r="H828" i="2"/>
  <c r="C830" i="2" l="1"/>
  <c r="I829" i="2"/>
  <c r="H829" i="2"/>
  <c r="I830" i="2" l="1"/>
  <c r="C831" i="2"/>
  <c r="H830" i="2"/>
  <c r="H831" i="2" l="1"/>
  <c r="C832" i="2"/>
  <c r="I831" i="2"/>
  <c r="H832" i="2" l="1"/>
  <c r="C833" i="2"/>
  <c r="I832" i="2"/>
  <c r="C834" i="2" l="1"/>
  <c r="I833" i="2"/>
  <c r="H833" i="2"/>
  <c r="C835" i="2" l="1"/>
  <c r="H834" i="2"/>
  <c r="I834" i="2"/>
  <c r="I835" i="2" l="1"/>
  <c r="C836" i="2"/>
  <c r="H835" i="2"/>
  <c r="C837" i="2" l="1"/>
  <c r="H836" i="2"/>
  <c r="I836" i="2"/>
  <c r="H837" i="2" l="1"/>
  <c r="I837" i="2"/>
  <c r="C838" i="2"/>
  <c r="C839" i="2" l="1"/>
  <c r="I838" i="2"/>
  <c r="H838" i="2"/>
  <c r="C840" i="2" l="1"/>
  <c r="I839" i="2"/>
  <c r="H839" i="2"/>
  <c r="H840" i="2" l="1"/>
  <c r="C841" i="2"/>
  <c r="I840" i="2"/>
  <c r="H841" i="2" l="1"/>
  <c r="C842" i="2"/>
  <c r="I841" i="2"/>
  <c r="C843" i="2" l="1"/>
  <c r="H842" i="2"/>
  <c r="I842" i="2"/>
  <c r="C844" i="2" l="1"/>
  <c r="H843" i="2"/>
  <c r="I843" i="2"/>
  <c r="C845" i="2" l="1"/>
  <c r="H844" i="2"/>
  <c r="I844" i="2"/>
  <c r="C846" i="2" l="1"/>
  <c r="I845" i="2"/>
  <c r="H845" i="2"/>
  <c r="C847" i="2" l="1"/>
  <c r="I846" i="2"/>
  <c r="H846" i="2"/>
  <c r="I847" i="2" l="1"/>
  <c r="C848" i="2"/>
  <c r="H847" i="2"/>
  <c r="H848" i="2" l="1"/>
  <c r="C849" i="2"/>
  <c r="I848" i="2"/>
  <c r="H849" i="2" l="1"/>
  <c r="C850" i="2"/>
  <c r="I849" i="2"/>
  <c r="C851" i="2" l="1"/>
  <c r="H850" i="2"/>
  <c r="I850" i="2"/>
  <c r="C852" i="2" l="1"/>
  <c r="H851" i="2"/>
  <c r="I851" i="2"/>
  <c r="C853" i="2" l="1"/>
  <c r="H852" i="2"/>
  <c r="I852" i="2"/>
  <c r="C854" i="2" l="1"/>
  <c r="H853" i="2"/>
  <c r="I853" i="2"/>
  <c r="C855" i="2" l="1"/>
  <c r="I854" i="2"/>
  <c r="H854" i="2"/>
  <c r="C856" i="2" l="1"/>
  <c r="I855" i="2"/>
  <c r="H855" i="2"/>
  <c r="I856" i="2" l="1"/>
  <c r="C857" i="2"/>
  <c r="H856" i="2"/>
  <c r="H857" i="2" l="1"/>
  <c r="C858" i="2"/>
  <c r="I857" i="2"/>
  <c r="H858" i="2" l="1"/>
  <c r="C859" i="2"/>
  <c r="I858" i="2"/>
  <c r="C860" i="2" l="1"/>
  <c r="H859" i="2"/>
  <c r="I859" i="2"/>
  <c r="C861" i="2" l="1"/>
  <c r="H860" i="2"/>
  <c r="I860" i="2"/>
  <c r="C862" i="2" l="1"/>
  <c r="H861" i="2"/>
  <c r="I861" i="2"/>
  <c r="C863" i="2" l="1"/>
  <c r="H862" i="2"/>
  <c r="I862" i="2"/>
  <c r="C864" i="2" l="1"/>
  <c r="I863" i="2"/>
  <c r="H863" i="2"/>
  <c r="C865" i="2" l="1"/>
  <c r="I864" i="2"/>
  <c r="H864" i="2"/>
  <c r="H865" i="2" l="1"/>
  <c r="I865" i="2"/>
  <c r="C866" i="2"/>
  <c r="H866" i="2" l="1"/>
  <c r="I866" i="2"/>
  <c r="C867" i="2"/>
  <c r="C868" i="2" l="1"/>
  <c r="H867" i="2"/>
  <c r="I867" i="2"/>
  <c r="C869" i="2" l="1"/>
  <c r="H868" i="2"/>
  <c r="I868" i="2"/>
  <c r="C870" i="2" l="1"/>
  <c r="H869" i="2"/>
  <c r="I869" i="2"/>
  <c r="C871" i="2" l="1"/>
  <c r="H870" i="2"/>
  <c r="I870" i="2"/>
  <c r="C872" i="2" l="1"/>
  <c r="H871" i="2"/>
  <c r="I871" i="2"/>
  <c r="C873" i="2" l="1"/>
  <c r="I872" i="2"/>
  <c r="H872" i="2"/>
  <c r="C874" i="2" l="1"/>
  <c r="I873" i="2"/>
  <c r="H873" i="2"/>
  <c r="C875" i="2" l="1"/>
  <c r="H874" i="2"/>
  <c r="I874" i="2"/>
  <c r="C876" i="2" l="1"/>
  <c r="I875" i="2"/>
  <c r="H875" i="2"/>
  <c r="C877" i="2" l="1"/>
  <c r="H876" i="2"/>
  <c r="I876" i="2"/>
  <c r="C878" i="2" l="1"/>
  <c r="I877" i="2"/>
  <c r="H877" i="2"/>
  <c r="C879" i="2" l="1"/>
  <c r="H878" i="2"/>
  <c r="I878" i="2"/>
  <c r="C880" i="2" l="1"/>
  <c r="I879" i="2"/>
  <c r="H879" i="2"/>
  <c r="C881" i="2" l="1"/>
  <c r="H880" i="2"/>
  <c r="I880" i="2"/>
  <c r="C882" i="2" l="1"/>
  <c r="H881" i="2"/>
  <c r="I881" i="2"/>
  <c r="C883" i="2" l="1"/>
  <c r="H882" i="2"/>
  <c r="I882" i="2"/>
  <c r="C884" i="2" l="1"/>
  <c r="I883" i="2"/>
  <c r="H883" i="2"/>
  <c r="C885" i="2" l="1"/>
  <c r="H884" i="2"/>
  <c r="I884" i="2"/>
  <c r="C886" i="2" l="1"/>
  <c r="I885" i="2"/>
  <c r="H885" i="2"/>
  <c r="C887" i="2" l="1"/>
  <c r="H886" i="2"/>
  <c r="I886" i="2"/>
  <c r="C888" i="2" l="1"/>
  <c r="I887" i="2"/>
  <c r="H887" i="2"/>
  <c r="C889" i="2" l="1"/>
  <c r="H888" i="2"/>
  <c r="I888" i="2"/>
  <c r="C890" i="2" l="1"/>
  <c r="H889" i="2"/>
  <c r="I889" i="2"/>
  <c r="C891" i="2" l="1"/>
  <c r="H890" i="2"/>
  <c r="I890" i="2"/>
  <c r="C892" i="2" l="1"/>
  <c r="I891" i="2"/>
  <c r="H891" i="2"/>
  <c r="C893" i="2" l="1"/>
  <c r="I892" i="2"/>
  <c r="H892" i="2"/>
  <c r="C894" i="2" l="1"/>
  <c r="I893" i="2"/>
  <c r="H893" i="2"/>
  <c r="C895" i="2" l="1"/>
  <c r="I894" i="2"/>
  <c r="H894" i="2"/>
  <c r="C896" i="2" l="1"/>
  <c r="I895" i="2"/>
  <c r="H895" i="2"/>
  <c r="C897" i="2" l="1"/>
  <c r="H896" i="2"/>
  <c r="I896" i="2"/>
  <c r="C898" i="2" l="1"/>
  <c r="I897" i="2"/>
  <c r="H897" i="2"/>
  <c r="C899" i="2" l="1"/>
  <c r="I898" i="2"/>
  <c r="H898" i="2"/>
  <c r="C900" i="2" l="1"/>
  <c r="I899" i="2"/>
  <c r="H899" i="2"/>
  <c r="C901" i="2" l="1"/>
  <c r="H900" i="2"/>
  <c r="I900" i="2"/>
  <c r="C902" i="2" l="1"/>
  <c r="H901" i="2"/>
  <c r="I901" i="2"/>
  <c r="C903" i="2" l="1"/>
  <c r="H902" i="2"/>
  <c r="I902" i="2"/>
  <c r="C904" i="2" l="1"/>
  <c r="H903" i="2"/>
  <c r="I903" i="2"/>
  <c r="C905" i="2" l="1"/>
  <c r="H904" i="2"/>
  <c r="I904" i="2"/>
  <c r="C906" i="2" l="1"/>
  <c r="H905" i="2"/>
  <c r="I905" i="2"/>
  <c r="C907" i="2" l="1"/>
  <c r="H906" i="2"/>
  <c r="I906" i="2"/>
  <c r="C908" i="2" l="1"/>
  <c r="I907" i="2"/>
  <c r="H907" i="2"/>
  <c r="C909" i="2" l="1"/>
  <c r="H908" i="2"/>
  <c r="I908" i="2"/>
  <c r="H909" i="2" l="1"/>
  <c r="C910" i="2"/>
  <c r="I909" i="2"/>
  <c r="I910" i="2" l="1"/>
  <c r="C911" i="2"/>
  <c r="H910" i="2"/>
  <c r="C912" i="2" l="1"/>
  <c r="H911" i="2"/>
  <c r="I911" i="2"/>
  <c r="H912" i="2" l="1"/>
  <c r="I912" i="2"/>
  <c r="C913" i="2"/>
  <c r="C914" i="2" l="1"/>
  <c r="I913" i="2"/>
  <c r="H913" i="2"/>
  <c r="C915" i="2" l="1"/>
  <c r="I914" i="2"/>
  <c r="H914" i="2"/>
  <c r="H915" i="2" l="1"/>
  <c r="C916" i="2"/>
  <c r="I915" i="2"/>
  <c r="H916" i="2" l="1"/>
  <c r="C917" i="2"/>
  <c r="I916" i="2"/>
  <c r="C918" i="2" l="1"/>
  <c r="H917" i="2"/>
  <c r="I917" i="2"/>
  <c r="C919" i="2" l="1"/>
  <c r="I918" i="2"/>
  <c r="H918" i="2"/>
  <c r="C920" i="2" l="1"/>
  <c r="I919" i="2"/>
  <c r="H919" i="2"/>
  <c r="I920" i="2" l="1"/>
  <c r="C921" i="2"/>
  <c r="H920" i="2"/>
  <c r="I921" i="2" l="1"/>
  <c r="C922" i="2"/>
  <c r="H921" i="2"/>
  <c r="I922" i="2" l="1"/>
  <c r="C923" i="2"/>
  <c r="H922" i="2"/>
  <c r="H923" i="2" l="1"/>
  <c r="C924" i="2"/>
  <c r="I923" i="2"/>
  <c r="H924" i="2" l="1"/>
  <c r="C925" i="2"/>
  <c r="I924" i="2"/>
  <c r="C926" i="2" l="1"/>
  <c r="H925" i="2"/>
  <c r="I925" i="2"/>
  <c r="C927" i="2" l="1"/>
  <c r="H926" i="2"/>
  <c r="I926" i="2"/>
  <c r="C928" i="2" l="1"/>
  <c r="I927" i="2"/>
  <c r="H927" i="2"/>
  <c r="C929" i="2" l="1"/>
  <c r="I928" i="2"/>
  <c r="H928" i="2"/>
  <c r="I929" i="2" l="1"/>
  <c r="C930" i="2"/>
  <c r="H929" i="2"/>
  <c r="I930" i="2" l="1"/>
  <c r="C931" i="2"/>
  <c r="H930" i="2"/>
  <c r="I931" i="2" l="1"/>
  <c r="C932" i="2"/>
  <c r="H931" i="2"/>
  <c r="H932" i="2" l="1"/>
  <c r="I932" i="2"/>
  <c r="C933" i="2"/>
  <c r="I933" i="2" l="1"/>
  <c r="C934" i="2"/>
  <c r="H933" i="2"/>
  <c r="C935" i="2" l="1"/>
  <c r="H934" i="2"/>
  <c r="I934" i="2"/>
  <c r="H43" i="3"/>
  <c r="H19" i="3"/>
  <c r="H36" i="3"/>
  <c r="H55" i="3"/>
  <c r="H47" i="3"/>
  <c r="H54" i="3"/>
  <c r="I935" i="2" l="1"/>
  <c r="C936" i="2"/>
  <c r="H935" i="2"/>
  <c r="C937" i="2" l="1"/>
  <c r="H936" i="2"/>
  <c r="I936" i="2"/>
  <c r="I937" i="2" l="1"/>
  <c r="C938" i="2"/>
  <c r="H937" i="2"/>
  <c r="C939" i="2" l="1"/>
  <c r="I938" i="2"/>
  <c r="H938" i="2"/>
  <c r="H939" i="2" l="1"/>
  <c r="C940" i="2"/>
  <c r="I939" i="2"/>
  <c r="C941" i="2" l="1"/>
  <c r="H940" i="2"/>
  <c r="I940" i="2"/>
  <c r="C942" i="2" l="1"/>
  <c r="H941" i="2"/>
  <c r="I941" i="2"/>
  <c r="C943" i="2" l="1"/>
  <c r="I942" i="2"/>
  <c r="H942" i="2"/>
  <c r="C944" i="2" l="1"/>
  <c r="H943" i="2"/>
  <c r="I943" i="2"/>
  <c r="H27" i="3" l="1"/>
  <c r="H33" i="3"/>
  <c r="H60" i="3"/>
  <c r="H45" i="3"/>
  <c r="H59" i="3"/>
  <c r="H20" i="3"/>
  <c r="H24" i="3"/>
  <c r="H49" i="3"/>
  <c r="H42" i="3"/>
  <c r="H944" i="2"/>
  <c r="L5" i="2" s="1"/>
  <c r="H50" i="3"/>
  <c r="H31" i="3"/>
  <c r="H32" i="3"/>
  <c r="I944" i="2"/>
  <c r="H38" i="3"/>
  <c r="H53" i="3"/>
  <c r="H46" i="3"/>
  <c r="H67" i="3"/>
  <c r="H52" i="3"/>
  <c r="H64" i="3"/>
  <c r="H22" i="3"/>
  <c r="H29" i="3"/>
  <c r="H56" i="3"/>
  <c r="H25" i="3"/>
  <c r="H30" i="3"/>
  <c r="H65" i="3"/>
  <c r="H34" i="3"/>
  <c r="H41" i="3"/>
  <c r="H51" i="3"/>
  <c r="H23" i="3"/>
  <c r="H61" i="3"/>
  <c r="H37" i="3"/>
  <c r="H21" i="3"/>
  <c r="H48" i="3"/>
  <c r="H62" i="3"/>
  <c r="H35" i="3"/>
  <c r="H58" i="3"/>
  <c r="H39" i="3"/>
  <c r="H28" i="3"/>
  <c r="H26" i="3"/>
  <c r="H44" i="3"/>
  <c r="H40" i="3"/>
  <c r="H66" i="3"/>
  <c r="H57" i="3"/>
  <c r="G62" i="1" l="1"/>
  <c r="G163" i="1"/>
  <c r="G238" i="1"/>
  <c r="H102" i="1"/>
  <c r="G251" i="1"/>
  <c r="H17" i="1"/>
  <c r="H67" i="1"/>
  <c r="F301" i="1"/>
  <c r="H93" i="1"/>
  <c r="H68" i="1"/>
  <c r="H121" i="1"/>
  <c r="H115" i="1"/>
  <c r="G157" i="1"/>
  <c r="G179" i="1"/>
  <c r="F90" i="1"/>
  <c r="F257" i="1"/>
  <c r="F153" i="1"/>
  <c r="G233" i="1"/>
  <c r="G102" i="1"/>
  <c r="G88" i="1"/>
  <c r="H318" i="1"/>
  <c r="H78" i="1"/>
  <c r="H274" i="1"/>
  <c r="H272" i="1"/>
  <c r="F31" i="1"/>
  <c r="F340" i="1"/>
  <c r="F343" i="1"/>
  <c r="F63" i="1"/>
  <c r="F345" i="1"/>
  <c r="H203" i="1"/>
  <c r="H59" i="1"/>
  <c r="F181" i="1"/>
  <c r="G175" i="1"/>
  <c r="F37" i="1"/>
  <c r="H76" i="1"/>
  <c r="H162" i="1"/>
  <c r="H212" i="1"/>
  <c r="F166" i="1"/>
  <c r="F319" i="1"/>
  <c r="F217" i="1"/>
  <c r="F52" i="1"/>
  <c r="F304" i="1"/>
  <c r="F312" i="1"/>
  <c r="F46" i="1"/>
  <c r="H227" i="1"/>
  <c r="G45" i="1"/>
  <c r="H276" i="1"/>
  <c r="H103" i="1"/>
  <c r="F119" i="1"/>
  <c r="G161" i="1"/>
  <c r="H98" i="1"/>
  <c r="H28" i="1"/>
  <c r="G293" i="1"/>
  <c r="F168" i="1"/>
  <c r="H84" i="1"/>
  <c r="G84" i="1"/>
  <c r="F320" i="1"/>
  <c r="G153" i="1"/>
  <c r="H211" i="1"/>
  <c r="G271" i="1"/>
  <c r="F133" i="1"/>
  <c r="F13" i="1"/>
  <c r="H66" i="1"/>
  <c r="H186" i="1"/>
  <c r="H343" i="1"/>
  <c r="G208" i="1"/>
  <c r="G196" i="1"/>
  <c r="F105" i="1"/>
  <c r="H38" i="1"/>
  <c r="F70" i="1"/>
  <c r="H205" i="1"/>
  <c r="H239" i="1"/>
  <c r="G342" i="1"/>
  <c r="G46" i="1"/>
  <c r="F323" i="1"/>
  <c r="F154" i="1"/>
  <c r="G213" i="1"/>
  <c r="H168" i="1"/>
  <c r="F41" i="1"/>
  <c r="F96" i="1"/>
  <c r="G94" i="1"/>
  <c r="F84" i="1"/>
  <c r="H180" i="1"/>
  <c r="H221" i="1"/>
  <c r="F278" i="1"/>
  <c r="H265" i="1"/>
  <c r="G193" i="1"/>
  <c r="F185" i="1"/>
  <c r="G243" i="1"/>
  <c r="G244" i="1"/>
  <c r="H88" i="1"/>
  <c r="F158" i="1"/>
  <c r="H86" i="1"/>
  <c r="G332" i="1"/>
  <c r="F28" i="1"/>
  <c r="F246" i="1"/>
  <c r="F198" i="1"/>
  <c r="G151" i="1"/>
  <c r="F9" i="1"/>
  <c r="H323" i="1"/>
  <c r="H243" i="1"/>
  <c r="H216" i="1"/>
  <c r="G280" i="1"/>
  <c r="G210" i="1"/>
  <c r="G71" i="1"/>
  <c r="H128" i="1"/>
  <c r="G181" i="1"/>
  <c r="F144" i="1"/>
  <c r="G11" i="1"/>
  <c r="H148" i="1"/>
  <c r="H294" i="1"/>
  <c r="F270" i="1"/>
  <c r="F299" i="1"/>
  <c r="F163" i="1"/>
  <c r="G202" i="1"/>
  <c r="G44" i="1"/>
  <c r="F98" i="1"/>
  <c r="G227" i="1"/>
  <c r="H157" i="1"/>
  <c r="H44" i="1"/>
  <c r="H286" i="1"/>
  <c r="G15" i="1"/>
  <c r="F43" i="1"/>
  <c r="G93" i="1"/>
  <c r="H262" i="1"/>
  <c r="F184" i="1"/>
  <c r="G131" i="1"/>
  <c r="F261" i="1"/>
  <c r="H27" i="1"/>
  <c r="G197" i="1"/>
  <c r="H209" i="1"/>
  <c r="F219" i="1"/>
  <c r="H185" i="1"/>
  <c r="G291" i="1"/>
  <c r="H270" i="1"/>
  <c r="H63" i="1"/>
  <c r="H167" i="1"/>
  <c r="F12" i="1"/>
  <c r="G30" i="1"/>
  <c r="H293" i="1"/>
  <c r="G141" i="1"/>
  <c r="G191" i="1"/>
  <c r="H72" i="1"/>
  <c r="F146" i="1"/>
  <c r="F92" i="1"/>
  <c r="G285" i="1"/>
  <c r="G304" i="1"/>
  <c r="F75" i="1"/>
  <c r="F205" i="1"/>
  <c r="F34" i="1"/>
  <c r="F136" i="1"/>
  <c r="H333" i="1"/>
  <c r="H193" i="1"/>
  <c r="F234" i="1"/>
  <c r="G246" i="1"/>
  <c r="G48" i="1"/>
  <c r="F197" i="1"/>
  <c r="G16" i="1"/>
  <c r="G254" i="1"/>
  <c r="H329" i="1"/>
  <c r="H309" i="1"/>
  <c r="F53" i="1"/>
  <c r="G187" i="1"/>
  <c r="H135" i="1"/>
  <c r="H140" i="1"/>
  <c r="F209" i="1"/>
  <c r="G186" i="1"/>
  <c r="H41" i="1"/>
  <c r="F316" i="1"/>
  <c r="G222" i="1"/>
  <c r="F302" i="1"/>
  <c r="H338" i="1"/>
  <c r="F285" i="1"/>
  <c r="H198" i="1"/>
  <c r="G164" i="1"/>
  <c r="F228" i="1"/>
  <c r="G328" i="1"/>
  <c r="F97" i="1"/>
  <c r="G188" i="1"/>
  <c r="F263" i="1"/>
  <c r="G220" i="1"/>
  <c r="F74" i="1"/>
  <c r="F48" i="1"/>
  <c r="F171" i="1"/>
  <c r="F47" i="1"/>
  <c r="H149" i="1"/>
  <c r="H258" i="1"/>
  <c r="G306" i="1"/>
  <c r="H147" i="1"/>
  <c r="F324" i="1"/>
  <c r="H114" i="1"/>
  <c r="H345" i="1"/>
  <c r="G296" i="1"/>
  <c r="F211" i="1"/>
  <c r="F82" i="1"/>
  <c r="F42" i="1"/>
  <c r="G207" i="1"/>
  <c r="F80" i="1"/>
  <c r="G259" i="1"/>
  <c r="G305" i="1"/>
  <c r="H246" i="1"/>
  <c r="H208" i="1"/>
  <c r="F100" i="1"/>
  <c r="H92" i="1"/>
  <c r="H177" i="1"/>
  <c r="H89" i="1"/>
  <c r="F85" i="1"/>
  <c r="F335" i="1"/>
  <c r="G21" i="1"/>
  <c r="H232" i="1"/>
  <c r="F342" i="1"/>
  <c r="G132" i="1"/>
  <c r="H297" i="1"/>
  <c r="F140" i="1"/>
  <c r="H316" i="1"/>
  <c r="G172" i="1"/>
  <c r="F51" i="1"/>
  <c r="H145" i="1"/>
  <c r="F222" i="1"/>
  <c r="G14" i="1"/>
  <c r="F55" i="1"/>
  <c r="H9" i="1"/>
  <c r="H197" i="1"/>
  <c r="H228" i="1"/>
  <c r="H325" i="1"/>
  <c r="G185" i="1"/>
  <c r="F199" i="1"/>
  <c r="G47" i="1"/>
  <c r="G63" i="1"/>
  <c r="F169" i="1"/>
  <c r="H263" i="1"/>
  <c r="G107" i="1"/>
  <c r="G128" i="1"/>
  <c r="F273" i="1"/>
  <c r="G237" i="1"/>
  <c r="G36" i="1"/>
  <c r="F38" i="1"/>
  <c r="G344" i="1"/>
  <c r="H62" i="1"/>
  <c r="G64" i="1"/>
  <c r="H83" i="1"/>
  <c r="G236" i="1"/>
  <c r="G115" i="1"/>
  <c r="G159" i="1"/>
  <c r="H283" i="1"/>
  <c r="F321" i="1"/>
  <c r="F89" i="1"/>
  <c r="G258" i="1"/>
  <c r="H191" i="1"/>
  <c r="F284" i="1"/>
  <c r="H259" i="1"/>
  <c r="G346" i="1"/>
  <c r="F247" i="1"/>
  <c r="G284" i="1"/>
  <c r="G27" i="1"/>
  <c r="F275" i="1"/>
  <c r="H233" i="1"/>
  <c r="G330" i="1"/>
  <c r="F117" i="1"/>
  <c r="F327" i="1"/>
  <c r="G273" i="1"/>
  <c r="F315" i="1"/>
  <c r="H40" i="1"/>
  <c r="H334" i="1"/>
  <c r="G318" i="1"/>
  <c r="F68" i="1"/>
  <c r="G203" i="1"/>
  <c r="G77" i="1"/>
  <c r="G309" i="1"/>
  <c r="G300" i="1"/>
  <c r="G245" i="1"/>
  <c r="H346" i="1"/>
  <c r="H320" i="1"/>
  <c r="F127" i="1"/>
  <c r="H234" i="1"/>
  <c r="H82" i="1"/>
  <c r="G139" i="1"/>
  <c r="F175" i="1"/>
  <c r="G160" i="1"/>
  <c r="H245" i="1"/>
  <c r="F109" i="1"/>
  <c r="F99" i="1"/>
  <c r="G110" i="1"/>
  <c r="G252" i="1"/>
  <c r="G111" i="1"/>
  <c r="F103" i="1"/>
  <c r="F322" i="1"/>
  <c r="H237" i="1"/>
  <c r="G83" i="1"/>
  <c r="G49" i="1"/>
  <c r="G250" i="1"/>
  <c r="G97" i="1"/>
  <c r="F232" i="1"/>
  <c r="H284" i="1"/>
  <c r="H166" i="1"/>
  <c r="F206" i="1"/>
  <c r="G54" i="1"/>
  <c r="H96" i="1"/>
  <c r="H10" i="1"/>
  <c r="G126" i="1"/>
  <c r="F162" i="1"/>
  <c r="H151" i="1"/>
  <c r="G201" i="1"/>
  <c r="F310" i="1"/>
  <c r="F188" i="1"/>
  <c r="H299" i="1"/>
  <c r="H146" i="1"/>
  <c r="F223" i="1"/>
  <c r="F268" i="1"/>
  <c r="H207" i="1"/>
  <c r="H187" i="1"/>
  <c r="H178" i="1"/>
  <c r="G96" i="1"/>
  <c r="F155" i="1"/>
  <c r="H79" i="1"/>
  <c r="F22" i="1"/>
  <c r="G343" i="1"/>
  <c r="I343" i="1" s="1"/>
  <c r="J343" i="1" s="1"/>
  <c r="G156" i="1"/>
  <c r="G212" i="1"/>
  <c r="G214" i="1"/>
  <c r="G347" i="1"/>
  <c r="H141" i="1"/>
  <c r="G316" i="1"/>
  <c r="G78" i="1"/>
  <c r="H126" i="1"/>
  <c r="H56" i="1"/>
  <c r="G98" i="1"/>
  <c r="I98" i="1" s="1"/>
  <c r="J98" i="1" s="1"/>
  <c r="H142" i="1"/>
  <c r="G170" i="1"/>
  <c r="F126" i="1"/>
  <c r="G249" i="1"/>
  <c r="G255" i="1"/>
  <c r="G59" i="1"/>
  <c r="H301" i="1"/>
  <c r="F233" i="1"/>
  <c r="G327" i="1"/>
  <c r="H107" i="1"/>
  <c r="H163" i="1"/>
  <c r="G165" i="1"/>
  <c r="G315" i="1"/>
  <c r="H133" i="1"/>
  <c r="G154" i="1"/>
  <c r="H104" i="1"/>
  <c r="H229" i="1"/>
  <c r="H154" i="1"/>
  <c r="H296" i="1"/>
  <c r="F116" i="1"/>
  <c r="F338" i="1"/>
  <c r="F44" i="1"/>
  <c r="E44" i="1" s="1"/>
  <c r="G116" i="1"/>
  <c r="F8" i="1"/>
  <c r="G266" i="1"/>
  <c r="H347" i="1"/>
  <c r="G140" i="1"/>
  <c r="F191" i="1"/>
  <c r="H307" i="1"/>
  <c r="H95" i="1"/>
  <c r="F274" i="1"/>
  <c r="H45" i="1"/>
  <c r="H188" i="1"/>
  <c r="G326" i="1"/>
  <c r="G320" i="1"/>
  <c r="H337" i="1"/>
  <c r="G82" i="1"/>
  <c r="G290" i="1"/>
  <c r="F336" i="1"/>
  <c r="F241" i="1"/>
  <c r="H23" i="1"/>
  <c r="F212" i="1"/>
  <c r="G92" i="1"/>
  <c r="H300" i="1"/>
  <c r="G337" i="1"/>
  <c r="F272" i="1"/>
  <c r="G274" i="1"/>
  <c r="I274" i="1" s="1"/>
  <c r="J274" i="1" s="1"/>
  <c r="H112" i="1"/>
  <c r="H292" i="1"/>
  <c r="H289" i="1"/>
  <c r="F60" i="1"/>
  <c r="H183" i="1"/>
  <c r="G314" i="1"/>
  <c r="F139" i="1"/>
  <c r="G190" i="1"/>
  <c r="F151" i="1"/>
  <c r="F262" i="1"/>
  <c r="G310" i="1"/>
  <c r="H194" i="1"/>
  <c r="H201" i="1"/>
  <c r="H326" i="1"/>
  <c r="F112" i="1"/>
  <c r="G40" i="1"/>
  <c r="H58" i="1"/>
  <c r="F30" i="1"/>
  <c r="G28" i="1"/>
  <c r="G168" i="1"/>
  <c r="F148" i="1"/>
  <c r="G329" i="1"/>
  <c r="H332" i="1"/>
  <c r="H251" i="1"/>
  <c r="G91" i="1"/>
  <c r="F297" i="1"/>
  <c r="F225" i="1"/>
  <c r="G129" i="1"/>
  <c r="F179" i="1"/>
  <c r="G38" i="1"/>
  <c r="H99" i="1"/>
  <c r="F235" i="1"/>
  <c r="H238" i="1"/>
  <c r="H110" i="1"/>
  <c r="G331" i="1"/>
  <c r="F108" i="1"/>
  <c r="F332" i="1"/>
  <c r="G302" i="1"/>
  <c r="H217" i="1"/>
  <c r="G223" i="1"/>
  <c r="F173" i="1"/>
  <c r="G308" i="1"/>
  <c r="H291" i="1"/>
  <c r="F36" i="1"/>
  <c r="G100" i="1"/>
  <c r="H61" i="1"/>
  <c r="F237" i="1"/>
  <c r="H158" i="1"/>
  <c r="G108" i="1"/>
  <c r="G13" i="1"/>
  <c r="H225" i="1"/>
  <c r="H25" i="1"/>
  <c r="G275" i="1"/>
  <c r="H8" i="1"/>
  <c r="F229" i="1"/>
  <c r="H306" i="1"/>
  <c r="F306" i="1"/>
  <c r="H42" i="1"/>
  <c r="G289" i="1"/>
  <c r="F150" i="1"/>
  <c r="H195" i="1"/>
  <c r="F227" i="1"/>
  <c r="F296" i="1"/>
  <c r="H57" i="1"/>
  <c r="H49" i="1"/>
  <c r="H328" i="1"/>
  <c r="G281" i="1"/>
  <c r="G158" i="1"/>
  <c r="G226" i="1"/>
  <c r="H192" i="1"/>
  <c r="G248" i="1"/>
  <c r="G224" i="1"/>
  <c r="G319" i="1"/>
  <c r="H327" i="1"/>
  <c r="F177" i="1"/>
  <c r="F341" i="1"/>
  <c r="H339" i="1"/>
  <c r="H139" i="1"/>
  <c r="F88" i="1"/>
  <c r="E88" i="1" s="1"/>
  <c r="H127" i="1"/>
  <c r="H33" i="1"/>
  <c r="H106" i="1"/>
  <c r="H311" i="1"/>
  <c r="F59" i="1"/>
  <c r="G194" i="1"/>
  <c r="H179" i="1"/>
  <c r="F276" i="1"/>
  <c r="H310" i="1"/>
  <c r="G53" i="1"/>
  <c r="G269" i="1"/>
  <c r="F200" i="1"/>
  <c r="F318" i="1"/>
  <c r="F256" i="1"/>
  <c r="G264" i="1"/>
  <c r="F65" i="1"/>
  <c r="G148" i="1"/>
  <c r="H273" i="1"/>
  <c r="F305" i="1"/>
  <c r="F259" i="1"/>
  <c r="H189" i="1"/>
  <c r="H250" i="1"/>
  <c r="F176" i="1"/>
  <c r="F311" i="1"/>
  <c r="G125" i="1"/>
  <c r="H13" i="1"/>
  <c r="H113" i="1"/>
  <c r="F317" i="1"/>
  <c r="F129" i="1"/>
  <c r="G61" i="1"/>
  <c r="H24" i="1"/>
  <c r="H253" i="1"/>
  <c r="F149" i="1"/>
  <c r="F189" i="1"/>
  <c r="H123" i="1"/>
  <c r="G205" i="1"/>
  <c r="I205" i="1" s="1"/>
  <c r="J205" i="1" s="1"/>
  <c r="H130" i="1"/>
  <c r="F180" i="1"/>
  <c r="H165" i="1"/>
  <c r="G338" i="1"/>
  <c r="H264" i="1"/>
  <c r="G86" i="1"/>
  <c r="G12" i="1"/>
  <c r="G277" i="1"/>
  <c r="F292" i="1"/>
  <c r="H248" i="1"/>
  <c r="G68" i="1"/>
  <c r="I68" i="1" s="1"/>
  <c r="J68" i="1" s="1"/>
  <c r="F307" i="1"/>
  <c r="F216" i="1"/>
  <c r="H144" i="1"/>
  <c r="H235" i="1"/>
  <c r="H36" i="1"/>
  <c r="H105" i="1"/>
  <c r="F333" i="1"/>
  <c r="H341" i="1"/>
  <c r="H116" i="1"/>
  <c r="G340" i="1"/>
  <c r="G10" i="1"/>
  <c r="H19" i="1"/>
  <c r="G260" i="1"/>
  <c r="G127" i="1"/>
  <c r="F289" i="1"/>
  <c r="G17" i="1"/>
  <c r="H224" i="1"/>
  <c r="F220" i="1"/>
  <c r="H129" i="1"/>
  <c r="F290" i="1"/>
  <c r="F124" i="1"/>
  <c r="H312" i="1"/>
  <c r="G173" i="1"/>
  <c r="F102" i="1"/>
  <c r="E102" i="1" s="1"/>
  <c r="G79" i="1"/>
  <c r="H52" i="1"/>
  <c r="G322" i="1"/>
  <c r="G209" i="1"/>
  <c r="G199" i="1"/>
  <c r="F264" i="1"/>
  <c r="G235" i="1"/>
  <c r="F50" i="1"/>
  <c r="G155" i="1"/>
  <c r="F78" i="1"/>
  <c r="H137" i="1"/>
  <c r="H100" i="1"/>
  <c r="H37" i="1"/>
  <c r="H313" i="1"/>
  <c r="F266" i="1"/>
  <c r="F14" i="1"/>
  <c r="F226" i="1"/>
  <c r="H12" i="1"/>
  <c r="H287" i="1"/>
  <c r="H336" i="1"/>
  <c r="G90" i="1"/>
  <c r="H308" i="1"/>
  <c r="F193" i="1"/>
  <c r="G178" i="1"/>
  <c r="F346" i="1"/>
  <c r="F93" i="1"/>
  <c r="G150" i="1"/>
  <c r="H181" i="1"/>
  <c r="F286" i="1"/>
  <c r="G200" i="1"/>
  <c r="H254" i="1"/>
  <c r="F255" i="1"/>
  <c r="G136" i="1"/>
  <c r="G60" i="1"/>
  <c r="F122" i="1"/>
  <c r="H210" i="1"/>
  <c r="G183" i="1"/>
  <c r="G195" i="1"/>
  <c r="H150" i="1"/>
  <c r="F54" i="1"/>
  <c r="G32" i="1"/>
  <c r="G215" i="1"/>
  <c r="F214" i="1"/>
  <c r="G307" i="1"/>
  <c r="H134" i="1"/>
  <c r="G171" i="1"/>
  <c r="H275" i="1"/>
  <c r="F281" i="1"/>
  <c r="H53" i="1"/>
  <c r="F347" i="1"/>
  <c r="E347" i="1" s="1"/>
  <c r="H26" i="1"/>
  <c r="G118" i="1"/>
  <c r="G56" i="1"/>
  <c r="H240" i="1"/>
  <c r="F208" i="1"/>
  <c r="E208" i="1" s="1"/>
  <c r="F277" i="1"/>
  <c r="H11" i="1"/>
  <c r="G206" i="1"/>
  <c r="H199" i="1"/>
  <c r="F39" i="1"/>
  <c r="H278" i="1"/>
  <c r="G184" i="1"/>
  <c r="G103" i="1"/>
  <c r="H335" i="1"/>
  <c r="F203" i="1"/>
  <c r="H324" i="1"/>
  <c r="G43" i="1"/>
  <c r="F283" i="1"/>
  <c r="G323" i="1"/>
  <c r="I323" i="1" s="1"/>
  <c r="J323" i="1" s="1"/>
  <c r="F81" i="1"/>
  <c r="H70" i="1"/>
  <c r="F243" i="1"/>
  <c r="G122" i="1"/>
  <c r="F125" i="1"/>
  <c r="F11" i="1"/>
  <c r="F295" i="1"/>
  <c r="G176" i="1"/>
  <c r="F258" i="1"/>
  <c r="H314" i="1"/>
  <c r="G257" i="1"/>
  <c r="F252" i="1"/>
  <c r="G334" i="1"/>
  <c r="F245" i="1"/>
  <c r="H182" i="1"/>
  <c r="G232" i="1"/>
  <c r="I232" i="1" s="1"/>
  <c r="J232" i="1" s="1"/>
  <c r="F143" i="1"/>
  <c r="H226" i="1"/>
  <c r="F230" i="1"/>
  <c r="G130" i="1"/>
  <c r="H48" i="1"/>
  <c r="G270" i="1"/>
  <c r="G303" i="1"/>
  <c r="G166" i="1"/>
  <c r="I166" i="1" s="1"/>
  <c r="J166" i="1" s="1"/>
  <c r="G256" i="1"/>
  <c r="G20" i="1"/>
  <c r="G104" i="1"/>
  <c r="G279" i="1"/>
  <c r="G225" i="1"/>
  <c r="H260" i="1"/>
  <c r="H288" i="1"/>
  <c r="H215" i="1"/>
  <c r="H261" i="1"/>
  <c r="F344" i="1"/>
  <c r="G35" i="1"/>
  <c r="G231" i="1"/>
  <c r="F282" i="1"/>
  <c r="G229" i="1"/>
  <c r="H39" i="1"/>
  <c r="G137" i="1"/>
  <c r="F244" i="1"/>
  <c r="G9" i="1"/>
  <c r="G114" i="1"/>
  <c r="F29" i="1"/>
  <c r="H302" i="1"/>
  <c r="H321" i="1"/>
  <c r="F58" i="1"/>
  <c r="H20" i="1"/>
  <c r="F186" i="1"/>
  <c r="F325" i="1"/>
  <c r="H143" i="1"/>
  <c r="G135" i="1"/>
  <c r="G253" i="1"/>
  <c r="G174" i="1"/>
  <c r="G55" i="1"/>
  <c r="G265" i="1"/>
  <c r="G50" i="1"/>
  <c r="G76" i="1"/>
  <c r="G22" i="1"/>
  <c r="G18" i="1"/>
  <c r="G23" i="1"/>
  <c r="G211" i="1"/>
  <c r="I211" i="1" s="1"/>
  <c r="J211" i="1" s="1"/>
  <c r="F293" i="1"/>
  <c r="H298" i="1"/>
  <c r="F160" i="1"/>
  <c r="F218" i="1"/>
  <c r="H290" i="1"/>
  <c r="H34" i="1"/>
  <c r="H97" i="1"/>
  <c r="G301" i="1"/>
  <c r="F210" i="1"/>
  <c r="G26" i="1"/>
  <c r="H60" i="1"/>
  <c r="H322" i="1"/>
  <c r="G74" i="1"/>
  <c r="F288" i="1"/>
  <c r="G121" i="1"/>
  <c r="F337" i="1"/>
  <c r="F314" i="1"/>
  <c r="G29" i="1"/>
  <c r="H174" i="1"/>
  <c r="G177" i="1"/>
  <c r="F224" i="1"/>
  <c r="G69" i="1"/>
  <c r="G242" i="1"/>
  <c r="H256" i="1"/>
  <c r="G41" i="1"/>
  <c r="F196" i="1"/>
  <c r="G283" i="1"/>
  <c r="G58" i="1"/>
  <c r="G333" i="1"/>
  <c r="G8" i="1"/>
  <c r="F178" i="1"/>
  <c r="E178" i="1" s="1"/>
  <c r="H160" i="1"/>
  <c r="F174" i="1"/>
  <c r="G288" i="1"/>
  <c r="F195" i="1"/>
  <c r="F182" i="1"/>
  <c r="F94" i="1"/>
  <c r="G75" i="1"/>
  <c r="G101" i="1"/>
  <c r="F101" i="1"/>
  <c r="G247" i="1"/>
  <c r="F33" i="1"/>
  <c r="F71" i="1"/>
  <c r="F291" i="1"/>
  <c r="G105" i="1"/>
  <c r="G325" i="1"/>
  <c r="I325" i="1" s="1"/>
  <c r="J325" i="1" s="1"/>
  <c r="H69" i="1"/>
  <c r="H266" i="1"/>
  <c r="G106" i="1"/>
  <c r="F123" i="1"/>
  <c r="H249" i="1"/>
  <c r="F165" i="1"/>
  <c r="H71" i="1"/>
  <c r="H204" i="1"/>
  <c r="F221" i="1"/>
  <c r="G216" i="1"/>
  <c r="G147" i="1"/>
  <c r="G313" i="1"/>
  <c r="H153" i="1"/>
  <c r="H91" i="1"/>
  <c r="H222" i="1"/>
  <c r="G33" i="1"/>
  <c r="H315" i="1"/>
  <c r="H101" i="1"/>
  <c r="G72" i="1"/>
  <c r="F40" i="1"/>
  <c r="G145" i="1"/>
  <c r="F303" i="1"/>
  <c r="G146" i="1"/>
  <c r="G25" i="1"/>
  <c r="G298" i="1"/>
  <c r="G267" i="1"/>
  <c r="G95" i="1"/>
  <c r="F251" i="1"/>
  <c r="F118" i="1"/>
  <c r="F231" i="1"/>
  <c r="F16" i="1"/>
  <c r="G312" i="1"/>
  <c r="F95" i="1"/>
  <c r="H218" i="1"/>
  <c r="F152" i="1"/>
  <c r="G204" i="1"/>
  <c r="H50" i="1"/>
  <c r="F249" i="1"/>
  <c r="G120" i="1"/>
  <c r="F15" i="1"/>
  <c r="G234" i="1"/>
  <c r="I234" i="1" s="1"/>
  <c r="J234" i="1" s="1"/>
  <c r="G152" i="1"/>
  <c r="F267" i="1"/>
  <c r="F300" i="1"/>
  <c r="F287" i="1"/>
  <c r="F32" i="1"/>
  <c r="H75" i="1"/>
  <c r="H161" i="1"/>
  <c r="H242" i="1"/>
  <c r="H282" i="1"/>
  <c r="H85" i="1"/>
  <c r="G261" i="1"/>
  <c r="F91" i="1"/>
  <c r="H18" i="1"/>
  <c r="H90" i="1"/>
  <c r="H172" i="1"/>
  <c r="G162" i="1"/>
  <c r="F35" i="1"/>
  <c r="G240" i="1"/>
  <c r="H230" i="1"/>
  <c r="F308" i="1"/>
  <c r="G297" i="1"/>
  <c r="H280" i="1"/>
  <c r="F120" i="1"/>
  <c r="F114" i="1"/>
  <c r="G317" i="1"/>
  <c r="F294" i="1"/>
  <c r="G70" i="1"/>
  <c r="F326" i="1"/>
  <c r="G149" i="1"/>
  <c r="G31" i="1"/>
  <c r="F328" i="1"/>
  <c r="E328" i="1" s="1"/>
  <c r="H295" i="1"/>
  <c r="G119" i="1"/>
  <c r="H247" i="1"/>
  <c r="F161" i="1"/>
  <c r="F64" i="1"/>
  <c r="G24" i="1"/>
  <c r="G295" i="1"/>
  <c r="F142" i="1"/>
  <c r="G169" i="1"/>
  <c r="G292" i="1"/>
  <c r="I292" i="1" s="1"/>
  <c r="J292" i="1" s="1"/>
  <c r="H231" i="1"/>
  <c r="H220" i="1"/>
  <c r="F137" i="1"/>
  <c r="F104" i="1"/>
  <c r="H51" i="1"/>
  <c r="H16" i="1"/>
  <c r="G341" i="1"/>
  <c r="F77" i="1"/>
  <c r="H244" i="1"/>
  <c r="H55" i="1"/>
  <c r="G336" i="1"/>
  <c r="H81" i="1"/>
  <c r="F67" i="1"/>
  <c r="F61" i="1"/>
  <c r="E61" i="1" s="1"/>
  <c r="G142" i="1"/>
  <c r="F69" i="1"/>
  <c r="H279" i="1"/>
  <c r="H267" i="1"/>
  <c r="G180" i="1"/>
  <c r="F269" i="1"/>
  <c r="H73" i="1"/>
  <c r="H175" i="1"/>
  <c r="H118" i="1"/>
  <c r="H257" i="1"/>
  <c r="F87" i="1"/>
  <c r="F107" i="1"/>
  <c r="E107" i="1" s="1"/>
  <c r="G189" i="1"/>
  <c r="I189" i="1" s="1"/>
  <c r="J189" i="1" s="1"/>
  <c r="F298" i="1"/>
  <c r="G221" i="1"/>
  <c r="F115" i="1"/>
  <c r="E115" i="1" s="1"/>
  <c r="H169" i="1"/>
  <c r="H319" i="1"/>
  <c r="F265" i="1"/>
  <c r="F135" i="1"/>
  <c r="G282" i="1"/>
  <c r="H22" i="1"/>
  <c r="H223" i="1"/>
  <c r="G81" i="1"/>
  <c r="H342" i="1"/>
  <c r="F10" i="1"/>
  <c r="F248" i="1"/>
  <c r="G272" i="1"/>
  <c r="I272" i="1" s="1"/>
  <c r="J272" i="1" s="1"/>
  <c r="F202" i="1"/>
  <c r="H31" i="1"/>
  <c r="F172" i="1"/>
  <c r="H35" i="1"/>
  <c r="G123" i="1"/>
  <c r="F128" i="1"/>
  <c r="E128" i="1" s="1"/>
  <c r="H124" i="1"/>
  <c r="G321" i="1"/>
  <c r="F83" i="1"/>
  <c r="E83" i="1" s="1"/>
  <c r="H65" i="1"/>
  <c r="H236" i="1"/>
  <c r="F201" i="1"/>
  <c r="G85" i="1"/>
  <c r="H77" i="1"/>
  <c r="F339" i="1"/>
  <c r="G99" i="1"/>
  <c r="I99" i="1" s="1"/>
  <c r="J99" i="1" s="1"/>
  <c r="F238" i="1"/>
  <c r="E238" i="1" s="1"/>
  <c r="H54" i="1"/>
  <c r="H196" i="1"/>
  <c r="H21" i="1"/>
  <c r="G37" i="1"/>
  <c r="H155" i="1"/>
  <c r="H214" i="1"/>
  <c r="H43" i="1"/>
  <c r="H268" i="1"/>
  <c r="H15" i="1"/>
  <c r="G339" i="1"/>
  <c r="F110" i="1"/>
  <c r="H64" i="1"/>
  <c r="G287" i="1"/>
  <c r="F313" i="1"/>
  <c r="F183" i="1"/>
  <c r="H119" i="1"/>
  <c r="G182" i="1"/>
  <c r="G138" i="1"/>
  <c r="F279" i="1"/>
  <c r="F132" i="1"/>
  <c r="F204" i="1"/>
  <c r="G51" i="1"/>
  <c r="F250" i="1"/>
  <c r="F24" i="1"/>
  <c r="F170" i="1"/>
  <c r="F25" i="1"/>
  <c r="G39" i="1"/>
  <c r="F207" i="1"/>
  <c r="E207" i="1" s="1"/>
  <c r="F19" i="1"/>
  <c r="H190" i="1"/>
  <c r="F45" i="1"/>
  <c r="F131" i="1"/>
  <c r="F23" i="1"/>
  <c r="F141" i="1"/>
  <c r="E141" i="1" s="1"/>
  <c r="F242" i="1"/>
  <c r="F167" i="1"/>
  <c r="H277" i="1"/>
  <c r="G311" i="1"/>
  <c r="G192" i="1"/>
  <c r="G113" i="1"/>
  <c r="G34" i="1"/>
  <c r="G299" i="1"/>
  <c r="I299" i="1" s="1"/>
  <c r="J299" i="1" s="1"/>
  <c r="G89" i="1"/>
  <c r="H285" i="1"/>
  <c r="G230" i="1"/>
  <c r="H213" i="1"/>
  <c r="H255" i="1"/>
  <c r="F190" i="1"/>
  <c r="H30" i="1"/>
  <c r="H156" i="1"/>
  <c r="G19" i="1"/>
  <c r="G143" i="1"/>
  <c r="H74" i="1"/>
  <c r="H202" i="1"/>
  <c r="G217" i="1"/>
  <c r="H132" i="1"/>
  <c r="F240" i="1"/>
  <c r="F121" i="1"/>
  <c r="G117" i="1"/>
  <c r="H241" i="1"/>
  <c r="G218" i="1"/>
  <c r="H80" i="1"/>
  <c r="H108" i="1"/>
  <c r="G262" i="1"/>
  <c r="H29" i="1"/>
  <c r="H47" i="1"/>
  <c r="H281" i="1"/>
  <c r="F334" i="1"/>
  <c r="E334" i="1" s="1"/>
  <c r="H305" i="1"/>
  <c r="F331" i="1"/>
  <c r="G73" i="1"/>
  <c r="H200" i="1"/>
  <c r="F113" i="1"/>
  <c r="F20" i="1"/>
  <c r="G80" i="1"/>
  <c r="H331" i="1"/>
  <c r="G345" i="1"/>
  <c r="G268" i="1"/>
  <c r="F130" i="1"/>
  <c r="E130" i="1" s="1"/>
  <c r="G109" i="1"/>
  <c r="F329" i="1"/>
  <c r="F79" i="1"/>
  <c r="F134" i="1"/>
  <c r="G87" i="1"/>
  <c r="H136" i="1"/>
  <c r="G67" i="1"/>
  <c r="H14" i="1"/>
  <c r="F194" i="1"/>
  <c r="F164" i="1"/>
  <c r="H219" i="1"/>
  <c r="H46" i="1"/>
  <c r="H173" i="1"/>
  <c r="F56" i="1"/>
  <c r="E56" i="1" s="1"/>
  <c r="H111" i="1"/>
  <c r="H304" i="1"/>
  <c r="F215" i="1"/>
  <c r="F239" i="1"/>
  <c r="F27" i="1"/>
  <c r="F18" i="1"/>
  <c r="F280" i="1"/>
  <c r="E280" i="1" s="1"/>
  <c r="F192" i="1"/>
  <c r="G133" i="1"/>
  <c r="I133" i="1" s="1"/>
  <c r="J133" i="1" s="1"/>
  <c r="F106" i="1"/>
  <c r="F17" i="1"/>
  <c r="E17" i="1" s="1"/>
  <c r="E86" i="3" s="1"/>
  <c r="F309" i="1"/>
  <c r="G278" i="1"/>
  <c r="H164" i="1"/>
  <c r="G219" i="1"/>
  <c r="G52" i="1"/>
  <c r="H94" i="1"/>
  <c r="H330" i="1"/>
  <c r="H206" i="1"/>
  <c r="H122" i="1"/>
  <c r="G286" i="1"/>
  <c r="F86" i="1"/>
  <c r="G228" i="1"/>
  <c r="F159" i="1"/>
  <c r="G239" i="1"/>
  <c r="H131" i="1"/>
  <c r="G66" i="1"/>
  <c r="F66" i="1"/>
  <c r="F187" i="1"/>
  <c r="E187" i="1" s="1"/>
  <c r="H317" i="1"/>
  <c r="G112" i="1"/>
  <c r="I112" i="1" s="1"/>
  <c r="J112" i="1" s="1"/>
  <c r="G276" i="1"/>
  <c r="H171" i="1"/>
  <c r="F49" i="1"/>
  <c r="E49" i="1" s="1"/>
  <c r="H340" i="1"/>
  <c r="H303" i="1"/>
  <c r="H138" i="1"/>
  <c r="F138" i="1"/>
  <c r="G144" i="1"/>
  <c r="H176" i="1"/>
  <c r="F21" i="1"/>
  <c r="H159" i="1"/>
  <c r="H152" i="1"/>
  <c r="F157" i="1"/>
  <c r="F76" i="1"/>
  <c r="F254" i="1"/>
  <c r="F236" i="1"/>
  <c r="E236" i="1" s="1"/>
  <c r="H170" i="1"/>
  <c r="F145" i="1"/>
  <c r="F330" i="1"/>
  <c r="F62" i="1"/>
  <c r="F73" i="1"/>
  <c r="F213" i="1"/>
  <c r="G65" i="1"/>
  <c r="H271" i="1"/>
  <c r="H269" i="1"/>
  <c r="F253" i="1"/>
  <c r="F72" i="1"/>
  <c r="H184" i="1"/>
  <c r="G263" i="1"/>
  <c r="I263" i="1" s="1"/>
  <c r="J263" i="1" s="1"/>
  <c r="H125" i="1"/>
  <c r="G57" i="1"/>
  <c r="H32" i="1"/>
  <c r="H87" i="1"/>
  <c r="G42" i="1"/>
  <c r="H117" i="1"/>
  <c r="F271" i="1"/>
  <c r="H120" i="1"/>
  <c r="G198" i="1"/>
  <c r="G124" i="1"/>
  <c r="H252" i="1"/>
  <c r="F156" i="1"/>
  <c r="G134" i="1"/>
  <c r="H109" i="1"/>
  <c r="G324" i="1"/>
  <c r="H344" i="1"/>
  <c r="F57" i="1"/>
  <c r="G335" i="1"/>
  <c r="G167" i="1"/>
  <c r="G294" i="1"/>
  <c r="G241" i="1"/>
  <c r="F260" i="1"/>
  <c r="F147" i="1"/>
  <c r="E147" i="1" s="1"/>
  <c r="F26" i="1"/>
  <c r="F111" i="1"/>
  <c r="I34" i="1" l="1"/>
  <c r="J34" i="1" s="1"/>
  <c r="E135" i="1"/>
  <c r="E250" i="1"/>
  <c r="E337" i="1"/>
  <c r="I333" i="1"/>
  <c r="J333" i="1" s="1"/>
  <c r="E258" i="1"/>
  <c r="E259" i="1"/>
  <c r="E110" i="1"/>
  <c r="E76" i="1"/>
  <c r="E194" i="1"/>
  <c r="I180" i="1"/>
  <c r="J180" i="1" s="1"/>
  <c r="E233" i="1"/>
  <c r="I228" i="1"/>
  <c r="J228" i="1" s="1"/>
  <c r="I345" i="1"/>
  <c r="J345" i="1" s="1"/>
  <c r="I270" i="1"/>
  <c r="J270" i="1" s="1"/>
  <c r="I146" i="1"/>
  <c r="J146" i="1" s="1"/>
  <c r="E186" i="1"/>
  <c r="E309" i="1"/>
  <c r="E291" i="1"/>
  <c r="E183" i="1"/>
  <c r="E20" i="1"/>
  <c r="E81" i="3"/>
  <c r="I262" i="1"/>
  <c r="J262" i="1" s="1"/>
  <c r="I42" i="1"/>
  <c r="J42" i="1" s="1"/>
  <c r="I123" i="1"/>
  <c r="J123" i="1" s="1"/>
  <c r="I268" i="1"/>
  <c r="J268" i="1" s="1"/>
  <c r="E249" i="1"/>
  <c r="I261" i="1"/>
  <c r="J261" i="1" s="1"/>
  <c r="I149" i="1"/>
  <c r="J149" i="1" s="1"/>
  <c r="I182" i="1"/>
  <c r="J182" i="1" s="1"/>
  <c r="I297" i="1"/>
  <c r="J297" i="1" s="1"/>
  <c r="E308" i="1"/>
  <c r="I162" i="1"/>
  <c r="J162" i="1" s="1"/>
  <c r="E106" i="1"/>
  <c r="E240" i="1"/>
  <c r="E330" i="1"/>
  <c r="I37" i="1"/>
  <c r="J37" i="1" s="1"/>
  <c r="I225" i="1"/>
  <c r="J225" i="1" s="1"/>
  <c r="I286" i="1"/>
  <c r="J286" i="1" s="1"/>
  <c r="I278" i="1"/>
  <c r="J278" i="1" s="1"/>
  <c r="E243" i="1"/>
  <c r="E193" i="1"/>
  <c r="E289" i="1"/>
  <c r="I316" i="1"/>
  <c r="J316" i="1" s="1"/>
  <c r="E326" i="1"/>
  <c r="E318" i="1"/>
  <c r="I51" i="1"/>
  <c r="J51" i="1" s="1"/>
  <c r="I144" i="1"/>
  <c r="J144" i="1" s="1"/>
  <c r="E145" i="1"/>
  <c r="I39" i="1"/>
  <c r="J39" i="1" s="1"/>
  <c r="E237" i="1"/>
  <c r="E25" i="1"/>
  <c r="E84" i="3"/>
  <c r="E85" i="3"/>
  <c r="I219" i="1"/>
  <c r="J219" i="1" s="1"/>
  <c r="E93" i="1"/>
  <c r="E346" i="1"/>
  <c r="E157" i="1"/>
  <c r="I92" i="1"/>
  <c r="J92" i="1" s="1"/>
  <c r="E293" i="1"/>
  <c r="E83" i="3"/>
  <c r="I230" i="1"/>
  <c r="J230" i="1" s="1"/>
  <c r="E80" i="3"/>
  <c r="E82" i="3"/>
  <c r="I283" i="1"/>
  <c r="J283" i="1" s="1"/>
  <c r="E210" i="1"/>
  <c r="I96" i="1"/>
  <c r="J96" i="1" s="1"/>
  <c r="E296" i="1"/>
  <c r="I19" i="1"/>
  <c r="J19" i="1" s="1"/>
  <c r="I143" i="1"/>
  <c r="J143" i="1" s="1"/>
  <c r="I142" i="1"/>
  <c r="J142" i="1" s="1"/>
  <c r="I58" i="1"/>
  <c r="J58" i="1" s="1"/>
  <c r="I307" i="1"/>
  <c r="J307" i="1" s="1"/>
  <c r="I338" i="1"/>
  <c r="J338" i="1" s="1"/>
  <c r="E329" i="1"/>
  <c r="I341" i="1"/>
  <c r="J341" i="1" s="1"/>
  <c r="I335" i="1"/>
  <c r="J335" i="1" s="1"/>
  <c r="E165" i="1"/>
  <c r="I67" i="1"/>
  <c r="J67" i="1" s="1"/>
  <c r="I167" i="1"/>
  <c r="J167" i="1" s="1"/>
  <c r="E156" i="1"/>
  <c r="E69" i="1"/>
  <c r="E151" i="1"/>
  <c r="I198" i="1"/>
  <c r="J198" i="1" s="1"/>
  <c r="E79" i="1"/>
  <c r="I221" i="1"/>
  <c r="J221" i="1" s="1"/>
  <c r="I9" i="1"/>
  <c r="J9" i="1" s="1"/>
  <c r="I103" i="1"/>
  <c r="J103" i="1" s="1"/>
  <c r="E332" i="1"/>
  <c r="E215" i="1"/>
  <c r="I336" i="1"/>
  <c r="J336" i="1" s="1"/>
  <c r="I168" i="1"/>
  <c r="J168" i="1" s="1"/>
  <c r="E45" i="1"/>
  <c r="E161" i="1"/>
  <c r="E300" i="1"/>
  <c r="E251" i="1"/>
  <c r="E203" i="1"/>
  <c r="E248" i="1"/>
  <c r="I52" i="1"/>
  <c r="J52" i="1" s="1"/>
  <c r="I216" i="1"/>
  <c r="J216" i="1" s="1"/>
  <c r="I301" i="1"/>
  <c r="J301" i="1" s="1"/>
  <c r="I229" i="1"/>
  <c r="J229" i="1" s="1"/>
  <c r="I148" i="1"/>
  <c r="J148" i="1" s="1"/>
  <c r="I89" i="1"/>
  <c r="J89" i="1" s="1"/>
  <c r="I81" i="1"/>
  <c r="J81" i="1" s="1"/>
  <c r="E227" i="1"/>
  <c r="I38" i="1"/>
  <c r="J38" i="1" s="1"/>
  <c r="I177" i="1"/>
  <c r="J177" i="1" s="1"/>
  <c r="E191" i="1"/>
  <c r="I324" i="1"/>
  <c r="J324" i="1" s="1"/>
  <c r="I217" i="1"/>
  <c r="J217" i="1" s="1"/>
  <c r="E40" i="1"/>
  <c r="I134" i="1"/>
  <c r="J134" i="1" s="1"/>
  <c r="E253" i="1"/>
  <c r="E21" i="1"/>
  <c r="I311" i="1"/>
  <c r="J311" i="1" s="1"/>
  <c r="I209" i="1"/>
  <c r="J209" i="1" s="1"/>
  <c r="E11" i="1"/>
  <c r="E44" i="3" s="1"/>
  <c r="E95" i="1"/>
  <c r="I63" i="1"/>
  <c r="J63" i="1" s="1"/>
  <c r="I339" i="1"/>
  <c r="J339" i="1" s="1"/>
  <c r="E192" i="1"/>
  <c r="E204" i="1"/>
  <c r="E78" i="1"/>
  <c r="E245" i="1"/>
  <c r="E73" i="1"/>
  <c r="E23" i="1"/>
  <c r="E313" i="1"/>
  <c r="E121" i="1"/>
  <c r="E113" i="1"/>
  <c r="E104" i="1"/>
  <c r="E24" i="1"/>
  <c r="E265" i="1"/>
  <c r="E314" i="1"/>
  <c r="E306" i="1"/>
  <c r="I124" i="1"/>
  <c r="J124" i="1" s="1"/>
  <c r="I65" i="1"/>
  <c r="J65" i="1" s="1"/>
  <c r="E138" i="1"/>
  <c r="E18" i="1"/>
  <c r="E242" i="1"/>
  <c r="E279" i="1"/>
  <c r="I312" i="1"/>
  <c r="J312" i="1" s="1"/>
  <c r="I33" i="1"/>
  <c r="J33" i="1" s="1"/>
  <c r="E111" i="1"/>
  <c r="E213" i="1"/>
  <c r="E172" i="1"/>
  <c r="I105" i="1"/>
  <c r="J105" i="1" s="1"/>
  <c r="I82" i="1"/>
  <c r="J82" i="1" s="1"/>
  <c r="E271" i="1"/>
  <c r="E190" i="1"/>
  <c r="I320" i="1"/>
  <c r="J320" i="1" s="1"/>
  <c r="E126" i="1"/>
  <c r="I80" i="1"/>
  <c r="J80" i="1" s="1"/>
  <c r="E224" i="1"/>
  <c r="I235" i="1"/>
  <c r="J235" i="1" s="1"/>
  <c r="E137" i="1"/>
  <c r="E195" i="1"/>
  <c r="E264" i="1"/>
  <c r="I127" i="1"/>
  <c r="J127" i="1" s="1"/>
  <c r="I140" i="1"/>
  <c r="J140" i="1" s="1"/>
  <c r="I185" i="1"/>
  <c r="J185" i="1" s="1"/>
  <c r="E84" i="1"/>
  <c r="I70" i="1"/>
  <c r="J70" i="1" s="1"/>
  <c r="I288" i="1"/>
  <c r="J288" i="1" s="1"/>
  <c r="E114" i="1"/>
  <c r="E86" i="1"/>
  <c r="I8" i="1"/>
  <c r="J8" i="1" s="1"/>
  <c r="E27" i="1"/>
  <c r="E26" i="1"/>
  <c r="E298" i="1"/>
  <c r="E62" i="1"/>
  <c r="E59" i="1"/>
  <c r="E260" i="1"/>
  <c r="I28" i="1"/>
  <c r="J28" i="1" s="1"/>
  <c r="I241" i="1"/>
  <c r="J241" i="1" s="1"/>
  <c r="I41" i="1"/>
  <c r="J41" i="1" s="1"/>
  <c r="I294" i="1"/>
  <c r="J294" i="1" s="1"/>
  <c r="I276" i="1"/>
  <c r="J276" i="1" s="1"/>
  <c r="I218" i="1"/>
  <c r="J218" i="1" s="1"/>
  <c r="I287" i="1"/>
  <c r="J287" i="1" s="1"/>
  <c r="E10" i="1"/>
  <c r="E38" i="3" s="1"/>
  <c r="I85" i="1"/>
  <c r="J85" i="1" s="1"/>
  <c r="E254" i="1"/>
  <c r="E201" i="1"/>
  <c r="I66" i="1"/>
  <c r="J66" i="1" s="1"/>
  <c r="I282" i="1"/>
  <c r="J282" i="1" s="1"/>
  <c r="E91" i="1"/>
  <c r="E72" i="1"/>
  <c r="I321" i="1"/>
  <c r="J321" i="1" s="1"/>
  <c r="E212" i="1"/>
  <c r="E142" i="1"/>
  <c r="I295" i="1"/>
  <c r="J295" i="1" s="1"/>
  <c r="E239" i="1"/>
  <c r="I158" i="1"/>
  <c r="J158" i="1" s="1"/>
  <c r="E57" i="1"/>
  <c r="E159" i="1"/>
  <c r="I317" i="1"/>
  <c r="J317" i="1" s="1"/>
  <c r="I43" i="1"/>
  <c r="J43" i="1" s="1"/>
  <c r="E122" i="1"/>
  <c r="I322" i="1"/>
  <c r="J322" i="1" s="1"/>
  <c r="I10" i="1"/>
  <c r="J10" i="1" s="1"/>
  <c r="I86" i="1"/>
  <c r="J86" i="1" s="1"/>
  <c r="I53" i="1"/>
  <c r="J53" i="1" s="1"/>
  <c r="I319" i="1"/>
  <c r="J319" i="1" s="1"/>
  <c r="E173" i="1"/>
  <c r="I91" i="1"/>
  <c r="J91" i="1" s="1"/>
  <c r="E241" i="1"/>
  <c r="E8" i="1"/>
  <c r="I212" i="1"/>
  <c r="J212" i="1" s="1"/>
  <c r="I201" i="1"/>
  <c r="J201" i="1" s="1"/>
  <c r="E322" i="1"/>
  <c r="I245" i="1"/>
  <c r="J245" i="1" s="1"/>
  <c r="I27" i="1"/>
  <c r="J27" i="1" s="1"/>
  <c r="E85" i="1"/>
  <c r="I164" i="1"/>
  <c r="J164" i="1" s="1"/>
  <c r="I254" i="1"/>
  <c r="J254" i="1" s="1"/>
  <c r="I131" i="1"/>
  <c r="J131" i="1" s="1"/>
  <c r="E28" i="1"/>
  <c r="E41" i="1"/>
  <c r="I87" i="1"/>
  <c r="J87" i="1" s="1"/>
  <c r="E167" i="1"/>
  <c r="E132" i="1"/>
  <c r="I169" i="1"/>
  <c r="J169" i="1" s="1"/>
  <c r="I121" i="1"/>
  <c r="J121" i="1" s="1"/>
  <c r="I23" i="1"/>
  <c r="J23" i="1" s="1"/>
  <c r="I334" i="1"/>
  <c r="J334" i="1" s="1"/>
  <c r="I60" i="1"/>
  <c r="J60" i="1" s="1"/>
  <c r="I340" i="1"/>
  <c r="J340" i="1" s="1"/>
  <c r="I125" i="1"/>
  <c r="J125" i="1" s="1"/>
  <c r="I224" i="1"/>
  <c r="J224" i="1" s="1"/>
  <c r="I223" i="1"/>
  <c r="J223" i="1" s="1"/>
  <c r="I190" i="1"/>
  <c r="J190" i="1" s="1"/>
  <c r="E336" i="1"/>
  <c r="I116" i="1"/>
  <c r="J116" i="1" s="1"/>
  <c r="I156" i="1"/>
  <c r="J156" i="1" s="1"/>
  <c r="E103" i="1"/>
  <c r="I300" i="1"/>
  <c r="J300" i="1" s="1"/>
  <c r="I284" i="1"/>
  <c r="J284" i="1" s="1"/>
  <c r="I344" i="1"/>
  <c r="J344" i="1" s="1"/>
  <c r="E324" i="1"/>
  <c r="I16" i="1"/>
  <c r="J16" i="1" s="1"/>
  <c r="I191" i="1"/>
  <c r="J191" i="1" s="1"/>
  <c r="E184" i="1"/>
  <c r="I332" i="1"/>
  <c r="J332" i="1" s="1"/>
  <c r="E13" i="1"/>
  <c r="I45" i="1"/>
  <c r="J45" i="1" s="1"/>
  <c r="E90" i="1"/>
  <c r="E134" i="1"/>
  <c r="E120" i="1"/>
  <c r="E288" i="1"/>
  <c r="I18" i="1"/>
  <c r="J18" i="1" s="1"/>
  <c r="E29" i="1"/>
  <c r="I279" i="1"/>
  <c r="J279" i="1" s="1"/>
  <c r="E252" i="1"/>
  <c r="I136" i="1"/>
  <c r="J136" i="1" s="1"/>
  <c r="E226" i="1"/>
  <c r="I79" i="1"/>
  <c r="J79" i="1" s="1"/>
  <c r="E311" i="1"/>
  <c r="E276" i="1"/>
  <c r="I248" i="1"/>
  <c r="J248" i="1" s="1"/>
  <c r="E229" i="1"/>
  <c r="E139" i="1"/>
  <c r="I290" i="1"/>
  <c r="J290" i="1" s="1"/>
  <c r="I59" i="1"/>
  <c r="J59" i="1" s="1"/>
  <c r="E162" i="1"/>
  <c r="I111" i="1"/>
  <c r="J111" i="1" s="1"/>
  <c r="I309" i="1"/>
  <c r="J309" i="1" s="1"/>
  <c r="E247" i="1"/>
  <c r="E38" i="1"/>
  <c r="E55" i="1"/>
  <c r="E285" i="1"/>
  <c r="E197" i="1"/>
  <c r="I141" i="1"/>
  <c r="J141" i="1" s="1"/>
  <c r="I11" i="1"/>
  <c r="J11" i="1" s="1"/>
  <c r="I213" i="1"/>
  <c r="J213" i="1" s="1"/>
  <c r="E133" i="1"/>
  <c r="E345" i="1"/>
  <c r="I179" i="1"/>
  <c r="J179" i="1" s="1"/>
  <c r="I138" i="1"/>
  <c r="J138" i="1" s="1"/>
  <c r="E67" i="1"/>
  <c r="E16" i="1"/>
  <c r="I74" i="1"/>
  <c r="J74" i="1" s="1"/>
  <c r="I22" i="1"/>
  <c r="J22" i="1" s="1"/>
  <c r="I114" i="1"/>
  <c r="J114" i="1" s="1"/>
  <c r="I104" i="1"/>
  <c r="J104" i="1" s="1"/>
  <c r="I257" i="1"/>
  <c r="J257" i="1" s="1"/>
  <c r="E281" i="1"/>
  <c r="E255" i="1"/>
  <c r="E14" i="1"/>
  <c r="E63" i="3" s="1"/>
  <c r="E176" i="1"/>
  <c r="I302" i="1"/>
  <c r="J302" i="1" s="1"/>
  <c r="I329" i="1"/>
  <c r="J329" i="1" s="1"/>
  <c r="I314" i="1"/>
  <c r="J314" i="1" s="1"/>
  <c r="E338" i="1"/>
  <c r="I255" i="1"/>
  <c r="J255" i="1" s="1"/>
  <c r="E22" i="1"/>
  <c r="I126" i="1"/>
  <c r="J126" i="1" s="1"/>
  <c r="I252" i="1"/>
  <c r="J252" i="1" s="1"/>
  <c r="I77" i="1"/>
  <c r="J77" i="1" s="1"/>
  <c r="I346" i="1"/>
  <c r="J346" i="1" s="1"/>
  <c r="I36" i="1"/>
  <c r="J36" i="1" s="1"/>
  <c r="I14" i="1"/>
  <c r="J14" i="1" s="1"/>
  <c r="I306" i="1"/>
  <c r="J306" i="1" s="1"/>
  <c r="I48" i="1"/>
  <c r="J48" i="1" s="1"/>
  <c r="I93" i="1"/>
  <c r="J93" i="1" s="1"/>
  <c r="E144" i="1"/>
  <c r="E158" i="1"/>
  <c r="E154" i="1"/>
  <c r="I271" i="1"/>
  <c r="J271" i="1" s="1"/>
  <c r="E46" i="1"/>
  <c r="E63" i="1"/>
  <c r="I157" i="1"/>
  <c r="J157" i="1" s="1"/>
  <c r="I24" i="1"/>
  <c r="J24" i="1" s="1"/>
  <c r="E32" i="1"/>
  <c r="E231" i="1"/>
  <c r="I76" i="1"/>
  <c r="J76" i="1" s="1"/>
  <c r="I20" i="1"/>
  <c r="J20" i="1" s="1"/>
  <c r="E266" i="1"/>
  <c r="I173" i="1"/>
  <c r="J173" i="1" s="1"/>
  <c r="E333" i="1"/>
  <c r="E180" i="1"/>
  <c r="I194" i="1"/>
  <c r="J194" i="1" s="1"/>
  <c r="I226" i="1"/>
  <c r="J226" i="1" s="1"/>
  <c r="I275" i="1"/>
  <c r="J275" i="1" s="1"/>
  <c r="E148" i="1"/>
  <c r="E116" i="1"/>
  <c r="I249" i="1"/>
  <c r="J249" i="1" s="1"/>
  <c r="I110" i="1"/>
  <c r="J110" i="1" s="1"/>
  <c r="I203" i="1"/>
  <c r="J203" i="1" s="1"/>
  <c r="I237" i="1"/>
  <c r="J237" i="1" s="1"/>
  <c r="E222" i="1"/>
  <c r="E100" i="1"/>
  <c r="E302" i="1"/>
  <c r="I246" i="1"/>
  <c r="J246" i="1" s="1"/>
  <c r="I30" i="1"/>
  <c r="J30" i="1" s="1"/>
  <c r="E43" i="1"/>
  <c r="I181" i="1"/>
  <c r="J181" i="1" s="1"/>
  <c r="E323" i="1"/>
  <c r="E312" i="1"/>
  <c r="E343" i="1"/>
  <c r="I109" i="1"/>
  <c r="J109" i="1" s="1"/>
  <c r="E131" i="1"/>
  <c r="E202" i="1"/>
  <c r="E64" i="1"/>
  <c r="E287" i="1"/>
  <c r="E118" i="1"/>
  <c r="E71" i="1"/>
  <c r="I50" i="1"/>
  <c r="J50" i="1" s="1"/>
  <c r="E244" i="1"/>
  <c r="I256" i="1"/>
  <c r="J256" i="1" s="1"/>
  <c r="I184" i="1"/>
  <c r="J184" i="1" s="1"/>
  <c r="I171" i="1"/>
  <c r="J171" i="1" s="1"/>
  <c r="I200" i="1"/>
  <c r="J200" i="1" s="1"/>
  <c r="E108" i="1"/>
  <c r="E60" i="1"/>
  <c r="E155" i="1"/>
  <c r="E99" i="1"/>
  <c r="E68" i="1"/>
  <c r="E284" i="1"/>
  <c r="E273" i="1"/>
  <c r="I222" i="1"/>
  <c r="J222" i="1" s="1"/>
  <c r="E234" i="1"/>
  <c r="E12" i="1"/>
  <c r="I15" i="1"/>
  <c r="J15" i="1" s="1"/>
  <c r="I244" i="1"/>
  <c r="J244" i="1" s="1"/>
  <c r="I46" i="1"/>
  <c r="J46" i="1" s="1"/>
  <c r="I153" i="1"/>
  <c r="J153" i="1" s="1"/>
  <c r="E304" i="1"/>
  <c r="E340" i="1"/>
  <c r="I313" i="1"/>
  <c r="J313" i="1" s="1"/>
  <c r="E33" i="1"/>
  <c r="E196" i="1"/>
  <c r="I26" i="1"/>
  <c r="J26" i="1" s="1"/>
  <c r="I265" i="1"/>
  <c r="J265" i="1" s="1"/>
  <c r="I137" i="1"/>
  <c r="J137" i="1" s="1"/>
  <c r="I176" i="1"/>
  <c r="J176" i="1" s="1"/>
  <c r="E286" i="1"/>
  <c r="E124" i="1"/>
  <c r="I281" i="1"/>
  <c r="J281" i="1" s="1"/>
  <c r="I331" i="1"/>
  <c r="J331" i="1" s="1"/>
  <c r="I326" i="1"/>
  <c r="J326" i="1" s="1"/>
  <c r="I170" i="1"/>
  <c r="J170" i="1" s="1"/>
  <c r="I54" i="1"/>
  <c r="J54" i="1" s="1"/>
  <c r="E109" i="1"/>
  <c r="I318" i="1"/>
  <c r="J318" i="1" s="1"/>
  <c r="I128" i="1"/>
  <c r="J128" i="1" s="1"/>
  <c r="E51" i="1"/>
  <c r="E47" i="1"/>
  <c r="E316" i="1"/>
  <c r="I71" i="1"/>
  <c r="J71" i="1" s="1"/>
  <c r="I243" i="1"/>
  <c r="J243" i="1" s="1"/>
  <c r="I342" i="1"/>
  <c r="J342" i="1" s="1"/>
  <c r="E320" i="1"/>
  <c r="E52" i="1"/>
  <c r="E31" i="1"/>
  <c r="E339" i="1"/>
  <c r="E87" i="1"/>
  <c r="I240" i="1"/>
  <c r="J240" i="1" s="1"/>
  <c r="E267" i="1"/>
  <c r="I95" i="1"/>
  <c r="J95" i="1" s="1"/>
  <c r="I147" i="1"/>
  <c r="J147" i="1" s="1"/>
  <c r="I247" i="1"/>
  <c r="J247" i="1" s="1"/>
  <c r="I55" i="1"/>
  <c r="J55" i="1" s="1"/>
  <c r="I303" i="1"/>
  <c r="J303" i="1" s="1"/>
  <c r="E295" i="1"/>
  <c r="E39" i="1"/>
  <c r="E290" i="1"/>
  <c r="E305" i="1"/>
  <c r="I13" i="1"/>
  <c r="J13" i="1" s="1"/>
  <c r="E30" i="1"/>
  <c r="E206" i="1"/>
  <c r="I258" i="1"/>
  <c r="J258" i="1" s="1"/>
  <c r="I107" i="1"/>
  <c r="J107" i="1" s="1"/>
  <c r="I172" i="1"/>
  <c r="J172" i="1" s="1"/>
  <c r="I305" i="1"/>
  <c r="J305" i="1" s="1"/>
  <c r="E171" i="1"/>
  <c r="I210" i="1"/>
  <c r="J210" i="1" s="1"/>
  <c r="E185" i="1"/>
  <c r="I84" i="1"/>
  <c r="J84" i="1" s="1"/>
  <c r="E217" i="1"/>
  <c r="E19" i="1"/>
  <c r="E93" i="3" s="1"/>
  <c r="E77" i="1"/>
  <c r="I119" i="1"/>
  <c r="J119" i="1" s="1"/>
  <c r="E35" i="1"/>
  <c r="I152" i="1"/>
  <c r="J152" i="1" s="1"/>
  <c r="I267" i="1"/>
  <c r="J267" i="1" s="1"/>
  <c r="E101" i="1"/>
  <c r="I174" i="1"/>
  <c r="J174" i="1" s="1"/>
  <c r="E214" i="1"/>
  <c r="I150" i="1"/>
  <c r="J150" i="1" s="1"/>
  <c r="E189" i="1"/>
  <c r="I108" i="1"/>
  <c r="J108" i="1" s="1"/>
  <c r="I160" i="1"/>
  <c r="J160" i="1" s="1"/>
  <c r="E89" i="1"/>
  <c r="I259" i="1"/>
  <c r="J259" i="1" s="1"/>
  <c r="E48" i="1"/>
  <c r="I186" i="1"/>
  <c r="J186" i="1" s="1"/>
  <c r="E136" i="1"/>
  <c r="I280" i="1"/>
  <c r="J280" i="1" s="1"/>
  <c r="I193" i="1"/>
  <c r="J193" i="1" s="1"/>
  <c r="E319" i="1"/>
  <c r="E301" i="1"/>
  <c r="I298" i="1"/>
  <c r="J298" i="1" s="1"/>
  <c r="E221" i="1"/>
  <c r="I101" i="1"/>
  <c r="J101" i="1" s="1"/>
  <c r="I242" i="1"/>
  <c r="J242" i="1" s="1"/>
  <c r="I253" i="1"/>
  <c r="J253" i="1" s="1"/>
  <c r="E282" i="1"/>
  <c r="E125" i="1"/>
  <c r="I206" i="1"/>
  <c r="J206" i="1" s="1"/>
  <c r="I215" i="1"/>
  <c r="J215" i="1" s="1"/>
  <c r="E220" i="1"/>
  <c r="E216" i="1"/>
  <c r="E149" i="1"/>
  <c r="E235" i="1"/>
  <c r="I40" i="1"/>
  <c r="J40" i="1" s="1"/>
  <c r="E274" i="1"/>
  <c r="I154" i="1"/>
  <c r="J154" i="1" s="1"/>
  <c r="E175" i="1"/>
  <c r="E315" i="1"/>
  <c r="E321" i="1"/>
  <c r="E169" i="1"/>
  <c r="E140" i="1"/>
  <c r="E80" i="1"/>
  <c r="E74" i="1"/>
  <c r="E209" i="1"/>
  <c r="E34" i="1"/>
  <c r="I291" i="1"/>
  <c r="J291" i="1" s="1"/>
  <c r="I227" i="1"/>
  <c r="J227" i="1" s="1"/>
  <c r="E70" i="1"/>
  <c r="E168" i="1"/>
  <c r="E166" i="1"/>
  <c r="I57" i="1"/>
  <c r="J57" i="1" s="1"/>
  <c r="I117" i="1"/>
  <c r="J117" i="1" s="1"/>
  <c r="E15" i="1"/>
  <c r="I25" i="1"/>
  <c r="J25" i="1" s="1"/>
  <c r="I75" i="1"/>
  <c r="J75" i="1" s="1"/>
  <c r="I69" i="1"/>
  <c r="J69" i="1" s="1"/>
  <c r="I135" i="1"/>
  <c r="J135" i="1" s="1"/>
  <c r="I231" i="1"/>
  <c r="J231" i="1" s="1"/>
  <c r="I130" i="1"/>
  <c r="J130" i="1" s="1"/>
  <c r="I122" i="1"/>
  <c r="J122" i="1" s="1"/>
  <c r="I32" i="1"/>
  <c r="J32" i="1" s="1"/>
  <c r="I155" i="1"/>
  <c r="J155" i="1" s="1"/>
  <c r="E307" i="1"/>
  <c r="E65" i="1"/>
  <c r="E112" i="1"/>
  <c r="E272" i="1"/>
  <c r="E268" i="1"/>
  <c r="E232" i="1"/>
  <c r="I139" i="1"/>
  <c r="J139" i="1" s="1"/>
  <c r="I273" i="1"/>
  <c r="J273" i="1" s="1"/>
  <c r="I207" i="1"/>
  <c r="J207" i="1" s="1"/>
  <c r="I220" i="1"/>
  <c r="J220" i="1" s="1"/>
  <c r="E205" i="1"/>
  <c r="E98" i="1"/>
  <c r="E278" i="1"/>
  <c r="I293" i="1"/>
  <c r="J293" i="1" s="1"/>
  <c r="I31" i="1"/>
  <c r="J31" i="1" s="1"/>
  <c r="I120" i="1"/>
  <c r="J120" i="1" s="1"/>
  <c r="E94" i="1"/>
  <c r="I35" i="1"/>
  <c r="J35" i="1" s="1"/>
  <c r="E230" i="1"/>
  <c r="E277" i="1"/>
  <c r="E54" i="1"/>
  <c r="I178" i="1"/>
  <c r="J178" i="1" s="1"/>
  <c r="E50" i="1"/>
  <c r="I17" i="1"/>
  <c r="J17" i="1" s="1"/>
  <c r="I264" i="1"/>
  <c r="J264" i="1" s="1"/>
  <c r="I337" i="1"/>
  <c r="J337" i="1" s="1"/>
  <c r="I315" i="1"/>
  <c r="J315" i="1" s="1"/>
  <c r="I78" i="1"/>
  <c r="J78" i="1" s="1"/>
  <c r="E223" i="1"/>
  <c r="I97" i="1"/>
  <c r="J97" i="1" s="1"/>
  <c r="E327" i="1"/>
  <c r="I159" i="1"/>
  <c r="J159" i="1" s="1"/>
  <c r="I47" i="1"/>
  <c r="J47" i="1" s="1"/>
  <c r="I132" i="1"/>
  <c r="J132" i="1" s="1"/>
  <c r="E42" i="1"/>
  <c r="E263" i="1"/>
  <c r="E75" i="1"/>
  <c r="E219" i="1"/>
  <c r="I44" i="1"/>
  <c r="J44" i="1" s="1"/>
  <c r="E105" i="1"/>
  <c r="I88" i="1"/>
  <c r="J88" i="1" s="1"/>
  <c r="I251" i="1"/>
  <c r="J251" i="1" s="1"/>
  <c r="E66" i="1"/>
  <c r="E164" i="1"/>
  <c r="E170" i="1"/>
  <c r="E269" i="1"/>
  <c r="E303" i="1"/>
  <c r="E182" i="1"/>
  <c r="E218" i="1"/>
  <c r="E325" i="1"/>
  <c r="E344" i="1"/>
  <c r="I61" i="1"/>
  <c r="J61" i="1" s="1"/>
  <c r="E256" i="1"/>
  <c r="I100" i="1"/>
  <c r="J100" i="1" s="1"/>
  <c r="E179" i="1"/>
  <c r="I165" i="1"/>
  <c r="J165" i="1" s="1"/>
  <c r="I250" i="1"/>
  <c r="J250" i="1" s="1"/>
  <c r="E117" i="1"/>
  <c r="I115" i="1"/>
  <c r="J115" i="1" s="1"/>
  <c r="E199" i="1"/>
  <c r="E342" i="1"/>
  <c r="E82" i="1"/>
  <c r="I188" i="1"/>
  <c r="J188" i="1" s="1"/>
  <c r="I187" i="1"/>
  <c r="J187" i="1" s="1"/>
  <c r="I304" i="1"/>
  <c r="J304" i="1" s="1"/>
  <c r="I202" i="1"/>
  <c r="J202" i="1" s="1"/>
  <c r="E9" i="1"/>
  <c r="I196" i="1"/>
  <c r="J196" i="1" s="1"/>
  <c r="I102" i="1"/>
  <c r="J102" i="1" s="1"/>
  <c r="I113" i="1"/>
  <c r="J113" i="1" s="1"/>
  <c r="I145" i="1"/>
  <c r="J145" i="1" s="1"/>
  <c r="E160" i="1"/>
  <c r="E143" i="1"/>
  <c r="E81" i="1"/>
  <c r="I195" i="1"/>
  <c r="J195" i="1" s="1"/>
  <c r="E292" i="1"/>
  <c r="E129" i="1"/>
  <c r="E341" i="1"/>
  <c r="E150" i="1"/>
  <c r="E36" i="1"/>
  <c r="I129" i="1"/>
  <c r="J129" i="1" s="1"/>
  <c r="I49" i="1"/>
  <c r="J49" i="1" s="1"/>
  <c r="E127" i="1"/>
  <c r="I330" i="1"/>
  <c r="J330" i="1" s="1"/>
  <c r="I236" i="1"/>
  <c r="J236" i="1" s="1"/>
  <c r="E211" i="1"/>
  <c r="E97" i="1"/>
  <c r="E53" i="1"/>
  <c r="I285" i="1"/>
  <c r="J285" i="1" s="1"/>
  <c r="I197" i="1"/>
  <c r="J197" i="1" s="1"/>
  <c r="E163" i="1"/>
  <c r="I151" i="1"/>
  <c r="J151" i="1" s="1"/>
  <c r="I208" i="1"/>
  <c r="J208" i="1" s="1"/>
  <c r="I161" i="1"/>
  <c r="J161" i="1" s="1"/>
  <c r="E37" i="1"/>
  <c r="I233" i="1"/>
  <c r="J233" i="1" s="1"/>
  <c r="I238" i="1"/>
  <c r="J238" i="1" s="1"/>
  <c r="I73" i="1"/>
  <c r="J73" i="1" s="1"/>
  <c r="I192" i="1"/>
  <c r="J192" i="1" s="1"/>
  <c r="I204" i="1"/>
  <c r="J204" i="1" s="1"/>
  <c r="E123" i="1"/>
  <c r="I29" i="1"/>
  <c r="J29" i="1" s="1"/>
  <c r="I56" i="1"/>
  <c r="J56" i="1" s="1"/>
  <c r="I183" i="1"/>
  <c r="J183" i="1" s="1"/>
  <c r="I90" i="1"/>
  <c r="J90" i="1" s="1"/>
  <c r="I199" i="1"/>
  <c r="J199" i="1" s="1"/>
  <c r="I260" i="1"/>
  <c r="J260" i="1" s="1"/>
  <c r="I277" i="1"/>
  <c r="J277" i="1" s="1"/>
  <c r="E317" i="1"/>
  <c r="E200" i="1"/>
  <c r="E177" i="1"/>
  <c r="I289" i="1"/>
  <c r="J289" i="1" s="1"/>
  <c r="E225" i="1"/>
  <c r="I310" i="1"/>
  <c r="J310" i="1" s="1"/>
  <c r="I347" i="1"/>
  <c r="J347" i="1" s="1"/>
  <c r="E188" i="1"/>
  <c r="I83" i="1"/>
  <c r="J83" i="1" s="1"/>
  <c r="I21" i="1"/>
  <c r="J21" i="1" s="1"/>
  <c r="I296" i="1"/>
  <c r="J296" i="1" s="1"/>
  <c r="I328" i="1"/>
  <c r="J328" i="1" s="1"/>
  <c r="E92" i="1"/>
  <c r="E299" i="1"/>
  <c r="E198" i="1"/>
  <c r="I94" i="1"/>
  <c r="J94" i="1" s="1"/>
  <c r="E119" i="1"/>
  <c r="I175" i="1"/>
  <c r="J175" i="1" s="1"/>
  <c r="E153" i="1"/>
  <c r="I163" i="1"/>
  <c r="J163" i="1" s="1"/>
  <c r="I239" i="1"/>
  <c r="J239" i="1" s="1"/>
  <c r="E331" i="1"/>
  <c r="E294" i="1"/>
  <c r="E152" i="1"/>
  <c r="I72" i="1"/>
  <c r="J72" i="1" s="1"/>
  <c r="I106" i="1"/>
  <c r="J106" i="1" s="1"/>
  <c r="E174" i="1"/>
  <c r="E58" i="1"/>
  <c r="E283" i="1"/>
  <c r="I118" i="1"/>
  <c r="J118" i="1" s="1"/>
  <c r="I12" i="1"/>
  <c r="J12" i="1" s="1"/>
  <c r="I269" i="1"/>
  <c r="J269" i="1" s="1"/>
  <c r="I308" i="1"/>
  <c r="J308" i="1" s="1"/>
  <c r="E297" i="1"/>
  <c r="E262" i="1"/>
  <c r="I266" i="1"/>
  <c r="J266" i="1" s="1"/>
  <c r="I327" i="1"/>
  <c r="J327" i="1" s="1"/>
  <c r="I214" i="1"/>
  <c r="J214" i="1" s="1"/>
  <c r="E310" i="1"/>
  <c r="E275" i="1"/>
  <c r="I64" i="1"/>
  <c r="J64" i="1" s="1"/>
  <c r="E335" i="1"/>
  <c r="E228" i="1"/>
  <c r="E146" i="1"/>
  <c r="E261" i="1"/>
  <c r="E270" i="1"/>
  <c r="E246" i="1"/>
  <c r="E96" i="1"/>
  <c r="E181" i="1"/>
  <c r="E257" i="1"/>
  <c r="I62" i="1"/>
  <c r="J62" i="1" s="1"/>
  <c r="E92" i="3" l="1"/>
  <c r="E96" i="3"/>
  <c r="E98" i="3"/>
  <c r="E95" i="3"/>
  <c r="E89" i="3"/>
  <c r="E91" i="3"/>
  <c r="E88" i="3"/>
  <c r="E99" i="3"/>
  <c r="E100" i="3"/>
  <c r="E94" i="3"/>
  <c r="E97" i="3"/>
  <c r="E87" i="3"/>
  <c r="E90" i="3"/>
  <c r="E42" i="3"/>
  <c r="E34" i="3"/>
  <c r="E43" i="3"/>
  <c r="E69" i="3"/>
  <c r="E78" i="3"/>
  <c r="E79" i="3"/>
  <c r="E76" i="3"/>
  <c r="E77" i="3"/>
  <c r="E75" i="3"/>
  <c r="E73" i="3"/>
  <c r="E74" i="3"/>
  <c r="E71" i="3"/>
  <c r="E72" i="3"/>
  <c r="E68" i="3"/>
  <c r="E70" i="3"/>
  <c r="E39" i="3"/>
  <c r="E33" i="3"/>
  <c r="E37" i="3"/>
  <c r="E35" i="3"/>
  <c r="E36" i="3"/>
  <c r="E40" i="3"/>
  <c r="E46" i="3"/>
  <c r="E45" i="3"/>
  <c r="E41" i="3"/>
  <c r="E61" i="3"/>
  <c r="E67" i="3"/>
  <c r="E64" i="3"/>
  <c r="E62" i="3"/>
  <c r="E66" i="3"/>
  <c r="E65" i="3"/>
  <c r="E19" i="3"/>
  <c r="E24" i="3"/>
  <c r="E20" i="3"/>
  <c r="E22" i="3"/>
  <c r="E21" i="3"/>
  <c r="E23" i="3"/>
  <c r="E26" i="3"/>
  <c r="E25" i="3"/>
  <c r="E32" i="3"/>
  <c r="E27" i="3"/>
  <c r="E29" i="3"/>
  <c r="E30" i="3"/>
  <c r="E31" i="3"/>
  <c r="E28" i="3"/>
  <c r="E51" i="3"/>
  <c r="E49" i="3"/>
  <c r="E50" i="3"/>
  <c r="E53" i="3"/>
  <c r="E47" i="3"/>
  <c r="E52" i="3"/>
  <c r="E48" i="3"/>
  <c r="E59" i="3"/>
  <c r="E60" i="3"/>
  <c r="E54" i="3"/>
  <c r="E56" i="3"/>
  <c r="E58" i="3"/>
  <c r="E55" i="3"/>
  <c r="E57" i="3"/>
</calcChain>
</file>

<file path=xl/sharedStrings.xml><?xml version="1.0" encoding="utf-8"?>
<sst xmlns="http://schemas.openxmlformats.org/spreadsheetml/2006/main" count="269" uniqueCount="121">
  <si>
    <t>Month</t>
  </si>
  <si>
    <t>Start</t>
  </si>
  <si>
    <t>Week # 1</t>
  </si>
  <si>
    <t>Pay QCH</t>
  </si>
  <si>
    <t>QCH due</t>
  </si>
  <si>
    <t>credit period</t>
  </si>
  <si>
    <t>Column1</t>
  </si>
  <si>
    <t>Column2</t>
  </si>
  <si>
    <t>Column3</t>
  </si>
  <si>
    <t>PP Start</t>
  </si>
  <si>
    <t>PP End</t>
  </si>
  <si>
    <t>Pay Due</t>
  </si>
  <si>
    <t>Reg Hrs</t>
  </si>
  <si>
    <t>Total Hrs</t>
  </si>
  <si>
    <t>Tot Hrs
(Converted)</t>
  </si>
  <si>
    <t>2x OT Hrs</t>
  </si>
  <si>
    <t>1.5x OT Hrs</t>
  </si>
  <si>
    <t>Status</t>
  </si>
  <si>
    <t>Date</t>
  </si>
  <si>
    <t>End</t>
  </si>
  <si>
    <t>Code</t>
  </si>
  <si>
    <t>4P</t>
  </si>
  <si>
    <t>DD</t>
  </si>
  <si>
    <t>QI</t>
  </si>
  <si>
    <t>DN</t>
  </si>
  <si>
    <t>DE</t>
  </si>
  <si>
    <t>QB</t>
  </si>
  <si>
    <t>DG</t>
  </si>
  <si>
    <t>4Y</t>
  </si>
  <si>
    <t>DI</t>
  </si>
  <si>
    <t>2P</t>
  </si>
  <si>
    <t>DL</t>
  </si>
  <si>
    <t>EG</t>
  </si>
  <si>
    <t>QU</t>
  </si>
  <si>
    <t>EH</t>
  </si>
  <si>
    <t>4U</t>
  </si>
  <si>
    <t>QM</t>
  </si>
  <si>
    <t>NF</t>
  </si>
  <si>
    <t>SS</t>
  </si>
  <si>
    <t>Units</t>
  </si>
  <si>
    <t>Unit</t>
  </si>
  <si>
    <t>Emerg</t>
  </si>
  <si>
    <t>Current Shift</t>
  </si>
  <si>
    <t>Year</t>
  </si>
  <si>
    <t>Custom</t>
  </si>
  <si>
    <t>Shift Tracker</t>
  </si>
  <si>
    <t>Hrs
Day</t>
  </si>
  <si>
    <t>Hrs
Pay Period</t>
  </si>
  <si>
    <t>Pay Period</t>
  </si>
  <si>
    <t>Reg
Hrs</t>
  </si>
  <si>
    <t>1.5x OT
Hrs</t>
  </si>
  <si>
    <t>2x OT
Hrs</t>
  </si>
  <si>
    <t>Shift
Start</t>
  </si>
  <si>
    <t>Shift
End</t>
  </si>
  <si>
    <t>Comments</t>
  </si>
  <si>
    <t>Current Date:</t>
  </si>
  <si>
    <t>Shift Date</t>
  </si>
  <si>
    <t>Note: Only columns that are highlighted have to be filled out. Those that are grayed are auto-filled.</t>
  </si>
  <si>
    <t xml:space="preserve">            Auto-filled columns can still be filled out though to fit your own schedule</t>
  </si>
  <si>
    <t>qi</t>
  </si>
  <si>
    <t>qu</t>
  </si>
  <si>
    <t>sick</t>
  </si>
  <si>
    <t>avail</t>
  </si>
  <si>
    <t>NA</t>
  </si>
  <si>
    <t>took a mental health day</t>
  </si>
  <si>
    <t xml:space="preserve">           Columns with a star *x* have a drop down menu. You can click on the cell and select from the options or write it in. </t>
  </si>
  <si>
    <t>Over 75 Hours</t>
  </si>
  <si>
    <t>Under 75 Hrs</t>
  </si>
  <si>
    <t>At 75 Hrs</t>
  </si>
  <si>
    <t>Legends</t>
  </si>
  <si>
    <t>1.5 OT Hrs</t>
  </si>
  <si>
    <t>2 OT Hrs</t>
  </si>
  <si>
    <t>* Code *</t>
  </si>
  <si>
    <t>Hrs/
Pay Period</t>
  </si>
  <si>
    <t>Overflow</t>
  </si>
  <si>
    <t>Rehab</t>
  </si>
  <si>
    <t>Medicine</t>
  </si>
  <si>
    <t>Maternity</t>
  </si>
  <si>
    <t>Mental Health</t>
  </si>
  <si>
    <t>ALC</t>
  </si>
  <si>
    <t>Med/Surg</t>
  </si>
  <si>
    <t>BD</t>
  </si>
  <si>
    <t>A3</t>
  </si>
  <si>
    <t>A4</t>
  </si>
  <si>
    <t>D2</t>
  </si>
  <si>
    <t>C3</t>
  </si>
  <si>
    <t>D3</t>
  </si>
  <si>
    <t>C4</t>
  </si>
  <si>
    <t>D4</t>
  </si>
  <si>
    <t>Pending</t>
  </si>
  <si>
    <t>4E</t>
  </si>
  <si>
    <t>#F7EC11</t>
  </si>
  <si>
    <t>#FF6D6D</t>
  </si>
  <si>
    <t>a3</t>
  </si>
  <si>
    <t>c3</t>
  </si>
  <si>
    <t>5m</t>
  </si>
  <si>
    <t>Shift Codes</t>
  </si>
  <si>
    <t>qb</t>
  </si>
  <si>
    <t>Pay Summary</t>
  </si>
  <si>
    <t>Shift Booked</t>
  </si>
  <si>
    <t>* Unit *</t>
  </si>
  <si>
    <t>Special, sick</t>
  </si>
  <si>
    <t>Completed</t>
  </si>
  <si>
    <t>St.</t>
  </si>
  <si>
    <t>ace</t>
  </si>
  <si>
    <t>ACE</t>
  </si>
  <si>
    <t>Ace</t>
  </si>
  <si>
    <t>NE</t>
  </si>
  <si>
    <t>Flix's wedding</t>
  </si>
  <si>
    <t>Est. Total Amount</t>
  </si>
  <si>
    <t>Table of Contents</t>
  </si>
  <si>
    <t>Fact Table</t>
  </si>
  <si>
    <t>Reference Tables</t>
  </si>
  <si>
    <t>`</t>
  </si>
  <si>
    <t>Title Page: Shift Tracker</t>
  </si>
  <si>
    <t xml:space="preserve">Hello, and welcome to My Shift Tracker
</t>
  </si>
  <si>
    <t>Summary Table</t>
  </si>
  <si>
    <t>Main Summary Table</t>
  </si>
  <si>
    <t>This Excel file is designed to track the number of hours worked and dynaimcally indicate if the total number of hours is under or over a set amount.</t>
  </si>
  <si>
    <t>For pay periods that are over, it is designed so that a user can put in their overtime hours and automatically get an estimate of their pay based on the type of over time (time and a half, double time).</t>
  </si>
  <si>
    <t>This was one of the first projects I worked on and was started before going to school for Digital Health. As of the time of writing, it has not been adapted to fit in some of the new tools I have learned since then, especially in regards to BI tools. Future iterations of this app aim to go back and incorporate some of those new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</si>
</sst>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dd/yyyy"/>
    <numFmt numFmtId="165" formatCode="mmm/dd/yy"/>
    <numFmt numFmtId="166" formatCode="mmm/dd"/>
  </numFmts>
  <fonts count="32" x14ac:knownFonts="1">
    <font>
      <sz val="11"/>
      <color theme="1"/>
      <name val="Calibri"/>
      <family val="2"/>
      <scheme val="minor"/>
    </font>
    <font>
      <b/>
      <sz val="11"/>
      <color theme="0"/>
      <name val="Calibri"/>
      <family val="2"/>
      <scheme val="minor"/>
    </font>
    <font>
      <sz val="11"/>
      <color rgb="FF000000"/>
      <name val="Calibri"/>
      <family val="2"/>
      <scheme val="minor"/>
    </font>
    <font>
      <b/>
      <sz val="14"/>
      <color theme="1"/>
      <name val="Calibri"/>
      <family val="2"/>
      <scheme val="minor"/>
    </font>
    <font>
      <sz val="8"/>
      <name val="Calibri"/>
      <family val="2"/>
      <scheme val="minor"/>
    </font>
    <font>
      <sz val="12"/>
      <color theme="1" tint="4.9989318521683403E-2"/>
      <name val="Calibri"/>
      <family val="2"/>
      <scheme val="minor"/>
    </font>
    <font>
      <sz val="14"/>
      <color theme="1" tint="4.9989318521683403E-2"/>
      <name val="Calibri"/>
      <family val="2"/>
      <scheme val="minor"/>
    </font>
    <font>
      <b/>
      <sz val="14"/>
      <color theme="1" tint="4.9989318521683403E-2"/>
      <name val="Calibri"/>
      <family val="2"/>
      <scheme val="minor"/>
    </font>
    <font>
      <sz val="12"/>
      <color theme="1"/>
      <name val="Calibri"/>
      <family val="2"/>
      <scheme val="minor"/>
    </font>
    <font>
      <u/>
      <sz val="11"/>
      <color theme="1"/>
      <name val="Calibri"/>
      <family val="2"/>
      <scheme val="minor"/>
    </font>
    <font>
      <b/>
      <sz val="12"/>
      <color theme="1"/>
      <name val="Calibri"/>
      <family val="2"/>
      <scheme val="minor"/>
    </font>
    <font>
      <b/>
      <u/>
      <sz val="18"/>
      <color theme="8" tint="-0.499984740745262"/>
      <name val="Calibri"/>
      <family val="2"/>
      <scheme val="minor"/>
    </font>
    <font>
      <sz val="16"/>
      <color rgb="FFA907C9"/>
      <name val="Calibri"/>
      <family val="2"/>
      <scheme val="minor"/>
    </font>
    <font>
      <b/>
      <i/>
      <sz val="12"/>
      <color theme="1"/>
      <name val="Calibri"/>
      <family val="2"/>
      <scheme val="minor"/>
    </font>
    <font>
      <sz val="12"/>
      <name val="Calibri"/>
      <family val="2"/>
      <scheme val="minor"/>
    </font>
    <font>
      <b/>
      <sz val="16"/>
      <color rgb="FFA907C9"/>
      <name val="Calibri"/>
      <family val="2"/>
      <scheme val="minor"/>
    </font>
    <font>
      <b/>
      <sz val="18"/>
      <color theme="1"/>
      <name val="Calibri"/>
      <family val="2"/>
      <scheme val="minor"/>
    </font>
    <font>
      <b/>
      <sz val="16"/>
      <color theme="1"/>
      <name val="Calibri"/>
      <family val="2"/>
      <scheme val="minor"/>
    </font>
    <font>
      <b/>
      <sz val="18"/>
      <color rgb="FFA907C9"/>
      <name val="Calibri"/>
      <family val="2"/>
      <scheme val="minor"/>
    </font>
    <font>
      <b/>
      <u/>
      <sz val="22"/>
      <color rgb="FF002060"/>
      <name val="Calibri"/>
      <family val="2"/>
      <scheme val="minor"/>
    </font>
    <font>
      <b/>
      <sz val="12"/>
      <color theme="1" tint="4.9989318521683403E-2"/>
      <name val="Calibri"/>
      <family val="2"/>
      <scheme val="minor"/>
    </font>
    <font>
      <b/>
      <i/>
      <sz val="24"/>
      <color theme="1"/>
      <name val="Calibri"/>
      <family val="2"/>
      <scheme val="minor"/>
    </font>
    <font>
      <sz val="18"/>
      <color theme="1"/>
      <name val="Calibri"/>
      <family val="2"/>
    </font>
    <font>
      <sz val="16"/>
      <color theme="1"/>
      <name val="Calibri"/>
      <family val="2"/>
    </font>
    <font>
      <sz val="16"/>
      <color theme="1"/>
      <name val="Calibri"/>
      <family val="2"/>
      <scheme val="minor"/>
    </font>
    <font>
      <b/>
      <sz val="20"/>
      <color theme="1"/>
      <name val="Calibri"/>
      <family val="2"/>
    </font>
    <font>
      <b/>
      <sz val="18"/>
      <color theme="1"/>
      <name val="Calibri"/>
      <family val="2"/>
    </font>
    <font>
      <b/>
      <sz val="14"/>
      <color theme="1"/>
      <name val="Calibri"/>
      <family val="2"/>
    </font>
    <font>
      <sz val="14"/>
      <color theme="1"/>
      <name val="Calibri"/>
      <family val="2"/>
    </font>
    <font>
      <u/>
      <sz val="11"/>
      <color theme="10"/>
      <name val="Calibri"/>
      <family val="2"/>
      <scheme val="minor"/>
    </font>
    <font>
      <sz val="11"/>
      <color theme="10"/>
      <name val="Calibri"/>
      <family val="2"/>
      <scheme val="minor"/>
    </font>
    <font>
      <sz val="14"/>
      <color theme="1"/>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A907C9"/>
        <bgColor indexed="64"/>
      </patternFill>
    </fill>
    <fill>
      <patternFill patternType="solid">
        <fgColor theme="0"/>
        <bgColor indexed="64"/>
      </patternFill>
    </fill>
    <fill>
      <patternFill patternType="solid">
        <fgColor theme="7" tint="0.79998168889431442"/>
        <bgColor indexed="64"/>
      </patternFill>
    </fill>
    <fill>
      <patternFill patternType="solid">
        <fgColor rgb="FFFF6D6D"/>
        <bgColor indexed="64"/>
      </patternFill>
    </fill>
    <fill>
      <patternFill patternType="solid">
        <fgColor rgb="FF92D050"/>
        <bgColor indexed="64"/>
      </patternFill>
    </fill>
    <fill>
      <patternFill patternType="solid">
        <fgColor rgb="FFF7EC11"/>
        <bgColor indexed="64"/>
      </patternFill>
    </fill>
    <fill>
      <patternFill patternType="solid">
        <fgColor theme="8" tint="0.39997558519241921"/>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bottom style="thick">
        <color rgb="FF002060"/>
      </bottom>
      <diagonal/>
    </border>
  </borders>
  <cellStyleXfs count="2">
    <xf numFmtId="0" fontId="0" fillId="0" borderId="0"/>
    <xf numFmtId="0" fontId="29" fillId="0" borderId="0" applyNumberFormat="0" applyFill="0" applyBorder="0" applyAlignment="0" applyProtection="0"/>
  </cellStyleXfs>
  <cellXfs count="119">
    <xf numFmtId="0" fontId="0" fillId="0" borderId="0" xfId="0"/>
    <xf numFmtId="16" fontId="0" fillId="0" borderId="0" xfId="0" applyNumberFormat="1"/>
    <xf numFmtId="0" fontId="2" fillId="0" borderId="0" xfId="0" applyFont="1"/>
    <xf numFmtId="0" fontId="0" fillId="0" borderId="0" xfId="0" applyAlignment="1">
      <alignment vertical="top"/>
    </xf>
    <xf numFmtId="0" fontId="0" fillId="0" borderId="0" xfId="0" applyAlignment="1">
      <alignment vertical="top" wrapText="1"/>
    </xf>
    <xf numFmtId="15" fontId="0" fillId="0" borderId="0" xfId="0" applyNumberFormat="1"/>
    <xf numFmtId="0" fontId="1" fillId="0" borderId="0" xfId="0" applyFont="1"/>
    <xf numFmtId="14" fontId="0" fillId="0" borderId="0" xfId="0" applyNumberFormat="1"/>
    <xf numFmtId="0" fontId="0" fillId="0" borderId="0" xfId="0" applyAlignment="1">
      <alignment horizontal="right"/>
    </xf>
    <xf numFmtId="0" fontId="1" fillId="0" borderId="0" xfId="0" applyFont="1" applyAlignment="1">
      <alignment horizontal="right"/>
    </xf>
    <xf numFmtId="1" fontId="0" fillId="0" borderId="0" xfId="0" applyNumberFormat="1"/>
    <xf numFmtId="0" fontId="0" fillId="4" borderId="0" xfId="0" applyFill="1"/>
    <xf numFmtId="0" fontId="0" fillId="4" borderId="0" xfId="0" applyFill="1" applyAlignment="1">
      <alignment horizontal="center"/>
    </xf>
    <xf numFmtId="0" fontId="9" fillId="4" borderId="0" xfId="0" applyFont="1" applyFill="1"/>
    <xf numFmtId="16" fontId="12" fillId="4" borderId="0" xfId="0" applyNumberFormat="1" applyFont="1" applyFill="1"/>
    <xf numFmtId="15" fontId="0" fillId="4" borderId="0" xfId="0" applyNumberFormat="1" applyFill="1"/>
    <xf numFmtId="1" fontId="3" fillId="4" borderId="0" xfId="0" applyNumberFormat="1" applyFont="1" applyFill="1" applyAlignment="1">
      <alignment horizontal="center"/>
    </xf>
    <xf numFmtId="0" fontId="13" fillId="4" borderId="0" xfId="0" applyFont="1" applyFill="1" applyAlignment="1">
      <alignment horizontal="left"/>
    </xf>
    <xf numFmtId="0" fontId="0" fillId="4" borderId="1" xfId="0" applyFill="1" applyBorder="1" applyAlignment="1">
      <alignment horizontal="center"/>
    </xf>
    <xf numFmtId="0" fontId="0" fillId="4" borderId="1" xfId="0" applyFill="1" applyBorder="1"/>
    <xf numFmtId="1" fontId="7" fillId="4" borderId="1" xfId="0" applyNumberFormat="1" applyFont="1" applyFill="1" applyBorder="1" applyAlignment="1">
      <alignment horizontal="center"/>
    </xf>
    <xf numFmtId="0" fontId="6" fillId="5" borderId="1" xfId="0" applyFont="1" applyFill="1" applyBorder="1" applyAlignment="1">
      <alignment horizontal="center" vertical="top"/>
    </xf>
    <xf numFmtId="0" fontId="6" fillId="5"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13" fillId="4" borderId="0" xfId="0" applyFont="1" applyFill="1"/>
    <xf numFmtId="0" fontId="10" fillId="4" borderId="0" xfId="0" applyFont="1" applyFill="1"/>
    <xf numFmtId="0" fontId="10" fillId="7" borderId="0" xfId="0" applyFont="1" applyFill="1" applyAlignment="1">
      <alignment horizontal="center" vertical="top"/>
    </xf>
    <xf numFmtId="0" fontId="10" fillId="3" borderId="0" xfId="0" applyFont="1" applyFill="1" applyAlignment="1">
      <alignment horizontal="center" vertical="top"/>
    </xf>
    <xf numFmtId="0" fontId="10" fillId="6" borderId="0" xfId="0" applyFont="1" applyFill="1" applyAlignment="1">
      <alignment horizontal="center" vertical="top"/>
    </xf>
    <xf numFmtId="0" fontId="5" fillId="5" borderId="0" xfId="0" applyFont="1" applyFill="1" applyAlignment="1">
      <alignment horizontal="center" vertical="center"/>
    </xf>
    <xf numFmtId="0" fontId="8" fillId="4" borderId="0" xfId="0" applyFont="1" applyFill="1"/>
    <xf numFmtId="0" fontId="0" fillId="6" borderId="0" xfId="0" applyFill="1"/>
    <xf numFmtId="0" fontId="10" fillId="8" borderId="0" xfId="0" applyFont="1" applyFill="1" applyAlignment="1">
      <alignment horizontal="center" vertical="top"/>
    </xf>
    <xf numFmtId="0" fontId="10" fillId="9" borderId="0" xfId="0" applyFont="1" applyFill="1" applyAlignment="1">
      <alignment horizontal="center" vertical="top"/>
    </xf>
    <xf numFmtId="0" fontId="0" fillId="8" borderId="0" xfId="0" applyFill="1" applyAlignment="1">
      <alignment horizontal="right"/>
    </xf>
    <xf numFmtId="0" fontId="16" fillId="0" borderId="3" xfId="0" applyFont="1" applyBorder="1" applyAlignment="1">
      <alignment horizontal="centerContinuous"/>
    </xf>
    <xf numFmtId="0" fontId="0" fillId="0" borderId="3" xfId="0" applyBorder="1" applyAlignment="1">
      <alignment horizontal="centerContinuous"/>
    </xf>
    <xf numFmtId="0" fontId="17" fillId="0" borderId="0" xfId="0" applyFont="1"/>
    <xf numFmtId="16" fontId="0" fillId="2" borderId="0" xfId="0" applyNumberFormat="1" applyFill="1" applyAlignment="1">
      <alignment horizontal="center" vertical="top"/>
    </xf>
    <xf numFmtId="0" fontId="8" fillId="4" borderId="1" xfId="0" applyFont="1" applyFill="1" applyBorder="1" applyAlignment="1">
      <alignment horizontal="center"/>
    </xf>
    <xf numFmtId="0" fontId="10" fillId="0" borderId="1" xfId="0" applyFont="1" applyBorder="1" applyAlignment="1">
      <alignment horizontal="center"/>
    </xf>
    <xf numFmtId="16" fontId="14" fillId="5" borderId="0" xfId="0" applyNumberFormat="1" applyFont="1" applyFill="1" applyAlignment="1">
      <alignment horizontal="center" vertical="center"/>
    </xf>
    <xf numFmtId="165" fontId="0" fillId="4" borderId="0" xfId="0" applyNumberFormat="1" applyFill="1"/>
    <xf numFmtId="165" fontId="11" fillId="4" borderId="0" xfId="0" applyNumberFormat="1" applyFont="1" applyFill="1"/>
    <xf numFmtId="165" fontId="5" fillId="5" borderId="0" xfId="0" applyNumberFormat="1" applyFont="1" applyFill="1" applyAlignment="1">
      <alignment horizontal="center" vertical="center"/>
    </xf>
    <xf numFmtId="165" fontId="10" fillId="4" borderId="0" xfId="0" applyNumberFormat="1" applyFont="1" applyFill="1" applyAlignment="1">
      <alignment horizontal="left"/>
    </xf>
    <xf numFmtId="165" fontId="3" fillId="4" borderId="2" xfId="0" applyNumberFormat="1" applyFont="1" applyFill="1" applyBorder="1" applyAlignment="1">
      <alignment horizontal="left"/>
    </xf>
    <xf numFmtId="165" fontId="0" fillId="4" borderId="0" xfId="0" applyNumberFormat="1" applyFill="1" applyAlignment="1">
      <alignment horizontal="center"/>
    </xf>
    <xf numFmtId="165" fontId="6" fillId="5" borderId="1" xfId="0" applyNumberFormat="1" applyFont="1" applyFill="1" applyBorder="1" applyAlignment="1">
      <alignment horizontal="center" vertical="top"/>
    </xf>
    <xf numFmtId="165" fontId="8" fillId="0" borderId="1" xfId="0" applyNumberFormat="1" applyFont="1" applyBorder="1"/>
    <xf numFmtId="16" fontId="15" fillId="4" borderId="0" xfId="0" applyNumberFormat="1" applyFont="1" applyFill="1" applyAlignment="1">
      <alignment horizontal="left"/>
    </xf>
    <xf numFmtId="166" fontId="18" fillId="4" borderId="0" xfId="0" applyNumberFormat="1" applyFont="1" applyFill="1"/>
    <xf numFmtId="164" fontId="10" fillId="0" borderId="1" xfId="0" applyNumberFormat="1" applyFont="1" applyBorder="1" applyAlignment="1">
      <alignment horizontal="center"/>
    </xf>
    <xf numFmtId="165" fontId="19" fillId="4" borderId="0" xfId="0" applyNumberFormat="1" applyFont="1" applyFill="1"/>
    <xf numFmtId="15" fontId="10" fillId="4" borderId="1" xfId="0" applyNumberFormat="1" applyFont="1" applyFill="1" applyBorder="1" applyAlignment="1">
      <alignment horizontal="center"/>
    </xf>
    <xf numFmtId="165" fontId="8" fillId="4" borderId="1" xfId="0" applyNumberFormat="1" applyFont="1" applyFill="1" applyBorder="1"/>
    <xf numFmtId="0" fontId="10" fillId="4" borderId="1" xfId="0" applyFont="1" applyFill="1" applyBorder="1" applyAlignment="1">
      <alignment horizontal="center"/>
    </xf>
    <xf numFmtId="0" fontId="14" fillId="5" borderId="0" xfId="0" applyFont="1" applyFill="1" applyAlignment="1">
      <alignment horizontal="center" wrapText="1"/>
    </xf>
    <xf numFmtId="0" fontId="8" fillId="4" borderId="0" xfId="0" applyFont="1" applyFill="1" applyAlignment="1">
      <alignment horizontal="center"/>
    </xf>
    <xf numFmtId="0" fontId="6" fillId="5" borderId="1" xfId="0" applyFont="1" applyFill="1" applyBorder="1" applyAlignment="1">
      <alignment horizontal="center" wrapText="1"/>
    </xf>
    <xf numFmtId="165" fontId="8" fillId="4" borderId="4" xfId="0" applyNumberFormat="1" applyFont="1" applyFill="1" applyBorder="1"/>
    <xf numFmtId="0" fontId="0" fillId="4" borderId="4" xfId="0" applyFill="1" applyBorder="1" applyAlignment="1">
      <alignment horizontal="center"/>
    </xf>
    <xf numFmtId="0" fontId="0" fillId="4" borderId="4" xfId="0" applyFill="1" applyBorder="1"/>
    <xf numFmtId="1" fontId="20" fillId="4" borderId="1" xfId="0" applyNumberFormat="1" applyFont="1" applyFill="1" applyBorder="1" applyAlignment="1">
      <alignment horizontal="center"/>
    </xf>
    <xf numFmtId="1" fontId="20" fillId="4" borderId="4" xfId="0" applyNumberFormat="1" applyFont="1" applyFill="1" applyBorder="1" applyAlignment="1">
      <alignment horizontal="center"/>
    </xf>
    <xf numFmtId="0" fontId="10" fillId="4" borderId="4" xfId="0" applyFont="1" applyFill="1" applyBorder="1" applyAlignment="1">
      <alignment horizontal="center"/>
    </xf>
    <xf numFmtId="0" fontId="8" fillId="4" borderId="4" xfId="0" applyFont="1" applyFill="1" applyBorder="1" applyAlignment="1">
      <alignment horizontal="center"/>
    </xf>
    <xf numFmtId="15" fontId="10" fillId="4" borderId="4" xfId="0" applyNumberFormat="1" applyFont="1" applyFill="1" applyBorder="1" applyAlignment="1">
      <alignment horizontal="center"/>
    </xf>
    <xf numFmtId="0" fontId="0" fillId="0" borderId="5" xfId="0" applyBorder="1"/>
    <xf numFmtId="0" fontId="21" fillId="0" borderId="5" xfId="0" applyFont="1" applyBorder="1"/>
    <xf numFmtId="0" fontId="0" fillId="0" borderId="0" xfId="0" applyAlignment="1">
      <alignment horizontal="centerContinuous"/>
    </xf>
    <xf numFmtId="0" fontId="8" fillId="0" borderId="0" xfId="0" applyFont="1" applyAlignment="1">
      <alignment horizontal="left" wrapText="1"/>
    </xf>
    <xf numFmtId="0" fontId="8" fillId="0" borderId="0" xfId="0" applyFont="1"/>
    <xf numFmtId="0" fontId="8" fillId="0" borderId="0" xfId="0" applyFont="1" applyAlignment="1">
      <alignment wrapText="1"/>
    </xf>
    <xf numFmtId="0" fontId="10" fillId="0" borderId="0" xfId="0" applyFont="1" applyAlignment="1">
      <alignment horizontal="center" wrapText="1"/>
    </xf>
    <xf numFmtId="0" fontId="22" fillId="0" borderId="0" xfId="0" applyFont="1" applyAlignment="1">
      <alignment horizontal="left"/>
    </xf>
    <xf numFmtId="0" fontId="22" fillId="0" borderId="0" xfId="0" applyFont="1" applyAlignment="1">
      <alignment horizontal="center" wrapText="1"/>
    </xf>
    <xf numFmtId="0" fontId="22" fillId="0" borderId="0" xfId="0" applyFont="1" applyAlignment="1">
      <alignment wrapText="1"/>
    </xf>
    <xf numFmtId="0" fontId="22" fillId="0" borderId="0" xfId="0" applyFont="1"/>
    <xf numFmtId="0" fontId="23" fillId="0" borderId="0" xfId="0" applyFont="1" applyAlignment="1">
      <alignment horizontal="left"/>
    </xf>
    <xf numFmtId="0" fontId="8" fillId="0" borderId="2" xfId="0" applyFont="1" applyBorder="1"/>
    <xf numFmtId="0" fontId="25" fillId="0" borderId="2" xfId="0" applyFont="1" applyBorder="1" applyAlignment="1">
      <alignment horizontal="left"/>
    </xf>
    <xf numFmtId="0" fontId="22" fillId="0" borderId="2" xfId="0" applyFont="1" applyBorder="1" applyAlignment="1">
      <alignment horizontal="left"/>
    </xf>
    <xf numFmtId="0" fontId="22" fillId="0" borderId="0" xfId="0" applyFont="1" applyAlignment="1">
      <alignment horizontal="left" wrapText="1"/>
    </xf>
    <xf numFmtId="0" fontId="26" fillId="0" borderId="0" xfId="0" applyFont="1" applyAlignment="1">
      <alignment horizontal="left"/>
    </xf>
    <xf numFmtId="0" fontId="27" fillId="0" borderId="0" xfId="0" applyFont="1" applyAlignment="1">
      <alignment horizontal="left" vertical="top"/>
    </xf>
    <xf numFmtId="0" fontId="22" fillId="0" borderId="0" xfId="0" applyFont="1" applyAlignment="1">
      <alignment horizontal="left" vertical="top"/>
    </xf>
    <xf numFmtId="0" fontId="8" fillId="0" borderId="0" xfId="0" applyFont="1" applyAlignment="1">
      <alignment horizontal="center"/>
    </xf>
    <xf numFmtId="0" fontId="0" fillId="0" borderId="0" xfId="0" applyAlignment="1">
      <alignment wrapText="1"/>
    </xf>
    <xf numFmtId="0" fontId="22" fillId="0" borderId="0" xfId="0" applyFont="1" applyAlignment="1">
      <alignment horizontal="left" vertical="top" wrapText="1"/>
    </xf>
    <xf numFmtId="0" fontId="28"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left"/>
    </xf>
    <xf numFmtId="0" fontId="0" fillId="0" borderId="0" xfId="0" applyAlignment="1">
      <alignment horizontal="left" vertical="top"/>
    </xf>
    <xf numFmtId="0" fontId="3" fillId="0" borderId="0" xfId="0" applyFont="1" applyAlignment="1">
      <alignment horizontal="left"/>
    </xf>
    <xf numFmtId="0" fontId="0" fillId="0" borderId="0" xfId="0" applyAlignment="1">
      <alignment horizontal="left" wrapText="1"/>
    </xf>
    <xf numFmtId="0" fontId="30" fillId="0" borderId="0" xfId="1" applyFont="1" applyAlignment="1">
      <alignment horizontal="left"/>
    </xf>
    <xf numFmtId="0" fontId="31" fillId="0" borderId="0" xfId="0" applyFont="1" applyAlignment="1">
      <alignment horizontal="center"/>
    </xf>
    <xf numFmtId="0" fontId="30" fillId="0" borderId="0" xfId="1" quotePrefix="1" applyFont="1" applyAlignment="1">
      <alignment horizontal="left"/>
    </xf>
    <xf numFmtId="0" fontId="30" fillId="0" borderId="0" xfId="1" applyFont="1" applyFill="1" applyBorder="1" applyAlignment="1">
      <alignment horizontal="left"/>
    </xf>
    <xf numFmtId="0" fontId="0" fillId="0" borderId="0" xfId="0" applyAlignment="1">
      <alignment horizontal="center"/>
    </xf>
    <xf numFmtId="0" fontId="30" fillId="0" borderId="0" xfId="1" applyFont="1" applyBorder="1" applyAlignment="1">
      <alignment horizontal="left"/>
    </xf>
    <xf numFmtId="0" fontId="29" fillId="0" borderId="0" xfId="1" applyFill="1" applyBorder="1" applyAlignment="1">
      <alignment horizontal="left"/>
    </xf>
    <xf numFmtId="0" fontId="30" fillId="0" borderId="0" xfId="1" applyFont="1" applyFill="1" applyAlignment="1">
      <alignment horizontal="left"/>
    </xf>
    <xf numFmtId="0" fontId="29" fillId="0" borderId="0" xfId="1" applyBorder="1" applyAlignment="1">
      <alignment horizontal="center"/>
    </xf>
    <xf numFmtId="0" fontId="29" fillId="0" borderId="0" xfId="1" applyAlignment="1">
      <alignment horizontal="left"/>
    </xf>
    <xf numFmtId="0" fontId="3" fillId="0" borderId="0" xfId="0" applyFont="1"/>
    <xf numFmtId="0" fontId="29" fillId="0" borderId="0" xfId="1" applyAlignment="1">
      <alignment horizontal="center"/>
    </xf>
    <xf numFmtId="0" fontId="0" fillId="10" borderId="0" xfId="0" applyFill="1"/>
    <xf numFmtId="0" fontId="16" fillId="0" borderId="0" xfId="0" applyFont="1" applyAlignment="1">
      <alignment horizontal="left"/>
    </xf>
    <xf numFmtId="0" fontId="22" fillId="0" borderId="0" xfId="0" applyFont="1" applyAlignment="1">
      <alignment horizontal="center"/>
    </xf>
    <xf numFmtId="0" fontId="23" fillId="0" borderId="0" xfId="0" applyFont="1" applyAlignment="1">
      <alignment horizontal="center"/>
    </xf>
    <xf numFmtId="0" fontId="24" fillId="0" borderId="0" xfId="0" applyFont="1"/>
    <xf numFmtId="0" fontId="26" fillId="0" borderId="0" xfId="0" applyFont="1" applyAlignment="1">
      <alignment vertical="top"/>
    </xf>
    <xf numFmtId="0" fontId="23" fillId="0" borderId="0" xfId="0" applyFont="1" applyAlignment="1">
      <alignment horizontal="left" vertical="top"/>
    </xf>
    <xf numFmtId="0" fontId="24" fillId="0" borderId="0" xfId="0" applyFont="1" applyAlignment="1">
      <alignment horizontal="left" vertical="top"/>
    </xf>
    <xf numFmtId="0" fontId="24" fillId="0" borderId="0" xfId="0" applyFont="1" applyAlignment="1">
      <alignment horizontal="left"/>
    </xf>
    <xf numFmtId="0" fontId="23" fillId="0" borderId="0" xfId="0" applyFont="1" applyAlignment="1">
      <alignment horizontal="left" vertical="top" wrapText="1"/>
    </xf>
  </cellXfs>
  <cellStyles count="2">
    <cellStyle name="Hyperlink" xfId="1" builtinId="8"/>
    <cellStyle name="Normal" xfId="0" builtinId="0"/>
  </cellStyles>
  <dxfs count="64">
    <dxf>
      <fill>
        <patternFill>
          <bgColor theme="8" tint="0.59996337778862885"/>
        </patternFill>
      </fill>
    </dxf>
    <dxf>
      <fill>
        <patternFill>
          <bgColor theme="9" tint="0.39994506668294322"/>
        </patternFill>
      </fill>
    </dxf>
    <dxf>
      <fill>
        <patternFill>
          <bgColor theme="5" tint="0.39994506668294322"/>
        </patternFill>
      </fill>
    </dxf>
    <dxf>
      <font>
        <color theme="0"/>
      </font>
    </dxf>
    <dxf>
      <font>
        <color rgb="FFDDEBF7"/>
      </font>
      <fill>
        <patternFill>
          <bgColor theme="8" tint="0.79998168889431442"/>
        </patternFill>
      </fill>
    </dxf>
    <dxf>
      <font>
        <color rgb="FFE2EFDA"/>
      </font>
      <fill>
        <patternFill>
          <bgColor theme="9" tint="0.79998168889431442"/>
        </patternFill>
      </fill>
    </dxf>
    <dxf>
      <font>
        <color rgb="FFFCE4D6"/>
      </font>
      <fill>
        <patternFill>
          <bgColor theme="5" tint="0.79998168889431442"/>
        </patternFill>
      </fill>
    </dxf>
    <dxf>
      <fill>
        <patternFill>
          <bgColor theme="8" tint="0.79998168889431442"/>
        </patternFill>
      </fill>
    </dxf>
    <dxf>
      <fill>
        <patternFill>
          <bgColor theme="9" tint="0.79998168889431442"/>
        </patternFill>
      </fill>
    </dxf>
    <dxf>
      <font>
        <strike val="0"/>
      </font>
      <fill>
        <patternFill>
          <bgColor theme="5" tint="0.79998168889431442"/>
        </patternFill>
      </fill>
    </dxf>
    <dxf>
      <fill>
        <patternFill>
          <bgColor rgb="FFDEC8EE"/>
        </patternFill>
      </fill>
    </dxf>
    <dxf>
      <fill>
        <patternFill>
          <bgColor theme="4" tint="0.79998168889431442"/>
        </patternFill>
      </fill>
    </dxf>
    <dxf>
      <fill>
        <patternFill>
          <bgColor theme="9" tint="0.39994506668294322"/>
        </patternFill>
      </fill>
    </dxf>
    <dxf>
      <fill>
        <patternFill>
          <bgColor rgb="FFA907C9"/>
        </patternFill>
      </fill>
    </dxf>
    <dxf>
      <fill>
        <patternFill>
          <bgColor theme="8" tint="0.39994506668294322"/>
        </patternFill>
      </fill>
    </dxf>
    <dxf>
      <fill>
        <patternFill>
          <bgColor rgb="FFF7EC11"/>
        </patternFill>
      </fill>
    </dxf>
    <dxf>
      <fill>
        <patternFill>
          <bgColor rgb="FFFF6D6D"/>
        </patternFill>
      </fil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7" formatCode="dd/mmm/yy"/>
    </dxf>
    <dxf>
      <font>
        <b val="0"/>
        <i val="0"/>
        <strike val="0"/>
        <condense val="0"/>
        <extend val="0"/>
        <outline val="0"/>
        <shadow val="0"/>
        <u val="none"/>
        <vertAlign val="baseline"/>
        <sz val="11"/>
        <color rgb="FF000000"/>
        <name val="Calibri"/>
        <family val="2"/>
        <scheme val="minor"/>
      </font>
    </dxf>
    <dxf>
      <numFmt numFmtId="167" formatCode="dd/mmm/yy"/>
    </dxf>
    <dxf>
      <numFmt numFmtId="0" formatCode="General"/>
    </dxf>
    <dxf>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m/yy"/>
    </dxf>
    <dxf>
      <numFmt numFmtId="167" formatCode="dd/mmm/yy"/>
    </dxf>
    <dxf>
      <numFmt numFmtId="168" formatCode="dd/mmm"/>
      <fill>
        <patternFill patternType="solid">
          <fgColor indexed="64"/>
          <bgColor theme="0" tint="-0.14999847407452621"/>
        </patternFill>
      </fill>
      <alignment horizontal="center" vertical="top" textRotation="0" wrapText="0" indent="0" justifyLastLine="0" shrinkToFit="0" readingOrder="0"/>
    </dxf>
    <dxf>
      <alignment horizontal="general" vertical="top"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dxf>
    <dxf>
      <font>
        <b val="0"/>
        <strike val="0"/>
        <outline val="0"/>
        <shadow val="0"/>
        <u val="none"/>
        <vertAlign val="baseline"/>
        <sz val="12"/>
        <color theme="1"/>
        <name val="Calibri"/>
        <family val="2"/>
        <scheme val="minor"/>
      </font>
      <fill>
        <patternFill patternType="solid">
          <fgColor indexed="64"/>
          <bgColor theme="0"/>
        </patternFill>
      </fill>
      <alignment horizontal="center" vertical="bottom" textRotation="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7" tint="0.79998168889431442"/>
        </patternFill>
      </fill>
      <alignment horizontal="center" vertical="center" textRotation="0" indent="0" justifyLastLine="0" shrinkToFit="0" readingOrder="0"/>
    </dxf>
    <dxf>
      <font>
        <b/>
        <strike val="0"/>
        <outline val="0"/>
        <shadow val="0"/>
        <u val="none"/>
        <vertAlign val="baseline"/>
        <sz val="12"/>
        <color theme="1"/>
        <name val="Calibri"/>
        <family val="2"/>
        <scheme val="minor"/>
      </font>
      <fill>
        <patternFill patternType="solid">
          <fgColor indexed="64"/>
          <bgColor theme="0"/>
        </patternFill>
      </fill>
      <alignment horizontal="center" vertical="top" textRotation="0" wrapText="0" indent="0" justifyLastLine="0" shrinkToFit="0" readingOrder="0"/>
    </dxf>
    <dxf>
      <font>
        <b/>
        <strike val="0"/>
        <outline val="0"/>
        <shadow val="0"/>
        <u val="none"/>
        <vertAlign val="baseline"/>
        <sz val="12"/>
        <color theme="1"/>
        <name val="Calibri"/>
        <family val="2"/>
        <scheme val="minor"/>
      </font>
      <numFmt numFmtId="165" formatCode="mmm/dd/yy"/>
      <fill>
        <patternFill patternType="solid">
          <fgColor indexed="64"/>
          <bgColor theme="0"/>
        </patternFill>
      </fill>
      <alignment horizontal="left" vertical="bottom" textRotation="0" wrapText="0" indent="0" justifyLastLine="0" shrinkToFit="0" readingOrder="0"/>
    </dxf>
    <dxf>
      <font>
        <b/>
        <strike val="0"/>
        <outline val="0"/>
        <shadow val="0"/>
        <u val="none"/>
        <vertAlign val="baseline"/>
        <sz val="12"/>
        <color theme="1"/>
        <name val="Calibri"/>
        <family val="2"/>
        <scheme val="minor"/>
      </font>
      <fill>
        <patternFill patternType="solid">
          <fgColor indexed="64"/>
          <bgColor theme="0"/>
        </patternFill>
      </fill>
    </dxf>
    <dxf>
      <font>
        <strike val="0"/>
        <outline val="0"/>
        <shadow val="0"/>
        <u val="none"/>
        <vertAlign val="baseline"/>
        <sz val="12"/>
        <color theme="1" tint="4.9989318521683403E-2"/>
        <name val="Calibri"/>
        <family val="2"/>
        <scheme val="minor"/>
      </font>
      <fill>
        <patternFill patternType="solid">
          <fgColor indexed="64"/>
          <bgColor theme="7" tint="0.79998168889431442"/>
        </patternFill>
      </fill>
      <alignment horizontal="center" vertical="center" textRotation="0" wrapText="0" indent="0" justifyLastLine="0" shrinkToFit="0" readingOrder="0"/>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theme="1"/>
        <name val="Calibri"/>
        <family val="2"/>
        <scheme val="minor"/>
      </font>
      <numFmt numFmtId="167" formatCode="dd/mmm/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Calibri"/>
        <family val="2"/>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z val="14"/>
        <color theme="1" tint="4.9989318521683403E-2"/>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z val="12"/>
      </font>
      <numFmt numFmtId="165" formatCode="mmm/dd/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border diagonalUp="0" diagonalDown="0">
        <left/>
        <right/>
        <top/>
        <bottom/>
      </border>
    </dxf>
    <dxf>
      <fill>
        <patternFill patternType="solid">
          <fgColor indexed="64"/>
          <bgColor theme="0"/>
        </patternFill>
      </fill>
    </dxf>
    <dxf>
      <border>
        <bottom style="thin">
          <color indexed="64"/>
        </bottom>
      </border>
    </dxf>
    <dxf>
      <font>
        <b val="0"/>
        <strike val="0"/>
        <outline val="0"/>
        <shadow val="0"/>
        <u val="none"/>
        <vertAlign val="baseline"/>
        <sz val="14"/>
        <color theme="1" tint="4.9989318521683403E-2"/>
        <name val="Calibri"/>
        <family val="2"/>
        <scheme val="minor"/>
      </font>
      <fill>
        <patternFill patternType="solid">
          <fgColor indexed="64"/>
          <bgColor theme="7" tint="0.79998168889431442"/>
        </patternFill>
      </fill>
      <alignment horizontal="center"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A907C9"/>
      <color rgb="FFFF6D6D"/>
      <color rgb="FFF7EC11"/>
      <color rgb="FFDDEBF7"/>
      <color rgb="FFE2EFDA"/>
      <color rgb="FFFCE4D6"/>
      <color rgb="FFFFCCCC"/>
      <color rgb="FFDEC8EE"/>
      <color rgb="FFFDF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F:\My%20ToolBox\7%20Projects\Budget\Personal%20Budgets\2025\MyBudget_2025(with%20marcros)%202.xlsm" TargetMode="External"/><Relationship Id="rId1" Type="http://schemas.openxmlformats.org/officeDocument/2006/relationships/externalLinkPath" Target="file:///D:\My%20ToolBox\7%20Projects\Budget\Personal%20Budgets\2025\MyBudget_2025(with%20marcros)%20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my_toolbox\projects\career\mock%20manager\final\bi_backend_v1.0.xlsm" TargetMode="External"/><Relationship Id="rId1" Type="http://schemas.openxmlformats.org/officeDocument/2006/relationships/externalLinkPath" Target="/my_toolbox/projects/career/mock%20manager/final/bi_backend_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Page"/>
      <sheetName val="Table of Contents"/>
      <sheetName val="Journal"/>
      <sheetName val="Asset Planning"/>
      <sheetName val="Account_Ledgers"/>
      <sheetName val="Trial Balance"/>
      <sheetName val="Personal Financial Statement 04"/>
      <sheetName val="Sheet1"/>
      <sheetName val="Dashboard"/>
      <sheetName val="DashCalculations"/>
      <sheetName val="Liability_Planning"/>
      <sheetName val="Income_Planning"/>
      <sheetName val="Expense Planning"/>
      <sheetName val="Shopping List"/>
      <sheetName val="AcctRef"/>
      <sheetName val="BalanceCalc"/>
      <sheetName val="Welcome"/>
      <sheetName val="Exp_Append_Short"/>
      <sheetName val="Sheet3"/>
      <sheetName val="MyBudget_2025(with marcr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Page"/>
      <sheetName val="Main Tracker"/>
      <sheetName val="Unit Summary"/>
      <sheetName val="Service Summary"/>
      <sheetName val="Patient ID"/>
      <sheetName val="Organization ID"/>
      <sheetName val="Location ID"/>
      <sheetName val="Alt Location ID"/>
      <sheetName val="General Reference"/>
      <sheetName val="Org Refence"/>
      <sheetName val="Patient Service ID"/>
      <sheetName val="Provider Service ID"/>
      <sheetName val="Diagnosis Codes"/>
      <sheetName val="Attribute Reference"/>
      <sheetName val="data creation"/>
      <sheetName val="provIDphys"/>
      <sheetName val="provIDNonPhys"/>
    </sheetNames>
    <sheetDataSet>
      <sheetData sheetId="0"/>
      <sheetData sheetId="1">
        <row r="21">
          <cell r="B21" t="str">
            <v>D4 Rm 110-3</v>
          </cell>
        </row>
      </sheetData>
      <sheetData sheetId="2"/>
      <sheetData sheetId="3"/>
      <sheetData sheetId="4"/>
      <sheetData sheetId="5">
        <row r="15">
          <cell r="B15" t="str">
            <v>ACE Medicine</v>
          </cell>
        </row>
      </sheetData>
      <sheetData sheetId="6"/>
      <sheetData sheetId="7"/>
      <sheetData sheetId="8"/>
      <sheetData sheetId="9"/>
      <sheetData sheetId="10"/>
      <sheetData sheetId="11"/>
      <sheetData sheetId="12"/>
      <sheetData sheetId="13">
        <row r="5">
          <cell r="C5" t="str">
            <v>bed_avail_check</v>
          </cell>
          <cell r="E5" t="str">
            <v>bed_avail_check</v>
          </cell>
          <cell r="F5" t="str">
            <v>alt_func_id</v>
          </cell>
          <cell r="G5" t="str">
            <v>bed_count</v>
          </cell>
          <cell r="H5" t="str">
            <v>act_care_unit_id</v>
          </cell>
          <cell r="I5" t="str">
            <v>func_pri</v>
          </cell>
          <cell r="J5" t="str">
            <v>block_check</v>
          </cell>
        </row>
      </sheetData>
      <sheetData sheetId="14">
        <row r="4">
          <cell r="B4" t="str">
            <v>B3-Bx-A1-sy</v>
          </cell>
          <cell r="C4">
            <v>4336831142</v>
          </cell>
        </row>
      </sheetData>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F94F99-A92E-4643-86BC-A156F6E8909A}" name="Shift_Track" displayName="Shift_Track" ref="B18:N100" totalsRowShown="0" headerRowDxfId="63" dataDxfId="61" headerRowBorderDxfId="62" tableBorderDxfId="60">
  <autoFilter ref="B18:N100" xr:uid="{E5F94F99-A92E-4643-86BC-A156F6E8909A}">
    <filterColumn colId="6">
      <customFilters>
        <customFilter operator="notEqual" val=" "/>
      </customFilters>
    </filterColumn>
  </autoFilter>
  <tableColumns count="13">
    <tableColumn id="2" xr3:uid="{9DE30C74-B831-41A8-B670-82A862381D10}" name="Date" dataDxfId="59"/>
    <tableColumn id="3" xr3:uid="{907F1576-EAAF-4009-887A-D220B15230E8}" name="St." dataDxfId="58">
      <calculatedColumnFormula>_xlfn.XLOOKUP(Shift_Track[[#This Row],[Date]],Shift_Status_Ref[Shift Date],Shift_Status_Ref[Status],"",-1)</calculatedColumnFormula>
    </tableColumn>
    <tableColumn id="1" xr3:uid="{298F3C92-FDC5-4259-8DDE-6C14550D9643}" name="* Code *" dataDxfId="57"/>
    <tableColumn id="8" xr3:uid="{801E9999-C69A-42AD-8275-94722EAA7C37}" name="Hrs/_x000a_Pay Period" dataDxfId="56">
      <calculatedColumnFormula>_xlfn.XLOOKUP(Shift_Track[[#This Row],[Pay Period]],Hours_Sum[Pay Due],Hours_Sum[Total Hrs],"",0)</calculatedColumnFormula>
    </tableColumn>
    <tableColumn id="11" xr3:uid="{CBF5484C-B143-40A4-9B4A-89B93819FF56}" name="* Unit *" dataDxfId="55"/>
    <tableColumn id="16" xr3:uid="{8F32EFD1-6F85-4957-91FE-5DCC421E44CB}" name="Hrs_x000a_Day" dataDxfId="54">
      <calculatedColumnFormula>SUM(Shift_Track[[#This Row],[Reg
Hrs]],Shift_Track[[#This Row],[1.5x OT
Hrs]],Shift_Track[[#This Row],[2x OT
Hrs]])</calculatedColumnFormula>
    </tableColumn>
    <tableColumn id="17" xr3:uid="{D49FA18E-681E-4953-9E2E-43A2EB846836}" name="Pay Period" dataDxfId="53">
      <calculatedColumnFormula>_xlfn.XLOOKUP(Shift_Track[[#This Row],[Date]],Dates_Ref[Start],Dates_Ref[QCH due],"",-1)</calculatedColumnFormula>
    </tableColumn>
    <tableColumn id="5" xr3:uid="{5A6FE636-BFBC-43E2-BE01-D2E81B0204E0}" name="Reg_x000a_Hrs" dataDxfId="52">
      <calculatedColumnFormula>_xlfn.XLOOKUP(Shift_Track[[#This Row],[* Code *]],Shift_Codes[Code],Shift_Codes[Reg Hrs],"",0)</calculatedColumnFormula>
    </tableColumn>
    <tableColumn id="6" xr3:uid="{76E92E0D-31E2-402C-B337-71D096B048F3}" name="1.5x OT_x000a_Hrs" dataDxfId="51">
      <calculatedColumnFormula>_xlfn.XLOOKUP(Shift_Track[[#This Row],[* Code *]],Shift_Codes[Code],Shift_Codes[1.5 OT Hrs],"",0)</calculatedColumnFormula>
    </tableColumn>
    <tableColumn id="7" xr3:uid="{D6BF488E-FF9D-425C-B1F0-66AC30C02D6B}" name="2x OT_x000a_Hrs" dataDxfId="50">
      <calculatedColumnFormula>_xlfn.XLOOKUP(Shift_Track[[#This Row],[* Code *]],Shift_Codes[Code],Shift_Codes[2 OT Hrs],"",0)</calculatedColumnFormula>
    </tableColumn>
    <tableColumn id="9" xr3:uid="{6085B916-B9B3-409E-AE27-566A362C8E89}" name="Shift_x000a_Start" dataDxfId="49">
      <calculatedColumnFormula>_xlfn.XLOOKUP(Shift_Track[[#This Row],[* Code *]],Shift_Codes[Code],Shift_Codes[Start],"",0)</calculatedColumnFormula>
    </tableColumn>
    <tableColumn id="10" xr3:uid="{E6895CB7-7295-41F3-87B1-2225307E83CE}" name="Shift_x000a_End" dataDxfId="48">
      <calculatedColumnFormula>_xlfn.XLOOKUP(Shift_Track[[#This Row],[* Code *]],Shift_Codes[Code],Shift_Codes[End],"",0)</calculatedColumnFormula>
    </tableColumn>
    <tableColumn id="13" xr3:uid="{C56D19AE-F838-4D87-A910-C216D82E028E}" name="Comments" dataDxfId="47"/>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A4A9F81-42D8-41A2-A2CE-8F5DAC85A818}" name="Shift_Status" displayName="Shift_Status" ref="B6:C11" totalsRowShown="0" headerRowDxfId="46" dataDxfId="45">
  <autoFilter ref="B6:C11" xr:uid="{3A4A9F81-42D8-41A2-A2CE-8F5DAC85A818}">
    <filterColumn colId="0" hiddenButton="1"/>
    <filterColumn colId="1" hiddenButton="1"/>
  </autoFilter>
  <tableColumns count="2">
    <tableColumn id="1" xr3:uid="{ACE0F1EB-18F8-488D-9413-F3C127A6AF0B}" name="Status" dataDxfId="44"/>
    <tableColumn id="2" xr3:uid="{3C79073F-BF8B-493A-BAAF-D8B6A066AF00}" name="Code" dataDxfId="43"/>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E50C83-0766-4B52-90FB-F36E944FA454}" name="Table3" displayName="Table3" ref="E6:F9" totalsRowShown="0" headerRowDxfId="42" dataDxfId="41">
  <autoFilter ref="E6:F9" xr:uid="{7EE50C83-0766-4B52-90FB-F36E944FA454}"/>
  <tableColumns count="2">
    <tableColumn id="1" xr3:uid="{AB756480-4F2C-4C3C-BC8E-7D461532E9CA}" name="Hrs_x000a_Pay Period" dataDxfId="40"/>
    <tableColumn id="2" xr3:uid="{99A28D5F-E34E-4D88-8CF1-E209C25C3A1B}" name="Code" dataDxfId="3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11A54A-4509-4C3B-AB2F-6EC33A1A5D06}" name="Hours_Sum" displayName="Hours_Sum" ref="B7:L347" totalsRowShown="0" headerRowDxfId="38">
  <autoFilter ref="B7:L347" xr:uid="{A811A54A-4509-4C3B-AB2F-6EC33A1A5D06}"/>
  <tableColumns count="11">
    <tableColumn id="9" xr3:uid="{FA6C6E98-2C10-4751-81FC-242FAEF14BDF}" name="Pay Due" dataDxfId="37"/>
    <tableColumn id="1" xr3:uid="{97510877-9B87-4D72-AB74-344163762309}" name="PP Start" dataDxfId="36">
      <calculatedColumnFormula>_xlfn.XLOOKUP(Hours_Sum[[#This Row],[Pay Due]],Dates_Ref[QCH due],Dates_Ref[Start],"",0)</calculatedColumnFormula>
    </tableColumn>
    <tableColumn id="2" xr3:uid="{89F8AFA6-84A6-4627-A82F-3B2544EB3D21}" name="PP End" dataDxfId="35">
      <calculatedColumnFormula>Hours_Sum[[#This Row],[PP Start]]+13</calculatedColumnFormula>
    </tableColumn>
    <tableColumn id="11" xr3:uid="{DF2B26C9-18FD-4E7C-A5E0-B469D0D1DDF5}" name="Total Hrs" dataDxfId="34">
      <calculatedColumnFormula>SUM(Hours_Sum[[#This Row],[Reg Hrs]],Hours_Sum[[#This Row],[1.5x OT Hrs]],Hours_Sum[[#This Row],[2x OT Hrs]])</calculatedColumnFormula>
    </tableColumn>
    <tableColumn id="4" xr3:uid="{54B26062-BE49-459F-905D-9A1D59EC052A}" name="Reg Hrs" dataDxfId="33">
      <calculatedColumnFormula>SUMIFS(Shift_Track[Reg
Hrs],Shift_Track[Pay Period],Hours_Sum[[#This Row],[Pay Due]])</calculatedColumnFormula>
    </tableColumn>
    <tableColumn id="5" xr3:uid="{AF9C1ADF-18D3-4646-82B3-31A3C8452F18}" name="1.5x OT Hrs" dataDxfId="32">
      <calculatedColumnFormula>SUMIFS(Shift_Track[1.5x OT
Hrs],Shift_Track[Pay Period],Hours_Sum[[#This Row],[Pay Due]])</calculatedColumnFormula>
    </tableColumn>
    <tableColumn id="8" xr3:uid="{E2C7D762-92EC-47BA-BC23-9A55F3DE9E2F}" name="2x OT Hrs" dataDxfId="31">
      <calculatedColumnFormula>SUMIFS(Shift_Track[2x OT
Hrs],Shift_Track[Pay Period],Hours_Sum[[#This Row],[Pay Due]])</calculatedColumnFormula>
    </tableColumn>
    <tableColumn id="7" xr3:uid="{4AFC566D-7457-4CC1-A4E9-1AD76C4D8CEC}" name="Tot Hrs_x000a_(Converted)" dataDxfId="30">
      <calculatedColumnFormula>SUM(Hours_Sum[[#This Row],[Reg Hrs]],1.5*Hours_Sum[[#This Row],[1.5x OT Hrs]],2*Hours_Sum[[#This Row],[2x OT Hrs]])</calculatedColumnFormula>
    </tableColumn>
    <tableColumn id="6" xr3:uid="{EF977ACB-4B60-45B9-A779-2BDC777F2D8A}" name="Est. Total Amount" dataDxfId="29">
      <calculatedColumnFormula>Hours_Sum[[#This Row],[Tot Hrs
(Converted)]]*22</calculatedColumnFormula>
    </tableColumn>
    <tableColumn id="10" xr3:uid="{A4ADF2AC-AEFB-4EFA-9187-B4AF8CAEFFC7}" name="Year" dataDxfId="28">
      <calculatedColumnFormula>YEAR(Hours_Sum[[#This Row],[Pay Due]])</calculatedColumnFormula>
    </tableColumn>
    <tableColumn id="3" xr3:uid="{B164EBD5-A4C7-46F2-939D-A08AF7391927}" name="Month" dataDxfId="27">
      <calculatedColumnFormula>TEXT(Hours_Sum[[#This Row],[Pay Due]],"MMMM")</calculatedColumnFormula>
    </tableColumn>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8125FC-5540-4087-9D1E-777C13123867}" name="Shift_Codes" displayName="Shift_Codes" ref="B5:G30" totalsRowShown="0">
  <autoFilter ref="B5:G30" xr:uid="{F68125FC-5540-4087-9D1E-777C13123867}"/>
  <sortState xmlns:xlrd2="http://schemas.microsoft.com/office/spreadsheetml/2017/richdata2" ref="B6:G30">
    <sortCondition ref="C5:C30"/>
  </sortState>
  <tableColumns count="6">
    <tableColumn id="1" xr3:uid="{74F50A36-BB34-4E0A-AD11-C5DCCC80201B}" name="Code"/>
    <tableColumn id="2" xr3:uid="{165D7713-5EF6-47DC-BEDA-3BF244B05E50}" name="Start"/>
    <tableColumn id="3" xr3:uid="{8BC99219-BA12-4D03-A4A1-65695926A3B9}" name="End" dataDxfId="26"/>
    <tableColumn id="4" xr3:uid="{25158090-4323-4B5C-B469-BF7537D18F8F}" name="Reg Hrs"/>
    <tableColumn id="5" xr3:uid="{AAE75845-9692-4EF6-AA5F-C5E893B8C4A3}" name="1.5 OT Hrs"/>
    <tableColumn id="6" xr3:uid="{BC3A7E4E-E3BB-4AAA-B813-E6BE2E96FDBF}" name="2 OT Hrs"/>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6BF129-01A0-42F3-9ADF-4896F251894B}" name="Units" displayName="Units" ref="I5:J15" totalsRowShown="0">
  <autoFilter ref="I5:J15" xr:uid="{DC6BF129-01A0-42F3-9ADF-4896F251894B}"/>
  <tableColumns count="2">
    <tableColumn id="1" xr3:uid="{56A6942A-7C02-44E7-8BD6-DEBFAD597C45}" name="Unit"/>
    <tableColumn id="2" xr3:uid="{52B70A61-D6BB-4C29-8BA4-2443E0132BEF}" name="Column1"/>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2F72C9F-3A02-4187-9A92-8A44BB0AB8D8}" name="Shift_Status_Ref" displayName="Shift_Status_Ref" ref="L6:M9" totalsRowShown="0" dataDxfId="25">
  <autoFilter ref="L6:M9" xr:uid="{62F72C9F-3A02-4187-9A92-8A44BB0AB8D8}"/>
  <tableColumns count="2">
    <tableColumn id="1" xr3:uid="{53BFAFFE-D501-4C2E-9BC7-4581158D74FA}" name="Status" dataDxfId="24"/>
    <tableColumn id="2" xr3:uid="{32C52A59-E333-4F1C-ABE5-3BD5F9749B89}" name="Shift Date" dataDxfId="23"/>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A958D5-1A8C-4FCB-BE98-A9A5D4ECCD6B}" name="Status_Codes" displayName="Status_Codes" ref="L12:L17" totalsRowShown="0">
  <autoFilter ref="L12:L17" xr:uid="{53A958D5-1A8C-4FCB-BE98-A9A5D4ECCD6B}"/>
  <tableColumns count="1">
    <tableColumn id="1" xr3:uid="{7341BD49-E9B8-4436-AA7F-A6CD20AED2F3}" name="Status"/>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DABAB-5C59-4FB8-9925-68914FA124CE}" name="Dates_Ref" displayName="Dates_Ref" ref="B4:J948" totalsRowShown="0">
  <autoFilter ref="B4:J948" xr:uid="{1B97D575-C524-47C0-B0F6-29A993F6A318}"/>
  <tableColumns count="9">
    <tableColumn id="1" xr3:uid="{AFD80BC1-1416-480C-9F27-EA333D5E5886}" name="Month" dataDxfId="22">
      <calculatedColumnFormula>MONTH(Dates_Ref[[#This Row],[Start]])</calculatedColumnFormula>
    </tableColumn>
    <tableColumn id="2" xr3:uid="{E6A053FA-1A30-4749-AA02-308261BA74C1}" name="Start" dataDxfId="21"/>
    <tableColumn id="5" xr3:uid="{742EE0B1-C362-42F1-BE6E-6E8A6D869A53}" name="Week # 1" dataDxfId="20"/>
    <tableColumn id="4" xr3:uid="{4B58693B-5E86-4E9B-BCC5-A7DF288D20C0}" name="Pay QCH"/>
    <tableColumn id="6" xr3:uid="{A7CAB6C4-552B-495A-ADC0-EE5E31567D09}" name="QCH due"/>
    <tableColumn id="7" xr3:uid="{8A944FED-ED0C-4810-AB10-31FB5F5ED561}" name="credit period" dataDxfId="19">
      <calculatedColumnFormula>IF(Dates_Ref[[#This Row],[Pay QCH]]&lt;&gt;E4,Dates_Ref[[#This Row],[Start]]+18,"")</calculatedColumnFormula>
    </tableColumn>
    <tableColumn id="8" xr3:uid="{7C826480-F8A1-45C8-BE40-C5EE0539DE2F}" name="Column1" dataDxfId="18">
      <calculatedColumnFormula>WEEKDAY(Dates_Ref[[#This Row],[Start]],2)</calculatedColumnFormula>
    </tableColumn>
    <tableColumn id="9" xr3:uid="{A79D4AEA-3977-4B5B-A13C-9A9A85BB36A5}" name="Column2" dataDxfId="17">
      <calculatedColumnFormula>WEEKNUM(Dates_Ref[[#This Row],[Start]],21)</calculatedColumnFormula>
    </tableColumn>
    <tableColumn id="10" xr3:uid="{8ED81FC7-F59A-445A-AFA6-7DCFD669B43A}" name="Column3"/>
  </tableColumns>
  <tableStyleInfo name="TableStyleLight1"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 Id="rId5" Type="http://schemas.openxmlformats.org/officeDocument/2006/relationships/table" Target="../tables/table8.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DC7F-D84E-4089-AEB3-DEC0EEA404EA}">
  <sheetPr codeName="Sheet1">
    <tabColor theme="0"/>
  </sheetPr>
  <dimension ref="A1:W60"/>
  <sheetViews>
    <sheetView showGridLines="0" tabSelected="1" workbookViewId="0">
      <selection activeCell="L8" sqref="L8"/>
    </sheetView>
  </sheetViews>
  <sheetFormatPr defaultRowHeight="15" x14ac:dyDescent="0.25"/>
  <cols>
    <col min="1" max="1" width="12.5703125" style="109" customWidth="1"/>
    <col min="2" max="2" width="2.140625" customWidth="1"/>
    <col min="3" max="3" width="9.28515625" customWidth="1"/>
    <col min="4" max="4" width="8.28515625" customWidth="1"/>
    <col min="5" max="5" width="45.85546875" customWidth="1"/>
    <col min="6" max="6" width="99.42578125" customWidth="1"/>
    <col min="7" max="10" width="9.140625" customWidth="1"/>
    <col min="12" max="12" width="9.140625" customWidth="1"/>
    <col min="21" max="21" width="9.140625" customWidth="1"/>
  </cols>
  <sheetData>
    <row r="1" spans="2:23" ht="9" customHeight="1" x14ac:dyDescent="0.25"/>
    <row r="2" spans="2:23" ht="9" customHeight="1" x14ac:dyDescent="0.25"/>
    <row r="3" spans="2:23" ht="32.25" thickBot="1" x14ac:dyDescent="0.55000000000000004">
      <c r="B3" s="69"/>
      <c r="C3" s="70" t="s">
        <v>114</v>
      </c>
      <c r="D3" s="69"/>
      <c r="E3" s="69"/>
      <c r="F3" s="69"/>
      <c r="G3" s="69"/>
      <c r="H3" s="69"/>
      <c r="I3" s="69"/>
      <c r="J3" s="69"/>
      <c r="K3" s="69"/>
      <c r="L3" s="69"/>
      <c r="M3" s="69"/>
      <c r="N3" s="69"/>
      <c r="O3" s="69"/>
      <c r="P3" s="69"/>
      <c r="Q3" s="69"/>
      <c r="R3" s="69"/>
      <c r="S3" s="69"/>
      <c r="T3" s="69"/>
      <c r="U3" s="69"/>
      <c r="V3" s="69"/>
      <c r="W3" s="69"/>
    </row>
    <row r="4" spans="2:23" ht="9" customHeight="1" thickTop="1" x14ac:dyDescent="0.25">
      <c r="R4" s="71"/>
      <c r="S4" s="71"/>
      <c r="T4" s="71"/>
    </row>
    <row r="5" spans="2:23" ht="15" customHeight="1" x14ac:dyDescent="0.25">
      <c r="C5" s="72"/>
      <c r="D5" s="73"/>
      <c r="E5" s="73"/>
      <c r="F5" s="73"/>
      <c r="G5" s="74"/>
      <c r="H5" s="74"/>
    </row>
    <row r="6" spans="2:23" ht="24.95" customHeight="1" x14ac:dyDescent="0.35">
      <c r="B6" s="75"/>
      <c r="C6" s="114" t="s">
        <v>115</v>
      </c>
      <c r="D6" s="77"/>
      <c r="E6" s="77"/>
      <c r="F6" s="77"/>
      <c r="G6" s="78"/>
      <c r="H6" s="78"/>
      <c r="I6" s="79"/>
      <c r="J6" s="79"/>
      <c r="K6" s="79"/>
      <c r="L6" s="79"/>
      <c r="M6" s="79"/>
      <c r="N6" s="79"/>
    </row>
    <row r="7" spans="2:23" ht="9.75" customHeight="1" x14ac:dyDescent="0.35">
      <c r="B7" s="75"/>
      <c r="C7" s="76"/>
      <c r="D7" s="77"/>
      <c r="E7" s="77"/>
      <c r="F7" s="77"/>
      <c r="G7" s="78"/>
      <c r="H7" s="78"/>
      <c r="I7" s="79"/>
      <c r="J7" s="79"/>
      <c r="K7" s="79"/>
      <c r="L7" s="79"/>
      <c r="M7" s="79"/>
      <c r="N7" s="79"/>
    </row>
    <row r="8" spans="2:23" ht="51.75" customHeight="1" x14ac:dyDescent="0.35">
      <c r="B8" s="75"/>
      <c r="C8" s="76"/>
      <c r="D8" s="118" t="s">
        <v>118</v>
      </c>
      <c r="E8" s="118"/>
      <c r="F8" s="118"/>
      <c r="G8" s="78"/>
      <c r="H8" s="78"/>
      <c r="I8" s="79"/>
      <c r="J8" s="79"/>
      <c r="K8" s="79"/>
      <c r="L8" s="79"/>
      <c r="M8" s="79"/>
      <c r="N8" s="79"/>
    </row>
    <row r="9" spans="2:23" ht="45.75" customHeight="1" x14ac:dyDescent="0.35">
      <c r="B9" s="75"/>
      <c r="C9" s="80"/>
      <c r="D9" s="118" t="s">
        <v>119</v>
      </c>
      <c r="E9" s="118"/>
      <c r="F9" s="118"/>
      <c r="G9" s="78"/>
      <c r="H9" s="78"/>
      <c r="I9" s="79"/>
      <c r="J9" s="79"/>
      <c r="K9" s="79"/>
      <c r="L9" s="79"/>
      <c r="M9" s="79"/>
      <c r="N9" s="79"/>
    </row>
    <row r="10" spans="2:23" ht="7.5" customHeight="1" x14ac:dyDescent="0.35">
      <c r="B10" s="75"/>
      <c r="C10" s="80"/>
      <c r="D10" s="112"/>
      <c r="E10" s="112"/>
      <c r="F10" s="111"/>
      <c r="G10" s="78"/>
      <c r="H10" s="78"/>
      <c r="I10" s="79"/>
      <c r="J10" s="79"/>
      <c r="K10" s="79"/>
      <c r="L10" s="79"/>
      <c r="M10" s="79"/>
      <c r="N10" s="79"/>
    </row>
    <row r="11" spans="2:23" ht="72.75" customHeight="1" x14ac:dyDescent="0.35">
      <c r="B11" s="75"/>
      <c r="C11" s="80"/>
      <c r="D11" s="118" t="s">
        <v>120</v>
      </c>
      <c r="E11" s="118"/>
      <c r="F11" s="118"/>
      <c r="G11" s="78"/>
      <c r="H11" s="78"/>
      <c r="I11" s="79"/>
      <c r="J11" s="79"/>
      <c r="K11" s="79"/>
      <c r="L11" s="79"/>
      <c r="M11" s="79"/>
      <c r="N11" s="79"/>
    </row>
    <row r="12" spans="2:23" ht="24.95" customHeight="1" x14ac:dyDescent="0.35">
      <c r="B12" s="75"/>
      <c r="C12" s="80"/>
      <c r="D12" s="113"/>
      <c r="E12" s="112"/>
      <c r="F12" s="111"/>
      <c r="G12" s="78"/>
      <c r="H12" s="78"/>
      <c r="I12" s="79"/>
      <c r="J12" s="79"/>
      <c r="K12" s="79"/>
      <c r="L12" s="79"/>
      <c r="M12" s="79"/>
      <c r="N12" s="79"/>
    </row>
    <row r="13" spans="2:23" ht="15.75" customHeight="1" x14ac:dyDescent="0.35">
      <c r="B13" s="75"/>
      <c r="C13" s="76"/>
      <c r="D13" s="111"/>
      <c r="E13" s="111"/>
      <c r="F13" s="111"/>
      <c r="G13" s="78"/>
      <c r="H13" s="78"/>
      <c r="I13" s="79"/>
      <c r="J13" s="79"/>
      <c r="K13" s="79"/>
      <c r="L13" s="79"/>
      <c r="M13" s="79"/>
      <c r="N13" s="79"/>
    </row>
    <row r="14" spans="2:23" ht="24.95" customHeight="1" x14ac:dyDescent="0.4">
      <c r="B14" s="81"/>
      <c r="C14" s="82" t="s">
        <v>110</v>
      </c>
      <c r="D14" s="83"/>
      <c r="E14" s="83"/>
      <c r="F14" s="76"/>
      <c r="G14" s="76"/>
      <c r="H14" s="76"/>
      <c r="I14" s="76"/>
      <c r="J14" s="76"/>
      <c r="K14" s="76"/>
      <c r="L14" s="76"/>
      <c r="M14" s="79"/>
      <c r="N14" s="79"/>
    </row>
    <row r="15" spans="2:23" ht="9.9499999999999993" customHeight="1" x14ac:dyDescent="0.35">
      <c r="B15" s="74"/>
      <c r="C15" s="76"/>
      <c r="D15" s="84"/>
      <c r="E15" s="84"/>
      <c r="F15" s="84"/>
      <c r="G15" s="84"/>
      <c r="H15" s="84"/>
      <c r="I15" s="76"/>
      <c r="J15" s="76"/>
      <c r="K15" s="76"/>
      <c r="L15" s="76"/>
      <c r="M15" s="79"/>
      <c r="N15" s="79"/>
    </row>
    <row r="16" spans="2:23" ht="24.95" customHeight="1" x14ac:dyDescent="0.35">
      <c r="B16" s="73"/>
      <c r="C16" s="84"/>
      <c r="D16" s="85" t="s">
        <v>111</v>
      </c>
      <c r="E16" s="76"/>
      <c r="F16" s="76"/>
      <c r="G16" s="76"/>
      <c r="H16" s="76"/>
      <c r="I16" s="76"/>
      <c r="J16" s="76"/>
      <c r="K16" s="76"/>
      <c r="L16" s="76"/>
      <c r="M16" s="79"/>
      <c r="N16" s="79"/>
    </row>
    <row r="17" spans="2:14" ht="9" customHeight="1" x14ac:dyDescent="0.35">
      <c r="B17" s="72"/>
      <c r="C17" s="84"/>
      <c r="D17" s="76"/>
      <c r="E17" s="84"/>
      <c r="F17" s="84"/>
      <c r="G17" s="84"/>
      <c r="H17" s="84"/>
      <c r="I17" s="76"/>
      <c r="J17" s="76"/>
      <c r="K17" s="76"/>
      <c r="L17" s="76"/>
      <c r="M17" s="79"/>
      <c r="N17" s="79"/>
    </row>
    <row r="18" spans="2:14" ht="24.95" customHeight="1" x14ac:dyDescent="0.35">
      <c r="B18" s="74"/>
      <c r="C18" s="76"/>
      <c r="D18" s="76"/>
      <c r="E18" s="115" t="s">
        <v>45</v>
      </c>
      <c r="F18" s="87"/>
      <c r="G18" s="84"/>
      <c r="H18" s="84"/>
      <c r="I18" s="76"/>
      <c r="J18" s="76"/>
      <c r="K18" s="76"/>
      <c r="L18" s="76"/>
      <c r="M18" s="79"/>
      <c r="N18" s="79"/>
    </row>
    <row r="19" spans="2:14" ht="9.9499999999999993" customHeight="1" x14ac:dyDescent="0.35">
      <c r="B19" s="88"/>
      <c r="C19" s="76"/>
      <c r="D19" s="76"/>
      <c r="E19" s="86"/>
      <c r="F19" s="87"/>
      <c r="G19" s="76"/>
      <c r="H19" s="76"/>
      <c r="I19" s="76"/>
      <c r="J19" s="76"/>
      <c r="K19" s="76"/>
      <c r="L19" s="76"/>
      <c r="M19" s="79"/>
      <c r="N19" s="79"/>
    </row>
    <row r="20" spans="2:14" ht="24.95" customHeight="1" x14ac:dyDescent="0.35">
      <c r="B20" s="89"/>
      <c r="C20" s="76"/>
      <c r="D20" s="85" t="s">
        <v>112</v>
      </c>
      <c r="E20" s="86"/>
      <c r="F20" s="90"/>
      <c r="G20" s="84"/>
      <c r="H20" s="84"/>
      <c r="I20" s="76"/>
      <c r="J20" s="76"/>
      <c r="K20" s="76"/>
      <c r="L20" s="76"/>
      <c r="M20" s="79"/>
      <c r="N20" s="79"/>
    </row>
    <row r="21" spans="2:14" ht="9" customHeight="1" x14ac:dyDescent="0.35">
      <c r="C21" s="76"/>
      <c r="D21" s="76"/>
      <c r="E21" s="86"/>
      <c r="F21" s="87"/>
      <c r="G21" s="76"/>
      <c r="H21" s="76"/>
      <c r="I21" s="76"/>
      <c r="J21" s="76"/>
      <c r="K21" s="76"/>
      <c r="L21" s="76"/>
      <c r="M21" s="79"/>
      <c r="N21" s="79"/>
    </row>
    <row r="22" spans="2:14" ht="24.95" customHeight="1" x14ac:dyDescent="0.35">
      <c r="C22" s="76"/>
      <c r="D22" s="76"/>
      <c r="E22" s="115" t="s">
        <v>96</v>
      </c>
      <c r="F22" s="91"/>
      <c r="G22" s="76"/>
      <c r="H22" s="76"/>
      <c r="I22" s="76"/>
      <c r="J22" s="76"/>
      <c r="K22" s="76"/>
      <c r="L22" s="76"/>
      <c r="M22" s="79"/>
      <c r="N22" s="79"/>
    </row>
    <row r="23" spans="2:14" ht="24.95" customHeight="1" x14ac:dyDescent="0.35">
      <c r="C23" s="84"/>
      <c r="D23" s="84"/>
      <c r="E23" s="116" t="s">
        <v>39</v>
      </c>
      <c r="F23" s="87"/>
      <c r="G23" s="76"/>
      <c r="H23" s="76"/>
      <c r="I23" s="76"/>
      <c r="J23" s="76"/>
      <c r="K23" s="76"/>
      <c r="L23" s="76"/>
      <c r="M23" s="79"/>
      <c r="N23" s="79"/>
    </row>
    <row r="24" spans="2:14" ht="24.95" customHeight="1" x14ac:dyDescent="0.35">
      <c r="B24" s="88"/>
      <c r="C24" s="93"/>
      <c r="D24" s="110" t="s">
        <v>116</v>
      </c>
      <c r="E24" s="86"/>
      <c r="F24" s="94"/>
      <c r="G24" s="93"/>
      <c r="H24" s="93"/>
      <c r="I24" s="93"/>
      <c r="J24" s="93"/>
      <c r="K24" s="93"/>
      <c r="L24" s="93"/>
    </row>
    <row r="25" spans="2:14" ht="8.25" customHeight="1" x14ac:dyDescent="0.25">
      <c r="C25" s="93"/>
      <c r="D25" s="93"/>
      <c r="E25" s="92"/>
      <c r="F25" s="94"/>
      <c r="G25" s="93"/>
      <c r="H25" s="93"/>
      <c r="I25" s="93"/>
      <c r="J25" s="93"/>
      <c r="K25" s="93"/>
      <c r="L25" s="93"/>
    </row>
    <row r="26" spans="2:14" ht="24.95" customHeight="1" x14ac:dyDescent="0.35">
      <c r="B26" s="89"/>
      <c r="C26" s="93"/>
      <c r="D26" s="93"/>
      <c r="E26" s="117" t="s">
        <v>117</v>
      </c>
      <c r="F26" s="96"/>
      <c r="G26" s="93"/>
      <c r="H26" s="93"/>
      <c r="I26" s="93"/>
      <c r="J26" s="93"/>
      <c r="K26" s="93"/>
      <c r="L26" s="93"/>
    </row>
    <row r="27" spans="2:14" ht="24.95" customHeight="1" x14ac:dyDescent="0.3">
      <c r="C27" s="97"/>
      <c r="D27" s="93"/>
      <c r="E27" s="95"/>
      <c r="F27" s="93"/>
      <c r="G27" s="93"/>
      <c r="H27" s="93"/>
      <c r="I27" s="93"/>
      <c r="J27" s="93"/>
      <c r="K27" s="93"/>
      <c r="L27" s="93"/>
    </row>
    <row r="28" spans="2:14" ht="24.95" customHeight="1" x14ac:dyDescent="0.3">
      <c r="B28" s="98"/>
      <c r="C28" s="97"/>
      <c r="D28" s="93"/>
      <c r="E28" s="95"/>
      <c r="F28" s="93"/>
      <c r="G28" s="93"/>
      <c r="H28" s="93"/>
      <c r="I28" s="93"/>
      <c r="J28" s="93"/>
      <c r="K28" s="93"/>
      <c r="L28" s="93"/>
    </row>
    <row r="29" spans="2:14" ht="24.95" customHeight="1" x14ac:dyDescent="0.3">
      <c r="C29" s="99"/>
      <c r="D29" s="93"/>
      <c r="E29" s="95"/>
      <c r="F29" s="93"/>
      <c r="G29" s="93"/>
      <c r="H29" s="93"/>
      <c r="I29" s="93"/>
      <c r="J29" s="93"/>
      <c r="K29" s="93"/>
      <c r="L29" s="93"/>
    </row>
    <row r="30" spans="2:14" ht="24.95" customHeight="1" x14ac:dyDescent="0.3">
      <c r="C30" s="97"/>
      <c r="D30" s="93"/>
      <c r="E30" s="95"/>
      <c r="F30" s="99"/>
      <c r="G30" s="93"/>
      <c r="H30" s="93"/>
      <c r="I30" s="93"/>
      <c r="J30" s="93"/>
      <c r="K30" s="93"/>
      <c r="L30" s="93"/>
    </row>
    <row r="31" spans="2:14" ht="24.95" customHeight="1" x14ac:dyDescent="0.3">
      <c r="C31" s="93"/>
      <c r="D31" s="93"/>
      <c r="E31" s="95"/>
      <c r="F31" s="93"/>
      <c r="G31" s="93"/>
      <c r="H31" s="93"/>
      <c r="I31" s="93"/>
      <c r="J31" s="93"/>
      <c r="K31" s="93"/>
      <c r="L31" s="93"/>
    </row>
    <row r="32" spans="2:14" ht="24.95" customHeight="1" x14ac:dyDescent="0.3">
      <c r="C32" s="93"/>
      <c r="D32" s="93"/>
      <c r="E32" s="95"/>
      <c r="F32" s="93"/>
      <c r="G32" s="93"/>
      <c r="H32" s="93"/>
      <c r="I32" s="93"/>
      <c r="J32" s="93"/>
      <c r="K32" s="93"/>
      <c r="L32" s="93"/>
    </row>
    <row r="33" spans="2:12" ht="24.95" customHeight="1" x14ac:dyDescent="0.3">
      <c r="C33" s="93"/>
      <c r="D33" s="93"/>
      <c r="E33" s="95"/>
      <c r="F33" s="93"/>
      <c r="G33" s="93"/>
      <c r="H33" s="93"/>
      <c r="I33" s="93"/>
      <c r="J33" s="93"/>
      <c r="K33" s="93"/>
      <c r="L33" s="93"/>
    </row>
    <row r="34" spans="2:12" ht="24.95" customHeight="1" x14ac:dyDescent="0.3">
      <c r="C34" s="93"/>
      <c r="D34" s="93"/>
      <c r="E34" s="95"/>
      <c r="F34" s="93"/>
      <c r="G34" s="93"/>
      <c r="H34" s="93"/>
      <c r="I34" s="93"/>
      <c r="J34" s="93"/>
      <c r="K34" s="93"/>
      <c r="L34" s="93"/>
    </row>
    <row r="35" spans="2:12" ht="24.95" customHeight="1" x14ac:dyDescent="0.3">
      <c r="C35" s="93"/>
      <c r="D35" s="93"/>
      <c r="E35" s="95"/>
      <c r="F35" s="93"/>
      <c r="G35" s="93"/>
      <c r="H35" s="93"/>
      <c r="I35" s="93"/>
      <c r="J35" s="93"/>
      <c r="K35" s="93"/>
      <c r="L35" s="93"/>
    </row>
    <row r="36" spans="2:12" ht="24.95" customHeight="1" x14ac:dyDescent="0.3">
      <c r="B36" s="98"/>
      <c r="C36" s="100"/>
      <c r="D36" s="93"/>
      <c r="E36" s="95"/>
      <c r="F36" s="93"/>
      <c r="G36" s="93"/>
      <c r="H36" s="93"/>
      <c r="I36" s="93"/>
      <c r="J36" s="93"/>
      <c r="K36" s="93"/>
      <c r="L36" s="93"/>
    </row>
    <row r="37" spans="2:12" ht="24.95" customHeight="1" x14ac:dyDescent="0.3">
      <c r="B37" s="101"/>
      <c r="C37" s="102"/>
      <c r="D37" s="93"/>
      <c r="E37" s="95"/>
      <c r="F37" s="93"/>
      <c r="G37" s="93"/>
      <c r="H37" s="93"/>
      <c r="I37" s="93"/>
      <c r="J37" s="93"/>
      <c r="K37" s="93"/>
      <c r="L37" s="93"/>
    </row>
    <row r="38" spans="2:12" ht="24.95" customHeight="1" x14ac:dyDescent="0.3">
      <c r="C38" s="102"/>
      <c r="D38" s="93"/>
      <c r="E38" s="95"/>
      <c r="F38" s="93"/>
      <c r="G38" s="93"/>
      <c r="H38" s="93"/>
      <c r="I38" s="93"/>
      <c r="J38" s="93"/>
      <c r="K38" s="93"/>
      <c r="L38" s="93"/>
    </row>
    <row r="39" spans="2:12" ht="24.95" customHeight="1" x14ac:dyDescent="0.25">
      <c r="C39" s="103"/>
      <c r="D39" s="93"/>
      <c r="F39" s="104"/>
      <c r="G39" s="93"/>
      <c r="H39" s="93"/>
      <c r="I39" s="93"/>
      <c r="J39" s="93"/>
      <c r="K39" s="93"/>
      <c r="L39" s="93"/>
    </row>
    <row r="40" spans="2:12" ht="24.95" customHeight="1" x14ac:dyDescent="0.35">
      <c r="C40" s="103"/>
      <c r="D40" s="85"/>
      <c r="E40" s="93"/>
      <c r="F40" s="97"/>
      <c r="G40" s="93"/>
      <c r="H40" s="93"/>
      <c r="I40" s="93"/>
      <c r="J40" s="93"/>
      <c r="K40" s="93"/>
      <c r="L40" s="93"/>
    </row>
    <row r="41" spans="2:12" ht="9.75" customHeight="1" x14ac:dyDescent="0.25">
      <c r="C41" s="105"/>
      <c r="E41" s="93"/>
      <c r="F41" s="97"/>
      <c r="G41" s="93"/>
      <c r="H41" s="93"/>
      <c r="I41" s="93"/>
      <c r="J41" s="93"/>
      <c r="K41" s="93"/>
      <c r="L41" s="93"/>
    </row>
    <row r="42" spans="2:12" ht="24.95" customHeight="1" x14ac:dyDescent="0.3">
      <c r="C42" s="105"/>
      <c r="E42" s="95"/>
      <c r="F42" s="106"/>
      <c r="G42" s="93"/>
      <c r="H42" s="93"/>
      <c r="I42" s="93"/>
      <c r="J42" s="93"/>
      <c r="K42" s="93"/>
      <c r="L42" s="93"/>
    </row>
    <row r="43" spans="2:12" ht="24.95" customHeight="1" x14ac:dyDescent="0.3">
      <c r="C43" s="105"/>
      <c r="E43" s="95"/>
      <c r="F43" s="106"/>
      <c r="G43" s="93"/>
      <c r="H43" s="93"/>
      <c r="I43" s="93"/>
      <c r="J43" s="93"/>
      <c r="K43" s="93"/>
      <c r="L43" s="93"/>
    </row>
    <row r="44" spans="2:12" ht="24.95" customHeight="1" x14ac:dyDescent="0.3">
      <c r="C44" s="105"/>
      <c r="E44" s="107"/>
      <c r="F44" s="108"/>
    </row>
    <row r="45" spans="2:12" ht="24.95" customHeight="1" x14ac:dyDescent="0.25">
      <c r="C45" s="105"/>
      <c r="F45" s="108"/>
    </row>
    <row r="46" spans="2:12" ht="24.95" customHeight="1" x14ac:dyDescent="0.25">
      <c r="C46" s="105"/>
      <c r="F46" s="108"/>
    </row>
    <row r="47" spans="2:12" ht="24.95" customHeight="1" x14ac:dyDescent="0.25">
      <c r="C47" s="105"/>
      <c r="F47" s="108"/>
    </row>
    <row r="48" spans="2:12" ht="24.95" customHeight="1" x14ac:dyDescent="0.25">
      <c r="C48" s="105"/>
      <c r="F48" s="108"/>
    </row>
    <row r="49" spans="3:6" ht="24.95" customHeight="1" x14ac:dyDescent="0.25">
      <c r="C49" s="105"/>
      <c r="F49" s="108"/>
    </row>
    <row r="50" spans="3:6" ht="24.95" customHeight="1" x14ac:dyDescent="0.25">
      <c r="C50" s="105"/>
      <c r="F50" s="108"/>
    </row>
    <row r="51" spans="3:6" ht="24.95" customHeight="1" x14ac:dyDescent="0.25">
      <c r="C51" s="105"/>
      <c r="F51" s="108"/>
    </row>
    <row r="52" spans="3:6" x14ac:dyDescent="0.25">
      <c r="C52" s="105"/>
      <c r="F52" s="108"/>
    </row>
    <row r="53" spans="3:6" x14ac:dyDescent="0.25">
      <c r="C53" s="105"/>
      <c r="F53" s="108"/>
    </row>
    <row r="54" spans="3:6" x14ac:dyDescent="0.25">
      <c r="C54" s="105"/>
      <c r="F54" s="108"/>
    </row>
    <row r="55" spans="3:6" x14ac:dyDescent="0.25">
      <c r="C55" s="105"/>
      <c r="F55" s="108"/>
    </row>
    <row r="56" spans="3:6" x14ac:dyDescent="0.25">
      <c r="C56" s="101"/>
      <c r="F56" s="108"/>
    </row>
    <row r="57" spans="3:6" x14ac:dyDescent="0.25">
      <c r="C57" s="101"/>
      <c r="F57" s="108"/>
    </row>
    <row r="58" spans="3:6" x14ac:dyDescent="0.25">
      <c r="C58" s="101"/>
    </row>
    <row r="60" spans="3:6" x14ac:dyDescent="0.25">
      <c r="F60" t="s">
        <v>113</v>
      </c>
    </row>
  </sheetData>
  <mergeCells count="3">
    <mergeCell ref="D8:F8"/>
    <mergeCell ref="D9:F9"/>
    <mergeCell ref="D11:F11"/>
  </mergeCells>
  <dataValidations count="1">
    <dataValidation type="list" allowBlank="1" showInputMessage="1" showErrorMessage="1" sqref="B39:B61 E40 E49:E57" xr:uid="{60B98525-486B-4F78-9632-A1E5F3F75472}">
      <formula1>INDIRECT("AcctRef[AccountName]")</formula1>
    </dataValidation>
  </dataValidations>
  <pageMargins left="0.25" right="0.25"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67CF-3E43-495A-ADD9-A295F703AAFA}">
  <dimension ref="B1:N143"/>
  <sheetViews>
    <sheetView topLeftCell="A4" zoomScale="85" zoomScaleNormal="85" workbookViewId="0">
      <pane ySplit="15" topLeftCell="A79" activePane="bottomLeft" state="frozen"/>
      <selection activeCell="A4" sqref="A4"/>
      <selection pane="bottomLeft" activeCell="J70" sqref="J70"/>
    </sheetView>
  </sheetViews>
  <sheetFormatPr defaultColWidth="9.140625" defaultRowHeight="24.95" customHeight="1" x14ac:dyDescent="0.25"/>
  <cols>
    <col min="1" max="1" width="2.5703125" style="11" customWidth="1"/>
    <col min="2" max="2" width="23.5703125" style="43" customWidth="1"/>
    <col min="3" max="3" width="7.140625" style="11" customWidth="1"/>
    <col min="4" max="4" width="11.42578125" style="11" customWidth="1"/>
    <col min="5" max="5" width="14" style="12" customWidth="1"/>
    <col min="6" max="6" width="12.7109375" style="11" customWidth="1"/>
    <col min="7" max="7" width="12.85546875" style="11" customWidth="1"/>
    <col min="8" max="8" width="16.7109375" style="11" customWidth="1"/>
    <col min="9" max="11" width="11.7109375" style="11" customWidth="1"/>
    <col min="12" max="12" width="10.7109375" style="11" customWidth="1"/>
    <col min="13" max="13" width="10.28515625" style="11" customWidth="1"/>
    <col min="14" max="14" width="31.5703125" style="11" customWidth="1"/>
    <col min="15" max="15" width="17.140625" style="11" customWidth="1"/>
    <col min="16" max="16" width="13.28515625" style="11" bestFit="1" customWidth="1"/>
    <col min="17" max="17" width="14.28515625" style="11" bestFit="1" customWidth="1"/>
    <col min="18" max="18" width="7.5703125" style="11" bestFit="1" customWidth="1"/>
    <col min="19" max="19" width="6" style="11" bestFit="1" customWidth="1"/>
    <col min="20" max="20" width="7.140625" style="11" bestFit="1" customWidth="1"/>
    <col min="21" max="21" width="18.28515625" style="11" bestFit="1" customWidth="1"/>
    <col min="22" max="30" width="16.28515625" style="11" bestFit="1" customWidth="1"/>
    <col min="31" max="31" width="11.28515625" style="11" bestFit="1" customWidth="1"/>
    <col min="32" max="54" width="17.5703125" style="11" bestFit="1" customWidth="1"/>
    <col min="55" max="55" width="19.28515625" style="11" bestFit="1" customWidth="1"/>
    <col min="56" max="56" width="22.5703125" style="11" bestFit="1" customWidth="1"/>
    <col min="57" max="57" width="22.42578125" style="11" bestFit="1" customWidth="1"/>
    <col min="58" max="16384" width="9.140625" style="11"/>
  </cols>
  <sheetData>
    <row r="1" spans="2:7" ht="16.5" customHeight="1" x14ac:dyDescent="0.25"/>
    <row r="2" spans="2:7" ht="24.95" customHeight="1" x14ac:dyDescent="0.45">
      <c r="B2" s="54" t="s">
        <v>45</v>
      </c>
      <c r="C2" s="13"/>
    </row>
    <row r="3" spans="2:7" ht="16.5" customHeight="1" x14ac:dyDescent="0.25">
      <c r="G3" s="25"/>
    </row>
    <row r="4" spans="2:7" ht="25.5" customHeight="1" x14ac:dyDescent="0.35">
      <c r="B4" s="44" t="s">
        <v>69</v>
      </c>
      <c r="G4" s="25"/>
    </row>
    <row r="5" spans="2:7" ht="12" customHeight="1" x14ac:dyDescent="0.25"/>
    <row r="6" spans="2:7" ht="33.75" customHeight="1" x14ac:dyDescent="0.25">
      <c r="B6" s="45" t="s">
        <v>17</v>
      </c>
      <c r="C6" s="30" t="s">
        <v>20</v>
      </c>
      <c r="E6" s="58" t="s">
        <v>47</v>
      </c>
      <c r="F6" s="42" t="s">
        <v>20</v>
      </c>
    </row>
    <row r="7" spans="2:7" ht="24.95" customHeight="1" x14ac:dyDescent="0.25">
      <c r="B7" s="46" t="s">
        <v>102</v>
      </c>
      <c r="C7" s="27">
        <v>1</v>
      </c>
      <c r="E7" s="59" t="s">
        <v>67</v>
      </c>
      <c r="F7" s="11">
        <v>1</v>
      </c>
    </row>
    <row r="8" spans="2:7" ht="24.95" customHeight="1" x14ac:dyDescent="0.25">
      <c r="B8" s="46" t="s">
        <v>42</v>
      </c>
      <c r="C8" s="28">
        <v>2</v>
      </c>
      <c r="E8" s="59" t="s">
        <v>68</v>
      </c>
      <c r="F8" s="31">
        <v>75</v>
      </c>
    </row>
    <row r="9" spans="2:7" ht="24.95" customHeight="1" x14ac:dyDescent="0.25">
      <c r="B9" s="46" t="s">
        <v>99</v>
      </c>
      <c r="C9" s="34">
        <v>3</v>
      </c>
      <c r="E9" s="59" t="s">
        <v>66</v>
      </c>
      <c r="F9" s="31">
        <v>80</v>
      </c>
    </row>
    <row r="10" spans="2:7" ht="24.95" customHeight="1" x14ac:dyDescent="0.25">
      <c r="B10" s="46" t="s">
        <v>89</v>
      </c>
      <c r="C10" s="33">
        <v>4</v>
      </c>
      <c r="E10" s="59"/>
      <c r="F10" s="31"/>
    </row>
    <row r="11" spans="2:7" ht="24.95" customHeight="1" x14ac:dyDescent="0.25">
      <c r="B11" s="46" t="s">
        <v>101</v>
      </c>
      <c r="C11" s="29">
        <v>5</v>
      </c>
      <c r="E11" s="59"/>
      <c r="F11" s="31"/>
    </row>
    <row r="12" spans="2:7" ht="9.75" customHeight="1" x14ac:dyDescent="0.25">
      <c r="B12" s="46"/>
      <c r="C12" s="26"/>
    </row>
    <row r="13" spans="2:7" ht="24.95" customHeight="1" x14ac:dyDescent="0.35">
      <c r="B13" s="47" t="s">
        <v>55</v>
      </c>
      <c r="C13" s="51"/>
    </row>
    <row r="14" spans="2:7" ht="24.95" customHeight="1" x14ac:dyDescent="0.35">
      <c r="B14" s="52">
        <f ca="1">TODAY()</f>
        <v>46014</v>
      </c>
      <c r="D14" s="17" t="s">
        <v>57</v>
      </c>
    </row>
    <row r="15" spans="2:7" ht="24.95" customHeight="1" x14ac:dyDescent="0.35">
      <c r="C15" s="14"/>
      <c r="D15" s="17" t="s">
        <v>58</v>
      </c>
    </row>
    <row r="16" spans="2:7" ht="24.95" customHeight="1" x14ac:dyDescent="0.35">
      <c r="C16" s="14"/>
      <c r="D16" s="17" t="s">
        <v>65</v>
      </c>
    </row>
    <row r="17" spans="2:14" ht="24.95" customHeight="1" x14ac:dyDescent="0.25">
      <c r="B17" s="48"/>
    </row>
    <row r="18" spans="2:14" ht="41.25" customHeight="1" x14ac:dyDescent="0.3">
      <c r="B18" s="49" t="s">
        <v>18</v>
      </c>
      <c r="C18" s="21" t="s">
        <v>103</v>
      </c>
      <c r="D18" s="21" t="s">
        <v>72</v>
      </c>
      <c r="E18" s="60" t="s">
        <v>73</v>
      </c>
      <c r="F18" s="22" t="s">
        <v>100</v>
      </c>
      <c r="G18" s="23" t="s">
        <v>46</v>
      </c>
      <c r="H18" s="24" t="s">
        <v>48</v>
      </c>
      <c r="I18" s="23" t="s">
        <v>49</v>
      </c>
      <c r="J18" s="22" t="s">
        <v>50</v>
      </c>
      <c r="K18" s="22" t="s">
        <v>51</v>
      </c>
      <c r="L18" s="23" t="s">
        <v>52</v>
      </c>
      <c r="M18" s="23" t="s">
        <v>53</v>
      </c>
      <c r="N18" s="21" t="s">
        <v>54</v>
      </c>
    </row>
    <row r="19" spans="2:14" ht="24.95" customHeight="1" x14ac:dyDescent="0.3">
      <c r="B19" s="50">
        <v>44921</v>
      </c>
      <c r="C19" s="20">
        <f ca="1">_xlfn.XLOOKUP(Shift_Track[[#This Row],[Date]],Shift_Status_Ref[Shift Date],Shift_Status_Ref[Status],"",-1)</f>
        <v>1</v>
      </c>
      <c r="D19" s="41" t="s">
        <v>44</v>
      </c>
      <c r="E19" s="40">
        <f>_xlfn.XLOOKUP(Shift_Track[[#This Row],[Pay Period]],Hours_Sum[Pay Due],Hours_Sum[Total Hrs],"",0)</f>
        <v>79.25</v>
      </c>
      <c r="F19" s="40"/>
      <c r="G19" s="57">
        <f>SUM(Shift_Track[[#This Row],[Reg
Hrs]],Shift_Track[[#This Row],[1.5x OT
Hrs]],Shift_Track[[#This Row],[2x OT
Hrs]])</f>
        <v>0.5</v>
      </c>
      <c r="H19" s="53">
        <f>_xlfn.XLOOKUP(Shift_Track[[#This Row],[Date]],Dates_Ref[Start],Dates_Ref[QCH due],"",-1)</f>
        <v>44939</v>
      </c>
      <c r="I19" s="18">
        <f>_xlfn.XLOOKUP(Shift_Track[[#This Row],[* Code *]],Shift_Codes[Code],Shift_Codes[Reg Hrs],"",0)</f>
        <v>0</v>
      </c>
      <c r="J19" s="18">
        <v>0.5</v>
      </c>
      <c r="K19" s="18">
        <f>_xlfn.XLOOKUP(Shift_Track[[#This Row],[* Code *]],Shift_Codes[Code],Shift_Codes[2 OT Hrs],"",0)</f>
        <v>0</v>
      </c>
      <c r="L19" s="19">
        <f>_xlfn.XLOOKUP(Shift_Track[[#This Row],[* Code *]],Shift_Codes[Code],Shift_Codes[Start],"",0)</f>
        <v>0</v>
      </c>
      <c r="M19" s="19">
        <f>_xlfn.XLOOKUP(Shift_Track[[#This Row],[* Code *]],Shift_Codes[Code],Shift_Codes[End],"",0)</f>
        <v>0</v>
      </c>
      <c r="N19" s="19"/>
    </row>
    <row r="20" spans="2:14" ht="24.95" customHeight="1" x14ac:dyDescent="0.3">
      <c r="B20" s="50">
        <v>44923</v>
      </c>
      <c r="C20" s="20">
        <f ca="1">_xlfn.XLOOKUP(Shift_Track[[#This Row],[Date]],Shift_Status_Ref[Shift Date],Shift_Status_Ref[Status],"",-1)</f>
        <v>1</v>
      </c>
      <c r="D20" s="41" t="s">
        <v>59</v>
      </c>
      <c r="E20" s="40">
        <f>_xlfn.XLOOKUP(Shift_Track[[#This Row],[Pay Period]],Hours_Sum[Pay Due],Hours_Sum[Total Hrs],"",0)</f>
        <v>79.25</v>
      </c>
      <c r="F20" s="40"/>
      <c r="G20" s="57">
        <f>SUM(Shift_Track[[#This Row],[Reg
Hrs]],Shift_Track[[#This Row],[1.5x OT
Hrs]],Shift_Track[[#This Row],[2x OT
Hrs]])</f>
        <v>11.25</v>
      </c>
      <c r="H20" s="53">
        <f>_xlfn.XLOOKUP(Shift_Track[[#This Row],[Date]],Dates_Ref[Start],Dates_Ref[QCH due],"",-1)</f>
        <v>44939</v>
      </c>
      <c r="I20" s="18">
        <f>_xlfn.XLOOKUP(Shift_Track[[#This Row],[* Code *]],Shift_Codes[Code],Shift_Codes[Reg Hrs],"",0)</f>
        <v>11.25</v>
      </c>
      <c r="J20" s="18">
        <f>_xlfn.XLOOKUP(Shift_Track[[#This Row],[* Code *]],Shift_Codes[Code],Shift_Codes[1.5 OT Hrs],"",0)</f>
        <v>0</v>
      </c>
      <c r="K20" s="18">
        <f>_xlfn.XLOOKUP(Shift_Track[[#This Row],[* Code *]],Shift_Codes[Code],Shift_Codes[2 OT Hrs],"",0)</f>
        <v>0</v>
      </c>
      <c r="L20" s="19">
        <f>_xlfn.XLOOKUP(Shift_Track[[#This Row],[* Code *]],Shift_Codes[Code],Shift_Codes[Start],"",0)</f>
        <v>700</v>
      </c>
      <c r="M20" s="19">
        <f>_xlfn.XLOOKUP(Shift_Track[[#This Row],[* Code *]],Shift_Codes[Code],Shift_Codes[End],"",0)</f>
        <v>1900</v>
      </c>
      <c r="N20" s="19"/>
    </row>
    <row r="21" spans="2:14" ht="24.95" customHeight="1" x14ac:dyDescent="0.3">
      <c r="B21" s="50">
        <v>44924</v>
      </c>
      <c r="C21" s="20">
        <f ca="1">_xlfn.XLOOKUP(Shift_Track[[#This Row],[Date]],Shift_Status_Ref[Shift Date],Shift_Status_Ref[Status],"",-1)</f>
        <v>1</v>
      </c>
      <c r="D21" s="41" t="s">
        <v>60</v>
      </c>
      <c r="E21" s="40">
        <f>_xlfn.XLOOKUP(Shift_Track[[#This Row],[Pay Period]],Hours_Sum[Pay Due],Hours_Sum[Total Hrs],"",0)</f>
        <v>79.25</v>
      </c>
      <c r="F21" s="40"/>
      <c r="G21" s="57">
        <f>SUM(Shift_Track[[#This Row],[Reg
Hrs]],Shift_Track[[#This Row],[1.5x OT
Hrs]],Shift_Track[[#This Row],[2x OT
Hrs]])</f>
        <v>11.25</v>
      </c>
      <c r="H21" s="53">
        <f>_xlfn.XLOOKUP(Shift_Track[[#This Row],[Date]],Dates_Ref[Start],Dates_Ref[QCH due],"",-1)</f>
        <v>44939</v>
      </c>
      <c r="I21" s="18">
        <f>_xlfn.XLOOKUP(Shift_Track[[#This Row],[* Code *]],Shift_Codes[Code],Shift_Codes[Reg Hrs],"",0)</f>
        <v>11.25</v>
      </c>
      <c r="J21" s="18">
        <f>_xlfn.XLOOKUP(Shift_Track[[#This Row],[* Code *]],Shift_Codes[Code],Shift_Codes[1.5 OT Hrs],"",0)</f>
        <v>0</v>
      </c>
      <c r="K21" s="18">
        <f>_xlfn.XLOOKUP(Shift_Track[[#This Row],[* Code *]],Shift_Codes[Code],Shift_Codes[2 OT Hrs],"",0)</f>
        <v>0</v>
      </c>
      <c r="L21" s="19">
        <f>_xlfn.XLOOKUP(Shift_Track[[#This Row],[* Code *]],Shift_Codes[Code],Shift_Codes[Start],"",0)</f>
        <v>1900</v>
      </c>
      <c r="M21" s="19">
        <f>_xlfn.XLOOKUP(Shift_Track[[#This Row],[* Code *]],Shift_Codes[Code],Shift_Codes[End],"",0)</f>
        <v>700</v>
      </c>
      <c r="N21" s="19"/>
    </row>
    <row r="22" spans="2:14" ht="24.95" customHeight="1" x14ac:dyDescent="0.3">
      <c r="B22" s="50">
        <v>44927</v>
      </c>
      <c r="C22" s="20">
        <f ca="1">_xlfn.XLOOKUP(Shift_Track[[#This Row],[Date]],Shift_Status_Ref[Shift Date],Shift_Status_Ref[Status],"",-1)</f>
        <v>1</v>
      </c>
      <c r="D22" s="41" t="s">
        <v>59</v>
      </c>
      <c r="E22" s="40">
        <f>_xlfn.XLOOKUP(Shift_Track[[#This Row],[Pay Period]],Hours_Sum[Pay Due],Hours_Sum[Total Hrs],"",0)</f>
        <v>79.25</v>
      </c>
      <c r="F22" s="40"/>
      <c r="G22" s="57">
        <f>SUM(Shift_Track[[#This Row],[Reg
Hrs]],Shift_Track[[#This Row],[1.5x OT
Hrs]],Shift_Track[[#This Row],[2x OT
Hrs]])</f>
        <v>11.25</v>
      </c>
      <c r="H22" s="53">
        <f>_xlfn.XLOOKUP(Shift_Track[[#This Row],[Date]],Dates_Ref[Start],Dates_Ref[QCH due],"",-1)</f>
        <v>44939</v>
      </c>
      <c r="I22" s="18">
        <f>_xlfn.XLOOKUP(Shift_Track[[#This Row],[* Code *]],Shift_Codes[Code],Shift_Codes[Reg Hrs],"",0)</f>
        <v>11.25</v>
      </c>
      <c r="J22" s="18">
        <f>_xlfn.XLOOKUP(Shift_Track[[#This Row],[* Code *]],Shift_Codes[Code],Shift_Codes[1.5 OT Hrs],"",0)</f>
        <v>0</v>
      </c>
      <c r="K22" s="18">
        <f>_xlfn.XLOOKUP(Shift_Track[[#This Row],[* Code *]],Shift_Codes[Code],Shift_Codes[2 OT Hrs],"",0)</f>
        <v>0</v>
      </c>
      <c r="L22" s="19">
        <f>_xlfn.XLOOKUP(Shift_Track[[#This Row],[* Code *]],Shift_Codes[Code],Shift_Codes[Start],"",0)</f>
        <v>700</v>
      </c>
      <c r="M22" s="19">
        <f>_xlfn.XLOOKUP(Shift_Track[[#This Row],[* Code *]],Shift_Codes[Code],Shift_Codes[End],"",0)</f>
        <v>1900</v>
      </c>
      <c r="N22" s="19"/>
    </row>
    <row r="23" spans="2:14" ht="24.95" customHeight="1" x14ac:dyDescent="0.3">
      <c r="B23" s="50">
        <v>44929</v>
      </c>
      <c r="C23" s="20">
        <f ca="1">_xlfn.XLOOKUP(Shift_Track[[#This Row],[Date]],Shift_Status_Ref[Shift Date],Shift_Status_Ref[Status],"",-1)</f>
        <v>1</v>
      </c>
      <c r="D23" s="41" t="s">
        <v>59</v>
      </c>
      <c r="E23" s="40">
        <f>_xlfn.XLOOKUP(Shift_Track[[#This Row],[Pay Period]],Hours_Sum[Pay Due],Hours_Sum[Total Hrs],"",0)</f>
        <v>79.25</v>
      </c>
      <c r="F23" s="40"/>
      <c r="G23" s="57">
        <f>SUM(Shift_Track[[#This Row],[Reg
Hrs]],Shift_Track[[#This Row],[1.5x OT
Hrs]],Shift_Track[[#This Row],[2x OT
Hrs]])</f>
        <v>11.25</v>
      </c>
      <c r="H23" s="53">
        <f>_xlfn.XLOOKUP(Shift_Track[[#This Row],[Date]],Dates_Ref[Start],Dates_Ref[QCH due],"",-1)</f>
        <v>44939</v>
      </c>
      <c r="I23" s="18">
        <f>_xlfn.XLOOKUP(Shift_Track[[#This Row],[* Code *]],Shift_Codes[Code],Shift_Codes[Reg Hrs],"",0)</f>
        <v>11.25</v>
      </c>
      <c r="J23" s="18">
        <f>_xlfn.XLOOKUP(Shift_Track[[#This Row],[* Code *]],Shift_Codes[Code],Shift_Codes[1.5 OT Hrs],"",0)</f>
        <v>0</v>
      </c>
      <c r="K23" s="18">
        <f>_xlfn.XLOOKUP(Shift_Track[[#This Row],[* Code *]],Shift_Codes[Code],Shift_Codes[2 OT Hrs],"",0)</f>
        <v>0</v>
      </c>
      <c r="L23" s="19">
        <f>_xlfn.XLOOKUP(Shift_Track[[#This Row],[* Code *]],Shift_Codes[Code],Shift_Codes[Start],"",0)</f>
        <v>700</v>
      </c>
      <c r="M23" s="19">
        <f>_xlfn.XLOOKUP(Shift_Track[[#This Row],[* Code *]],Shift_Codes[Code],Shift_Codes[End],"",0)</f>
        <v>1900</v>
      </c>
      <c r="N23" s="19"/>
    </row>
    <row r="24" spans="2:14" ht="24.95" customHeight="1" x14ac:dyDescent="0.3">
      <c r="B24" s="50">
        <v>44930</v>
      </c>
      <c r="C24" s="20">
        <f ca="1">_xlfn.XLOOKUP(Shift_Track[[#This Row],[Date]],Shift_Status_Ref[Shift Date],Shift_Status_Ref[Status],"",-1)</f>
        <v>1</v>
      </c>
      <c r="D24" s="41" t="s">
        <v>60</v>
      </c>
      <c r="E24" s="40">
        <f>_xlfn.XLOOKUP(Shift_Track[[#This Row],[Pay Period]],Hours_Sum[Pay Due],Hours_Sum[Total Hrs],"",0)</f>
        <v>79.25</v>
      </c>
      <c r="F24" s="40"/>
      <c r="G24" s="57">
        <f>SUM(Shift_Track[[#This Row],[Reg
Hrs]],Shift_Track[[#This Row],[1.5x OT
Hrs]],Shift_Track[[#This Row],[2x OT
Hrs]])</f>
        <v>11.25</v>
      </c>
      <c r="H24" s="53">
        <f>_xlfn.XLOOKUP(Shift_Track[[#This Row],[Date]],Dates_Ref[Start],Dates_Ref[QCH due],"",-1)</f>
        <v>44939</v>
      </c>
      <c r="I24" s="18">
        <f>_xlfn.XLOOKUP(Shift_Track[[#This Row],[* Code *]],Shift_Codes[Code],Shift_Codes[Reg Hrs],"",0)</f>
        <v>11.25</v>
      </c>
      <c r="J24" s="18">
        <f>_xlfn.XLOOKUP(Shift_Track[[#This Row],[* Code *]],Shift_Codes[Code],Shift_Codes[1.5 OT Hrs],"",0)</f>
        <v>0</v>
      </c>
      <c r="K24" s="18">
        <f>_xlfn.XLOOKUP(Shift_Track[[#This Row],[* Code *]],Shift_Codes[Code],Shift_Codes[2 OT Hrs],"",0)</f>
        <v>0</v>
      </c>
      <c r="L24" s="19">
        <f>_xlfn.XLOOKUP(Shift_Track[[#This Row],[* Code *]],Shift_Codes[Code],Shift_Codes[Start],"",0)</f>
        <v>1900</v>
      </c>
      <c r="M24" s="19">
        <f>_xlfn.XLOOKUP(Shift_Track[[#This Row],[* Code *]],Shift_Codes[Code],Shift_Codes[End],"",0)</f>
        <v>700</v>
      </c>
      <c r="N24" s="19"/>
    </row>
    <row r="25" spans="2:14" ht="24.95" customHeight="1" x14ac:dyDescent="0.3">
      <c r="B25" s="50">
        <v>44933</v>
      </c>
      <c r="C25" s="20">
        <f ca="1">_xlfn.XLOOKUP(Shift_Track[[#This Row],[Date]],Shift_Status_Ref[Shift Date],Shift_Status_Ref[Status],"",-1)</f>
        <v>1</v>
      </c>
      <c r="D25" s="41" t="s">
        <v>59</v>
      </c>
      <c r="E25" s="40">
        <f>_xlfn.XLOOKUP(Shift_Track[[#This Row],[Pay Period]],Hours_Sum[Pay Due],Hours_Sum[Total Hrs],"",0)</f>
        <v>79.25</v>
      </c>
      <c r="F25" s="40"/>
      <c r="G25" s="57">
        <f>SUM(Shift_Track[[#This Row],[Reg
Hrs]],Shift_Track[[#This Row],[1.5x OT
Hrs]],Shift_Track[[#This Row],[2x OT
Hrs]])</f>
        <v>11.25</v>
      </c>
      <c r="H25" s="53">
        <f>_xlfn.XLOOKUP(Shift_Track[[#This Row],[Date]],Dates_Ref[Start],Dates_Ref[QCH due],"",-1)</f>
        <v>44939</v>
      </c>
      <c r="I25" s="18">
        <v>7.5</v>
      </c>
      <c r="J25" s="18">
        <v>3.75</v>
      </c>
      <c r="K25" s="18">
        <f>_xlfn.XLOOKUP(Shift_Track[[#This Row],[* Code *]],Shift_Codes[Code],Shift_Codes[2 OT Hrs],"",0)</f>
        <v>0</v>
      </c>
      <c r="L25" s="19">
        <f>_xlfn.XLOOKUP(Shift_Track[[#This Row],[* Code *]],Shift_Codes[Code],Shift_Codes[Start],"",0)</f>
        <v>700</v>
      </c>
      <c r="M25" s="19">
        <f>_xlfn.XLOOKUP(Shift_Track[[#This Row],[* Code *]],Shift_Codes[Code],Shift_Codes[End],"",0)</f>
        <v>1900</v>
      </c>
      <c r="N25" s="19"/>
    </row>
    <row r="26" spans="2:14" ht="24.95" customHeight="1" x14ac:dyDescent="0.3">
      <c r="B26" s="50">
        <v>44934</v>
      </c>
      <c r="C26" s="20">
        <f ca="1">_xlfn.XLOOKUP(Shift_Track[[#This Row],[Date]],Shift_Status_Ref[Shift Date],Shift_Status_Ref[Status],"",-1)</f>
        <v>1</v>
      </c>
      <c r="D26" s="41" t="s">
        <v>59</v>
      </c>
      <c r="E26" s="40">
        <f>_xlfn.XLOOKUP(Shift_Track[[#This Row],[Pay Period]],Hours_Sum[Pay Due],Hours_Sum[Total Hrs],"",0)</f>
        <v>79.25</v>
      </c>
      <c r="F26" s="40"/>
      <c r="G26" s="57">
        <f>SUM(Shift_Track[[#This Row],[Reg
Hrs]],Shift_Track[[#This Row],[1.5x OT
Hrs]],Shift_Track[[#This Row],[2x OT
Hrs]])</f>
        <v>11.25</v>
      </c>
      <c r="H26" s="53">
        <f>_xlfn.XLOOKUP(Shift_Track[[#This Row],[Date]],Dates_Ref[Start],Dates_Ref[QCH due],"",-1)</f>
        <v>44939</v>
      </c>
      <c r="I26" s="18">
        <f>_xlfn.XLOOKUP(Shift_Track[[#This Row],[* Code *]],Shift_Codes[Code],Shift_Codes[Reg Hrs],"",0)</f>
        <v>11.25</v>
      </c>
      <c r="J26" s="18">
        <f>_xlfn.XLOOKUP(Shift_Track[[#This Row],[* Code *]],Shift_Codes[Code],Shift_Codes[1.5 OT Hrs],"",0)</f>
        <v>0</v>
      </c>
      <c r="K26" s="18">
        <f>_xlfn.XLOOKUP(Shift_Track[[#This Row],[* Code *]],Shift_Codes[Code],Shift_Codes[2 OT Hrs],"",0)</f>
        <v>0</v>
      </c>
      <c r="L26" s="19">
        <f>_xlfn.XLOOKUP(Shift_Track[[#This Row],[* Code *]],Shift_Codes[Code],Shift_Codes[Start],"",0)</f>
        <v>700</v>
      </c>
      <c r="M26" s="19">
        <f>_xlfn.XLOOKUP(Shift_Track[[#This Row],[* Code *]],Shift_Codes[Code],Shift_Codes[End],"",0)</f>
        <v>1900</v>
      </c>
      <c r="N26" s="19"/>
    </row>
    <row r="27" spans="2:14" ht="24.95" customHeight="1" x14ac:dyDescent="0.3">
      <c r="B27" s="50">
        <v>44937</v>
      </c>
      <c r="C27" s="20">
        <f ca="1">_xlfn.XLOOKUP(Shift_Track[[#This Row],[Date]],Shift_Status_Ref[Shift Date],Shift_Status_Ref[Status],"",-1)</f>
        <v>1</v>
      </c>
      <c r="D27" s="41" t="s">
        <v>59</v>
      </c>
      <c r="E27" s="40">
        <f>_xlfn.XLOOKUP(Shift_Track[[#This Row],[Pay Period]],Hours_Sum[Pay Due],Hours_Sum[Total Hrs],"",0)</f>
        <v>67.5</v>
      </c>
      <c r="F27" s="40"/>
      <c r="G27" s="57">
        <f>SUM(Shift_Track[[#This Row],[Reg
Hrs]],Shift_Track[[#This Row],[1.5x OT
Hrs]],Shift_Track[[#This Row],[2x OT
Hrs]])</f>
        <v>11.25</v>
      </c>
      <c r="H27" s="53">
        <f>_xlfn.XLOOKUP(Shift_Track[[#This Row],[Date]],Dates_Ref[Start],Dates_Ref[QCH due],"",-1)</f>
        <v>44953</v>
      </c>
      <c r="I27" s="18">
        <f>_xlfn.XLOOKUP(Shift_Track[[#This Row],[* Code *]],Shift_Codes[Code],Shift_Codes[Reg Hrs],"",0)</f>
        <v>11.25</v>
      </c>
      <c r="J27" s="18">
        <f>_xlfn.XLOOKUP(Shift_Track[[#This Row],[* Code *]],Shift_Codes[Code],Shift_Codes[1.5 OT Hrs],"",0)</f>
        <v>0</v>
      </c>
      <c r="K27" s="18">
        <f>_xlfn.XLOOKUP(Shift_Track[[#This Row],[* Code *]],Shift_Codes[Code],Shift_Codes[2 OT Hrs],"",0)</f>
        <v>0</v>
      </c>
      <c r="L27" s="19">
        <f>_xlfn.XLOOKUP(Shift_Track[[#This Row],[* Code *]],Shift_Codes[Code],Shift_Codes[Start],"",0)</f>
        <v>700</v>
      </c>
      <c r="M27" s="19">
        <f>_xlfn.XLOOKUP(Shift_Track[[#This Row],[* Code *]],Shift_Codes[Code],Shift_Codes[End],"",0)</f>
        <v>1900</v>
      </c>
      <c r="N27" s="19"/>
    </row>
    <row r="28" spans="2:14" ht="24.95" customHeight="1" x14ac:dyDescent="0.3">
      <c r="B28" s="50">
        <v>44938</v>
      </c>
      <c r="C28" s="20">
        <f ca="1">_xlfn.XLOOKUP(Shift_Track[[#This Row],[Date]],Shift_Status_Ref[Shift Date],Shift_Status_Ref[Status],"",-1)</f>
        <v>1</v>
      </c>
      <c r="D28" s="41" t="s">
        <v>59</v>
      </c>
      <c r="E28" s="40">
        <f>_xlfn.XLOOKUP(Shift_Track[[#This Row],[Pay Period]],Hours_Sum[Pay Due],Hours_Sum[Total Hrs],"",0)</f>
        <v>67.5</v>
      </c>
      <c r="F28" s="40"/>
      <c r="G28" s="57">
        <f>SUM(Shift_Track[[#This Row],[Reg
Hrs]],Shift_Track[[#This Row],[1.5x OT
Hrs]],Shift_Track[[#This Row],[2x OT
Hrs]])</f>
        <v>11.25</v>
      </c>
      <c r="H28" s="53">
        <f>_xlfn.XLOOKUP(Shift_Track[[#This Row],[Date]],Dates_Ref[Start],Dates_Ref[QCH due],"",-1)</f>
        <v>44953</v>
      </c>
      <c r="I28" s="18">
        <f>_xlfn.XLOOKUP(Shift_Track[[#This Row],[* Code *]],Shift_Codes[Code],Shift_Codes[Reg Hrs],"",0)</f>
        <v>11.25</v>
      </c>
      <c r="J28" s="18">
        <f>_xlfn.XLOOKUP(Shift_Track[[#This Row],[* Code *]],Shift_Codes[Code],Shift_Codes[1.5 OT Hrs],"",0)</f>
        <v>0</v>
      </c>
      <c r="K28" s="18">
        <f>_xlfn.XLOOKUP(Shift_Track[[#This Row],[* Code *]],Shift_Codes[Code],Shift_Codes[2 OT Hrs],"",0)</f>
        <v>0</v>
      </c>
      <c r="L28" s="19">
        <f>_xlfn.XLOOKUP(Shift_Track[[#This Row],[* Code *]],Shift_Codes[Code],Shift_Codes[Start],"",0)</f>
        <v>700</v>
      </c>
      <c r="M28" s="19">
        <f>_xlfn.XLOOKUP(Shift_Track[[#This Row],[* Code *]],Shift_Codes[Code],Shift_Codes[End],"",0)</f>
        <v>1900</v>
      </c>
      <c r="N28" s="19"/>
    </row>
    <row r="29" spans="2:14" ht="24.95" customHeight="1" x14ac:dyDescent="0.3">
      <c r="B29" s="50">
        <v>44939</v>
      </c>
      <c r="C29" s="20">
        <f ca="1">_xlfn.XLOOKUP(Shift_Track[[#This Row],[Date]],Shift_Status_Ref[Shift Date],Shift_Status_Ref[Status],"",-1)</f>
        <v>1</v>
      </c>
      <c r="D29" s="41" t="s">
        <v>59</v>
      </c>
      <c r="E29" s="40">
        <f>_xlfn.XLOOKUP(Shift_Track[[#This Row],[Pay Period]],Hours_Sum[Pay Due],Hours_Sum[Total Hrs],"",0)</f>
        <v>67.5</v>
      </c>
      <c r="F29" s="40"/>
      <c r="G29" s="57">
        <f>SUM(Shift_Track[[#This Row],[Reg
Hrs]],Shift_Track[[#This Row],[1.5x OT
Hrs]],Shift_Track[[#This Row],[2x OT
Hrs]])</f>
        <v>11.25</v>
      </c>
      <c r="H29" s="53">
        <f>_xlfn.XLOOKUP(Shift_Track[[#This Row],[Date]],Dates_Ref[Start],Dates_Ref[QCH due],"",-1)</f>
        <v>44953</v>
      </c>
      <c r="I29" s="18">
        <f>_xlfn.XLOOKUP(Shift_Track[[#This Row],[* Code *]],Shift_Codes[Code],Shift_Codes[Reg Hrs],"",0)</f>
        <v>11.25</v>
      </c>
      <c r="J29" s="18">
        <f>_xlfn.XLOOKUP(Shift_Track[[#This Row],[* Code *]],Shift_Codes[Code],Shift_Codes[1.5 OT Hrs],"",0)</f>
        <v>0</v>
      </c>
      <c r="K29" s="18">
        <f>_xlfn.XLOOKUP(Shift_Track[[#This Row],[* Code *]],Shift_Codes[Code],Shift_Codes[2 OT Hrs],"",0)</f>
        <v>0</v>
      </c>
      <c r="L29" s="19">
        <f>_xlfn.XLOOKUP(Shift_Track[[#This Row],[* Code *]],Shift_Codes[Code],Shift_Codes[Start],"",0)</f>
        <v>700</v>
      </c>
      <c r="M29" s="19">
        <f>_xlfn.XLOOKUP(Shift_Track[[#This Row],[* Code *]],Shift_Codes[Code],Shift_Codes[End],"",0)</f>
        <v>1900</v>
      </c>
      <c r="N29" s="19"/>
    </row>
    <row r="30" spans="2:14" ht="24.95" customHeight="1" x14ac:dyDescent="0.3">
      <c r="B30" s="50">
        <v>44946</v>
      </c>
      <c r="C30" s="20">
        <f ca="1">_xlfn.XLOOKUP(Shift_Track[[#This Row],[Date]],Shift_Status_Ref[Shift Date],Shift_Status_Ref[Status],"",-1)</f>
        <v>1</v>
      </c>
      <c r="D30" s="41" t="s">
        <v>59</v>
      </c>
      <c r="E30" s="40">
        <f>_xlfn.XLOOKUP(Shift_Track[[#This Row],[Pay Period]],Hours_Sum[Pay Due],Hours_Sum[Total Hrs],"",0)</f>
        <v>67.5</v>
      </c>
      <c r="F30" s="40"/>
      <c r="G30" s="57">
        <f>SUM(Shift_Track[[#This Row],[Reg
Hrs]],Shift_Track[[#This Row],[1.5x OT
Hrs]],Shift_Track[[#This Row],[2x OT
Hrs]])</f>
        <v>11.25</v>
      </c>
      <c r="H30" s="53">
        <f>_xlfn.XLOOKUP(Shift_Track[[#This Row],[Date]],Dates_Ref[Start],Dates_Ref[QCH due],"",-1)</f>
        <v>44953</v>
      </c>
      <c r="I30" s="18">
        <f>_xlfn.XLOOKUP(Shift_Track[[#This Row],[* Code *]],Shift_Codes[Code],Shift_Codes[Reg Hrs],"",0)</f>
        <v>11.25</v>
      </c>
      <c r="J30" s="18">
        <f>_xlfn.XLOOKUP(Shift_Track[[#This Row],[* Code *]],Shift_Codes[Code],Shift_Codes[1.5 OT Hrs],"",0)</f>
        <v>0</v>
      </c>
      <c r="K30" s="18">
        <f>_xlfn.XLOOKUP(Shift_Track[[#This Row],[* Code *]],Shift_Codes[Code],Shift_Codes[2 OT Hrs],"",0)</f>
        <v>0</v>
      </c>
      <c r="L30" s="19">
        <f>_xlfn.XLOOKUP(Shift_Track[[#This Row],[* Code *]],Shift_Codes[Code],Shift_Codes[Start],"",0)</f>
        <v>700</v>
      </c>
      <c r="M30" s="19">
        <f>_xlfn.XLOOKUP(Shift_Track[[#This Row],[* Code *]],Shift_Codes[Code],Shift_Codes[End],"",0)</f>
        <v>1900</v>
      </c>
      <c r="N30" s="19"/>
    </row>
    <row r="31" spans="2:14" ht="24.95" customHeight="1" x14ac:dyDescent="0.3">
      <c r="B31" s="50">
        <v>44947</v>
      </c>
      <c r="C31" s="20">
        <f ca="1">_xlfn.XLOOKUP(Shift_Track[[#This Row],[Date]],Shift_Status_Ref[Shift Date],Shift_Status_Ref[Status],"",-1)</f>
        <v>1</v>
      </c>
      <c r="D31" s="41" t="s">
        <v>59</v>
      </c>
      <c r="E31" s="40">
        <f>_xlfn.XLOOKUP(Shift_Track[[#This Row],[Pay Period]],Hours_Sum[Pay Due],Hours_Sum[Total Hrs],"",0)</f>
        <v>67.5</v>
      </c>
      <c r="F31" s="40"/>
      <c r="G31" s="57">
        <f>SUM(Shift_Track[[#This Row],[Reg
Hrs]],Shift_Track[[#This Row],[1.5x OT
Hrs]],Shift_Track[[#This Row],[2x OT
Hrs]])</f>
        <v>11.25</v>
      </c>
      <c r="H31" s="53">
        <f>_xlfn.XLOOKUP(Shift_Track[[#This Row],[Date]],Dates_Ref[Start],Dates_Ref[QCH due],"",-1)</f>
        <v>44953</v>
      </c>
      <c r="I31" s="18">
        <f>_xlfn.XLOOKUP(Shift_Track[[#This Row],[* Code *]],Shift_Codes[Code],Shift_Codes[Reg Hrs],"",0)</f>
        <v>11.25</v>
      </c>
      <c r="J31" s="18">
        <f>_xlfn.XLOOKUP(Shift_Track[[#This Row],[* Code *]],Shift_Codes[Code],Shift_Codes[1.5 OT Hrs],"",0)</f>
        <v>0</v>
      </c>
      <c r="K31" s="18">
        <f>_xlfn.XLOOKUP(Shift_Track[[#This Row],[* Code *]],Shift_Codes[Code],Shift_Codes[2 OT Hrs],"",0)</f>
        <v>0</v>
      </c>
      <c r="L31" s="19">
        <f>_xlfn.XLOOKUP(Shift_Track[[#This Row],[* Code *]],Shift_Codes[Code],Shift_Codes[Start],"",0)</f>
        <v>700</v>
      </c>
      <c r="M31" s="19">
        <f>_xlfn.XLOOKUP(Shift_Track[[#This Row],[* Code *]],Shift_Codes[Code],Shift_Codes[End],"",0)</f>
        <v>1900</v>
      </c>
      <c r="N31" s="19"/>
    </row>
    <row r="32" spans="2:14" ht="24.95" customHeight="1" x14ac:dyDescent="0.3">
      <c r="B32" s="50">
        <v>44948</v>
      </c>
      <c r="C32" s="20">
        <f ca="1">_xlfn.XLOOKUP(Shift_Track[[#This Row],[Date]],Shift_Status_Ref[Shift Date],Shift_Status_Ref[Status],"",-1)</f>
        <v>1</v>
      </c>
      <c r="D32" s="41" t="s">
        <v>59</v>
      </c>
      <c r="E32" s="40">
        <f>_xlfn.XLOOKUP(Shift_Track[[#This Row],[Pay Period]],Hours_Sum[Pay Due],Hours_Sum[Total Hrs],"",0)</f>
        <v>67.5</v>
      </c>
      <c r="F32" s="40"/>
      <c r="G32" s="57">
        <f>SUM(Shift_Track[[#This Row],[Reg
Hrs]],Shift_Track[[#This Row],[1.5x OT
Hrs]],Shift_Track[[#This Row],[2x OT
Hrs]])</f>
        <v>11.25</v>
      </c>
      <c r="H32" s="53">
        <f>_xlfn.XLOOKUP(Shift_Track[[#This Row],[Date]],Dates_Ref[Start],Dates_Ref[QCH due],"",-1)</f>
        <v>44953</v>
      </c>
      <c r="I32" s="18">
        <f>_xlfn.XLOOKUP(Shift_Track[[#This Row],[* Code *]],Shift_Codes[Code],Shift_Codes[Reg Hrs],"",0)</f>
        <v>11.25</v>
      </c>
      <c r="J32" s="18">
        <f>_xlfn.XLOOKUP(Shift_Track[[#This Row],[* Code *]],Shift_Codes[Code],Shift_Codes[1.5 OT Hrs],"",0)</f>
        <v>0</v>
      </c>
      <c r="K32" s="18">
        <f>_xlfn.XLOOKUP(Shift_Track[[#This Row],[* Code *]],Shift_Codes[Code],Shift_Codes[2 OT Hrs],"",0)</f>
        <v>0</v>
      </c>
      <c r="L32" s="19">
        <f>_xlfn.XLOOKUP(Shift_Track[[#This Row],[* Code *]],Shift_Codes[Code],Shift_Codes[Start],"",0)</f>
        <v>700</v>
      </c>
      <c r="M32" s="19">
        <f>_xlfn.XLOOKUP(Shift_Track[[#This Row],[* Code *]],Shift_Codes[Code],Shift_Codes[End],"",0)</f>
        <v>1900</v>
      </c>
      <c r="N32" s="19"/>
    </row>
    <row r="33" spans="2:14" ht="24.95" customHeight="1" x14ac:dyDescent="0.3">
      <c r="B33" s="50">
        <v>44951</v>
      </c>
      <c r="C33" s="20">
        <f ca="1">_xlfn.XLOOKUP(Shift_Track[[#This Row],[Date]],Shift_Status_Ref[Shift Date],Shift_Status_Ref[Status],"",-1)</f>
        <v>1</v>
      </c>
      <c r="D33" s="41" t="s">
        <v>59</v>
      </c>
      <c r="E33" s="40">
        <f>_xlfn.XLOOKUP(Shift_Track[[#This Row],[Pay Period]],Hours_Sum[Pay Due],Hours_Sum[Total Hrs],"",0)</f>
        <v>78.75</v>
      </c>
      <c r="F33" s="40"/>
      <c r="G33" s="57">
        <f>SUM(Shift_Track[[#This Row],[Reg
Hrs]],Shift_Track[[#This Row],[1.5x OT
Hrs]],Shift_Track[[#This Row],[2x OT
Hrs]])</f>
        <v>11.25</v>
      </c>
      <c r="H33" s="53">
        <f>_xlfn.XLOOKUP(Shift_Track[[#This Row],[Date]],Dates_Ref[Start],Dates_Ref[QCH due],"",-1)</f>
        <v>44967</v>
      </c>
      <c r="I33" s="18">
        <f>_xlfn.XLOOKUP(Shift_Track[[#This Row],[* Code *]],Shift_Codes[Code],Shift_Codes[Reg Hrs],"",0)</f>
        <v>11.25</v>
      </c>
      <c r="J33" s="18">
        <f>_xlfn.XLOOKUP(Shift_Track[[#This Row],[* Code *]],Shift_Codes[Code],Shift_Codes[1.5 OT Hrs],"",0)</f>
        <v>0</v>
      </c>
      <c r="K33" s="18">
        <f>_xlfn.XLOOKUP(Shift_Track[[#This Row],[* Code *]],Shift_Codes[Code],Shift_Codes[2 OT Hrs],"",0)</f>
        <v>0</v>
      </c>
      <c r="L33" s="19">
        <f>_xlfn.XLOOKUP(Shift_Track[[#This Row],[* Code *]],Shift_Codes[Code],Shift_Codes[Start],"",0)</f>
        <v>700</v>
      </c>
      <c r="M33" s="19">
        <f>_xlfn.XLOOKUP(Shift_Track[[#This Row],[* Code *]],Shift_Codes[Code],Shift_Codes[End],"",0)</f>
        <v>1900</v>
      </c>
      <c r="N33" s="19"/>
    </row>
    <row r="34" spans="2:14" ht="24.95" customHeight="1" x14ac:dyDescent="0.3">
      <c r="B34" s="50">
        <v>44952</v>
      </c>
      <c r="C34" s="20">
        <f ca="1">_xlfn.XLOOKUP(Shift_Track[[#This Row],[Date]],Shift_Status_Ref[Shift Date],Shift_Status_Ref[Status],"",-1)</f>
        <v>1</v>
      </c>
      <c r="D34" s="41" t="s">
        <v>59</v>
      </c>
      <c r="E34" s="40">
        <f>_xlfn.XLOOKUP(Shift_Track[[#This Row],[Pay Period]],Hours_Sum[Pay Due],Hours_Sum[Total Hrs],"",0)</f>
        <v>78.75</v>
      </c>
      <c r="F34" s="40"/>
      <c r="G34" s="57">
        <f>SUM(Shift_Track[[#This Row],[Reg
Hrs]],Shift_Track[[#This Row],[1.5x OT
Hrs]],Shift_Track[[#This Row],[2x OT
Hrs]])</f>
        <v>11.25</v>
      </c>
      <c r="H34" s="53">
        <f>_xlfn.XLOOKUP(Shift_Track[[#This Row],[Date]],Dates_Ref[Start],Dates_Ref[QCH due],"",-1)</f>
        <v>44967</v>
      </c>
      <c r="I34" s="18">
        <f>_xlfn.XLOOKUP(Shift_Track[[#This Row],[* Code *]],Shift_Codes[Code],Shift_Codes[Reg Hrs],"",0)</f>
        <v>11.25</v>
      </c>
      <c r="J34" s="18">
        <f>_xlfn.XLOOKUP(Shift_Track[[#This Row],[* Code *]],Shift_Codes[Code],Shift_Codes[1.5 OT Hrs],"",0)</f>
        <v>0</v>
      </c>
      <c r="K34" s="18">
        <f>_xlfn.XLOOKUP(Shift_Track[[#This Row],[* Code *]],Shift_Codes[Code],Shift_Codes[2 OT Hrs],"",0)</f>
        <v>0</v>
      </c>
      <c r="L34" s="19">
        <f>_xlfn.XLOOKUP(Shift_Track[[#This Row],[* Code *]],Shift_Codes[Code],Shift_Codes[Start],"",0)</f>
        <v>700</v>
      </c>
      <c r="M34" s="19">
        <f>_xlfn.XLOOKUP(Shift_Track[[#This Row],[* Code *]],Shift_Codes[Code],Shift_Codes[End],"",0)</f>
        <v>1900</v>
      </c>
      <c r="N34" s="19"/>
    </row>
    <row r="35" spans="2:14" ht="24.95" customHeight="1" x14ac:dyDescent="0.3">
      <c r="B35" s="50">
        <v>44954</v>
      </c>
      <c r="C35" s="20">
        <f ca="1">_xlfn.XLOOKUP(Shift_Track[[#This Row],[Date]],Shift_Status_Ref[Shift Date],Shift_Status_Ref[Status],"",-1)</f>
        <v>1</v>
      </c>
      <c r="D35" s="41" t="s">
        <v>59</v>
      </c>
      <c r="E35" s="40">
        <f>_xlfn.XLOOKUP(Shift_Track[[#This Row],[Pay Period]],Hours_Sum[Pay Due],Hours_Sum[Total Hrs],"",0)</f>
        <v>78.75</v>
      </c>
      <c r="F35" s="40"/>
      <c r="G35" s="57">
        <f>SUM(Shift_Track[[#This Row],[Reg
Hrs]],Shift_Track[[#This Row],[1.5x OT
Hrs]],Shift_Track[[#This Row],[2x OT
Hrs]])</f>
        <v>11.25</v>
      </c>
      <c r="H35" s="53">
        <f>_xlfn.XLOOKUP(Shift_Track[[#This Row],[Date]],Dates_Ref[Start],Dates_Ref[QCH due],"",-1)</f>
        <v>44967</v>
      </c>
      <c r="I35" s="18">
        <f>_xlfn.XLOOKUP(Shift_Track[[#This Row],[* Code *]],Shift_Codes[Code],Shift_Codes[Reg Hrs],"",0)</f>
        <v>11.25</v>
      </c>
      <c r="J35" s="18">
        <f>_xlfn.XLOOKUP(Shift_Track[[#This Row],[* Code *]],Shift_Codes[Code],Shift_Codes[1.5 OT Hrs],"",0)</f>
        <v>0</v>
      </c>
      <c r="K35" s="18">
        <f>_xlfn.XLOOKUP(Shift_Track[[#This Row],[* Code *]],Shift_Codes[Code],Shift_Codes[2 OT Hrs],"",0)</f>
        <v>0</v>
      </c>
      <c r="L35" s="19">
        <f>_xlfn.XLOOKUP(Shift_Track[[#This Row],[* Code *]],Shift_Codes[Code],Shift_Codes[Start],"",0)</f>
        <v>700</v>
      </c>
      <c r="M35" s="19">
        <f>_xlfn.XLOOKUP(Shift_Track[[#This Row],[* Code *]],Shift_Codes[Code],Shift_Codes[End],"",0)</f>
        <v>1900</v>
      </c>
      <c r="N35" s="19"/>
    </row>
    <row r="36" spans="2:14" ht="24.95" customHeight="1" x14ac:dyDescent="0.3">
      <c r="B36" s="50">
        <v>44956</v>
      </c>
      <c r="C36" s="20">
        <f ca="1">_xlfn.XLOOKUP(Shift_Track[[#This Row],[Date]],Shift_Status_Ref[Shift Date],Shift_Status_Ref[Status],"",-1)</f>
        <v>1</v>
      </c>
      <c r="D36" s="41" t="s">
        <v>59</v>
      </c>
      <c r="E36" s="40">
        <f>_xlfn.XLOOKUP(Shift_Track[[#This Row],[Pay Period]],Hours_Sum[Pay Due],Hours_Sum[Total Hrs],"",0)</f>
        <v>78.75</v>
      </c>
      <c r="F36" s="40"/>
      <c r="G36" s="57">
        <f>SUM(Shift_Track[[#This Row],[Reg
Hrs]],Shift_Track[[#This Row],[1.5x OT
Hrs]],Shift_Track[[#This Row],[2x OT
Hrs]])</f>
        <v>11.25</v>
      </c>
      <c r="H36" s="53">
        <f>_xlfn.XLOOKUP(Shift_Track[[#This Row],[Date]],Dates_Ref[Start],Dates_Ref[QCH due],"",-1)</f>
        <v>44967</v>
      </c>
      <c r="I36" s="18">
        <f>_xlfn.XLOOKUP(Shift_Track[[#This Row],[* Code *]],Shift_Codes[Code],Shift_Codes[Reg Hrs],"",0)</f>
        <v>11.25</v>
      </c>
      <c r="J36" s="18">
        <f>_xlfn.XLOOKUP(Shift_Track[[#This Row],[* Code *]],Shift_Codes[Code],Shift_Codes[1.5 OT Hrs],"",0)</f>
        <v>0</v>
      </c>
      <c r="K36" s="18">
        <f>_xlfn.XLOOKUP(Shift_Track[[#This Row],[* Code *]],Shift_Codes[Code],Shift_Codes[2 OT Hrs],"",0)</f>
        <v>0</v>
      </c>
      <c r="L36" s="19">
        <f>_xlfn.XLOOKUP(Shift_Track[[#This Row],[* Code *]],Shift_Codes[Code],Shift_Codes[Start],"",0)</f>
        <v>700</v>
      </c>
      <c r="M36" s="19">
        <f>_xlfn.XLOOKUP(Shift_Track[[#This Row],[* Code *]],Shift_Codes[Code],Shift_Codes[End],"",0)</f>
        <v>1900</v>
      </c>
      <c r="N36" s="19"/>
    </row>
    <row r="37" spans="2:14" ht="24.95" customHeight="1" x14ac:dyDescent="0.3">
      <c r="B37" s="50">
        <v>44957</v>
      </c>
      <c r="C37" s="20">
        <f ca="1">_xlfn.XLOOKUP(Shift_Track[[#This Row],[Date]],Shift_Status_Ref[Shift Date],Shift_Status_Ref[Status],"",-1)</f>
        <v>1</v>
      </c>
      <c r="D37" s="41" t="s">
        <v>59</v>
      </c>
      <c r="E37" s="40">
        <f>_xlfn.XLOOKUP(Shift_Track[[#This Row],[Pay Period]],Hours_Sum[Pay Due],Hours_Sum[Total Hrs],"",0)</f>
        <v>78.75</v>
      </c>
      <c r="F37" s="40"/>
      <c r="G37" s="57">
        <f>SUM(Shift_Track[[#This Row],[Reg
Hrs]],Shift_Track[[#This Row],[1.5x OT
Hrs]],Shift_Track[[#This Row],[2x OT
Hrs]])</f>
        <v>11.25</v>
      </c>
      <c r="H37" s="53">
        <f>_xlfn.XLOOKUP(Shift_Track[[#This Row],[Date]],Dates_Ref[Start],Dates_Ref[QCH due],"",-1)</f>
        <v>44967</v>
      </c>
      <c r="I37" s="18">
        <v>7.5</v>
      </c>
      <c r="J37" s="18">
        <v>3.75</v>
      </c>
      <c r="K37" s="18">
        <f>_xlfn.XLOOKUP(Shift_Track[[#This Row],[* Code *]],Shift_Codes[Code],Shift_Codes[2 OT Hrs],"",0)</f>
        <v>0</v>
      </c>
      <c r="L37" s="19">
        <f>_xlfn.XLOOKUP(Shift_Track[[#This Row],[* Code *]],Shift_Codes[Code],Shift_Codes[Start],"",0)</f>
        <v>700</v>
      </c>
      <c r="M37" s="19">
        <f>_xlfn.XLOOKUP(Shift_Track[[#This Row],[* Code *]],Shift_Codes[Code],Shift_Codes[End],"",0)</f>
        <v>1900</v>
      </c>
      <c r="N37" s="19"/>
    </row>
    <row r="38" spans="2:14" ht="24.95" customHeight="1" x14ac:dyDescent="0.3">
      <c r="B38" s="50">
        <v>44961</v>
      </c>
      <c r="C38" s="20">
        <f ca="1">_xlfn.XLOOKUP(Shift_Track[[#This Row],[Date]],Shift_Status_Ref[Shift Date],Shift_Status_Ref[Status],"",-1)</f>
        <v>1</v>
      </c>
      <c r="D38" s="41" t="s">
        <v>60</v>
      </c>
      <c r="E38" s="40">
        <f>_xlfn.XLOOKUP(Shift_Track[[#This Row],[Pay Period]],Hours_Sum[Pay Due],Hours_Sum[Total Hrs],"",0)</f>
        <v>78.75</v>
      </c>
      <c r="F38" s="40" t="s">
        <v>94</v>
      </c>
      <c r="G38" s="57">
        <f>SUM(Shift_Track[[#This Row],[Reg
Hrs]],Shift_Track[[#This Row],[1.5x OT
Hrs]],Shift_Track[[#This Row],[2x OT
Hrs]])</f>
        <v>11.25</v>
      </c>
      <c r="H38" s="53">
        <f>_xlfn.XLOOKUP(Shift_Track[[#This Row],[Date]],Dates_Ref[Start],Dates_Ref[QCH due],"",-1)</f>
        <v>44967</v>
      </c>
      <c r="I38" s="18">
        <f>_xlfn.XLOOKUP(Shift_Track[[#This Row],[* Code *]],Shift_Codes[Code],Shift_Codes[Reg Hrs],"",0)</f>
        <v>11.25</v>
      </c>
      <c r="J38" s="18">
        <f>_xlfn.XLOOKUP(Shift_Track[[#This Row],[* Code *]],Shift_Codes[Code],Shift_Codes[1.5 OT Hrs],"",0)</f>
        <v>0</v>
      </c>
      <c r="K38" s="18">
        <f>_xlfn.XLOOKUP(Shift_Track[[#This Row],[* Code *]],Shift_Codes[Code],Shift_Codes[2 OT Hrs],"",0)</f>
        <v>0</v>
      </c>
      <c r="L38" s="19">
        <f>_xlfn.XLOOKUP(Shift_Track[[#This Row],[* Code *]],Shift_Codes[Code],Shift_Codes[Start],"",0)</f>
        <v>1900</v>
      </c>
      <c r="M38" s="19">
        <f>_xlfn.XLOOKUP(Shift_Track[[#This Row],[* Code *]],Shift_Codes[Code],Shift_Codes[End],"",0)</f>
        <v>700</v>
      </c>
      <c r="N38" s="19"/>
    </row>
    <row r="39" spans="2:14" ht="24.95" customHeight="1" x14ac:dyDescent="0.3">
      <c r="B39" s="50">
        <v>44962</v>
      </c>
      <c r="C39" s="20">
        <f ca="1">_xlfn.XLOOKUP(Shift_Track[[#This Row],[Date]],Shift_Status_Ref[Shift Date],Shift_Status_Ref[Status],"",-1)</f>
        <v>1</v>
      </c>
      <c r="D39" s="41" t="s">
        <v>60</v>
      </c>
      <c r="E39" s="40">
        <f>_xlfn.XLOOKUP(Shift_Track[[#This Row],[Pay Period]],Hours_Sum[Pay Due],Hours_Sum[Total Hrs],"",0)</f>
        <v>78.75</v>
      </c>
      <c r="F39" s="40" t="s">
        <v>94</v>
      </c>
      <c r="G39" s="57">
        <f>SUM(Shift_Track[[#This Row],[Reg
Hrs]],Shift_Track[[#This Row],[1.5x OT
Hrs]],Shift_Track[[#This Row],[2x OT
Hrs]])</f>
        <v>11.25</v>
      </c>
      <c r="H39" s="53">
        <f>_xlfn.XLOOKUP(Shift_Track[[#This Row],[Date]],Dates_Ref[Start],Dates_Ref[QCH due],"",-1)</f>
        <v>44967</v>
      </c>
      <c r="I39" s="18">
        <f>_xlfn.XLOOKUP(Shift_Track[[#This Row],[* Code *]],Shift_Codes[Code],Shift_Codes[Reg Hrs],"",0)</f>
        <v>11.25</v>
      </c>
      <c r="J39" s="18">
        <f>_xlfn.XLOOKUP(Shift_Track[[#This Row],[* Code *]],Shift_Codes[Code],Shift_Codes[1.5 OT Hrs],"",0)</f>
        <v>0</v>
      </c>
      <c r="K39" s="18">
        <f>_xlfn.XLOOKUP(Shift_Track[[#This Row],[* Code *]],Shift_Codes[Code],Shift_Codes[2 OT Hrs],"",0)</f>
        <v>0</v>
      </c>
      <c r="L39" s="19">
        <f>_xlfn.XLOOKUP(Shift_Track[[#This Row],[* Code *]],Shift_Codes[Code],Shift_Codes[Start],"",0)</f>
        <v>1900</v>
      </c>
      <c r="M39" s="19">
        <f>_xlfn.XLOOKUP(Shift_Track[[#This Row],[* Code *]],Shift_Codes[Code],Shift_Codes[End],"",0)</f>
        <v>700</v>
      </c>
      <c r="N39" s="19"/>
    </row>
    <row r="40" spans="2:14" ht="24.95" customHeight="1" x14ac:dyDescent="0.3">
      <c r="B40" s="50">
        <v>44965</v>
      </c>
      <c r="C40" s="20">
        <f ca="1">_xlfn.XLOOKUP(Shift_Track[[#This Row],[Date]],Shift_Status_Ref[Shift Date],Shift_Status_Ref[Status],"",-1)</f>
        <v>1</v>
      </c>
      <c r="D40" s="41" t="s">
        <v>61</v>
      </c>
      <c r="E40" s="40">
        <f>_xlfn.XLOOKUP(Shift_Track[[#This Row],[Pay Period]],Hours_Sum[Pay Due],Hours_Sum[Total Hrs],"",0)</f>
        <v>67.5</v>
      </c>
      <c r="F40" s="40"/>
      <c r="G40" s="57">
        <f>SUM(Shift_Track[[#This Row],[Reg
Hrs]],Shift_Track[[#This Row],[1.5x OT
Hrs]],Shift_Track[[#This Row],[2x OT
Hrs]])</f>
        <v>0</v>
      </c>
      <c r="H40" s="53">
        <f>_xlfn.XLOOKUP(Shift_Track[[#This Row],[Date]],Dates_Ref[Start],Dates_Ref[QCH due],"",-1)</f>
        <v>44981</v>
      </c>
      <c r="I40" s="18">
        <f>_xlfn.XLOOKUP(Shift_Track[[#This Row],[* Code *]],Shift_Codes[Code],Shift_Codes[Reg Hrs],"",0)</f>
        <v>0</v>
      </c>
      <c r="J40" s="18">
        <f>_xlfn.XLOOKUP(Shift_Track[[#This Row],[* Code *]],Shift_Codes[Code],Shift_Codes[1.5 OT Hrs],"",0)</f>
        <v>0</v>
      </c>
      <c r="K40" s="18">
        <f>_xlfn.XLOOKUP(Shift_Track[[#This Row],[* Code *]],Shift_Codes[Code],Shift_Codes[2 OT Hrs],"",0)</f>
        <v>0</v>
      </c>
      <c r="L40" s="19">
        <f>_xlfn.XLOOKUP(Shift_Track[[#This Row],[* Code *]],Shift_Codes[Code],Shift_Codes[Start],"",0)</f>
        <v>0</v>
      </c>
      <c r="M40" s="19">
        <f>_xlfn.XLOOKUP(Shift_Track[[#This Row],[* Code *]],Shift_Codes[Code],Shift_Codes[End],"",0)</f>
        <v>0</v>
      </c>
      <c r="N40" s="19" t="s">
        <v>64</v>
      </c>
    </row>
    <row r="41" spans="2:14" ht="24.95" customHeight="1" x14ac:dyDescent="0.3">
      <c r="B41" s="50">
        <v>44966</v>
      </c>
      <c r="C41" s="20">
        <f ca="1">_xlfn.XLOOKUP(Shift_Track[[#This Row],[Date]],Shift_Status_Ref[Shift Date],Shift_Status_Ref[Status],"",-1)</f>
        <v>1</v>
      </c>
      <c r="D41" s="41" t="s">
        <v>23</v>
      </c>
      <c r="E41" s="40">
        <f>_xlfn.XLOOKUP(Shift_Track[[#This Row],[Pay Period]],Hours_Sum[Pay Due],Hours_Sum[Total Hrs],"",0)</f>
        <v>67.5</v>
      </c>
      <c r="F41" s="40" t="s">
        <v>93</v>
      </c>
      <c r="G41" s="57">
        <f>SUM(Shift_Track[[#This Row],[Reg
Hrs]],Shift_Track[[#This Row],[1.5x OT
Hrs]],Shift_Track[[#This Row],[2x OT
Hrs]])</f>
        <v>11.25</v>
      </c>
      <c r="H41" s="53">
        <f>_xlfn.XLOOKUP(Shift_Track[[#This Row],[Date]],Dates_Ref[Start],Dates_Ref[QCH due],"",-1)</f>
        <v>44981</v>
      </c>
      <c r="I41" s="18">
        <f>_xlfn.XLOOKUP(Shift_Track[[#This Row],[* Code *]],Shift_Codes[Code],Shift_Codes[Reg Hrs],"",0)</f>
        <v>11.25</v>
      </c>
      <c r="J41" s="18">
        <f>_xlfn.XLOOKUP(Shift_Track[[#This Row],[* Code *]],Shift_Codes[Code],Shift_Codes[1.5 OT Hrs],"",0)</f>
        <v>0</v>
      </c>
      <c r="K41" s="18">
        <f>_xlfn.XLOOKUP(Shift_Track[[#This Row],[* Code *]],Shift_Codes[Code],Shift_Codes[2 OT Hrs],"",0)</f>
        <v>0</v>
      </c>
      <c r="L41" s="19">
        <f>_xlfn.XLOOKUP(Shift_Track[[#This Row],[* Code *]],Shift_Codes[Code],Shift_Codes[Start],"",0)</f>
        <v>700</v>
      </c>
      <c r="M41" s="19">
        <f>_xlfn.XLOOKUP(Shift_Track[[#This Row],[* Code *]],Shift_Codes[Code],Shift_Codes[End],"",0)</f>
        <v>1900</v>
      </c>
      <c r="N41" s="19"/>
    </row>
    <row r="42" spans="2:14" ht="24.95" customHeight="1" x14ac:dyDescent="0.3">
      <c r="B42" s="50">
        <v>44967</v>
      </c>
      <c r="C42" s="20">
        <f ca="1">_xlfn.XLOOKUP(Shift_Track[[#This Row],[Date]],Shift_Status_Ref[Shift Date],Shift_Status_Ref[Status],"",-1)</f>
        <v>1</v>
      </c>
      <c r="D42" s="41" t="s">
        <v>60</v>
      </c>
      <c r="E42" s="40">
        <f>_xlfn.XLOOKUP(Shift_Track[[#This Row],[Pay Period]],Hours_Sum[Pay Due],Hours_Sum[Total Hrs],"",0)</f>
        <v>67.5</v>
      </c>
      <c r="F42" s="40" t="s">
        <v>94</v>
      </c>
      <c r="G42" s="57">
        <f>SUM(Shift_Track[[#This Row],[Reg
Hrs]],Shift_Track[[#This Row],[1.5x OT
Hrs]],Shift_Track[[#This Row],[2x OT
Hrs]])</f>
        <v>11.25</v>
      </c>
      <c r="H42" s="53">
        <f>_xlfn.XLOOKUP(Shift_Track[[#This Row],[Date]],Dates_Ref[Start],Dates_Ref[QCH due],"",-1)</f>
        <v>44981</v>
      </c>
      <c r="I42" s="18">
        <f>_xlfn.XLOOKUP(Shift_Track[[#This Row],[* Code *]],Shift_Codes[Code],Shift_Codes[Reg Hrs],"",0)</f>
        <v>11.25</v>
      </c>
      <c r="J42" s="18">
        <f>_xlfn.XLOOKUP(Shift_Track[[#This Row],[* Code *]],Shift_Codes[Code],Shift_Codes[1.5 OT Hrs],"",0)</f>
        <v>0</v>
      </c>
      <c r="K42" s="18">
        <f>_xlfn.XLOOKUP(Shift_Track[[#This Row],[* Code *]],Shift_Codes[Code],Shift_Codes[2 OT Hrs],"",0)</f>
        <v>0</v>
      </c>
      <c r="L42" s="19">
        <f>_xlfn.XLOOKUP(Shift_Track[[#This Row],[* Code *]],Shift_Codes[Code],Shift_Codes[Start],"",0)</f>
        <v>1900</v>
      </c>
      <c r="M42" s="19">
        <f>_xlfn.XLOOKUP(Shift_Track[[#This Row],[* Code *]],Shift_Codes[Code],Shift_Codes[End],"",0)</f>
        <v>700</v>
      </c>
      <c r="N42" s="19"/>
    </row>
    <row r="43" spans="2:14" ht="24.95" customHeight="1" x14ac:dyDescent="0.3">
      <c r="B43" s="50">
        <v>44970</v>
      </c>
      <c r="C43" s="20">
        <f ca="1">_xlfn.XLOOKUP(Shift_Track[[#This Row],[Date]],Shift_Status_Ref[Shift Date],Shift_Status_Ref[Status],"",-1)</f>
        <v>1</v>
      </c>
      <c r="D43" s="41" t="s">
        <v>59</v>
      </c>
      <c r="E43" s="40">
        <f>_xlfn.XLOOKUP(Shift_Track[[#This Row],[Pay Period]],Hours_Sum[Pay Due],Hours_Sum[Total Hrs],"",0)</f>
        <v>67.5</v>
      </c>
      <c r="F43" s="40" t="s">
        <v>94</v>
      </c>
      <c r="G43" s="57">
        <f>SUM(Shift_Track[[#This Row],[Reg
Hrs]],Shift_Track[[#This Row],[1.5x OT
Hrs]],Shift_Track[[#This Row],[2x OT
Hrs]])</f>
        <v>11.25</v>
      </c>
      <c r="H43" s="53">
        <f>_xlfn.XLOOKUP(Shift_Track[[#This Row],[Date]],Dates_Ref[Start],Dates_Ref[QCH due],"",-1)</f>
        <v>44981</v>
      </c>
      <c r="I43" s="18">
        <f>_xlfn.XLOOKUP(Shift_Track[[#This Row],[* Code *]],Shift_Codes[Code],Shift_Codes[Reg Hrs],"",0)</f>
        <v>11.25</v>
      </c>
      <c r="J43" s="18">
        <f>_xlfn.XLOOKUP(Shift_Track[[#This Row],[* Code *]],Shift_Codes[Code],Shift_Codes[1.5 OT Hrs],"",0)</f>
        <v>0</v>
      </c>
      <c r="K43" s="18">
        <f>_xlfn.XLOOKUP(Shift_Track[[#This Row],[* Code *]],Shift_Codes[Code],Shift_Codes[2 OT Hrs],"",0)</f>
        <v>0</v>
      </c>
      <c r="L43" s="19">
        <f>_xlfn.XLOOKUP(Shift_Track[[#This Row],[* Code *]],Shift_Codes[Code],Shift_Codes[Start],"",0)</f>
        <v>700</v>
      </c>
      <c r="M43" s="19">
        <f>_xlfn.XLOOKUP(Shift_Track[[#This Row],[* Code *]],Shift_Codes[Code],Shift_Codes[End],"",0)</f>
        <v>1900</v>
      </c>
      <c r="N43" s="19"/>
    </row>
    <row r="44" spans="2:14" ht="24.95" customHeight="1" x14ac:dyDescent="0.3">
      <c r="B44" s="50">
        <v>44974</v>
      </c>
      <c r="C44" s="20">
        <f ca="1">_xlfn.XLOOKUP(Shift_Track[[#This Row],[Date]],Shift_Status_Ref[Shift Date],Shift_Status_Ref[Status],"",-1)</f>
        <v>1</v>
      </c>
      <c r="D44" s="41" t="s">
        <v>59</v>
      </c>
      <c r="E44" s="40">
        <f>_xlfn.XLOOKUP(Shift_Track[[#This Row],[Pay Period]],Hours_Sum[Pay Due],Hours_Sum[Total Hrs],"",0)</f>
        <v>67.5</v>
      </c>
      <c r="F44" s="40" t="s">
        <v>93</v>
      </c>
      <c r="G44" s="57">
        <f>SUM(Shift_Track[[#This Row],[Reg
Hrs]],Shift_Track[[#This Row],[1.5x OT
Hrs]],Shift_Track[[#This Row],[2x OT
Hrs]])</f>
        <v>11.25</v>
      </c>
      <c r="H44" s="53">
        <f>_xlfn.XLOOKUP(Shift_Track[[#This Row],[Date]],Dates_Ref[Start],Dates_Ref[QCH due],"",-1)</f>
        <v>44981</v>
      </c>
      <c r="I44" s="18">
        <f>_xlfn.XLOOKUP(Shift_Track[[#This Row],[* Code *]],Shift_Codes[Code],Shift_Codes[Reg Hrs],"",0)</f>
        <v>11.25</v>
      </c>
      <c r="J44" s="18">
        <f>_xlfn.XLOOKUP(Shift_Track[[#This Row],[* Code *]],Shift_Codes[Code],Shift_Codes[1.5 OT Hrs],"",0)</f>
        <v>0</v>
      </c>
      <c r="K44" s="18">
        <f>_xlfn.XLOOKUP(Shift_Track[[#This Row],[* Code *]],Shift_Codes[Code],Shift_Codes[2 OT Hrs],"",0)</f>
        <v>0</v>
      </c>
      <c r="L44" s="19">
        <f>_xlfn.XLOOKUP(Shift_Track[[#This Row],[* Code *]],Shift_Codes[Code],Shift_Codes[Start],"",0)</f>
        <v>700</v>
      </c>
      <c r="M44" s="19">
        <f>_xlfn.XLOOKUP(Shift_Track[[#This Row],[* Code *]],Shift_Codes[Code],Shift_Codes[End],"",0)</f>
        <v>1900</v>
      </c>
      <c r="N44" s="19"/>
    </row>
    <row r="45" spans="2:14" ht="24.95" customHeight="1" x14ac:dyDescent="0.3">
      <c r="B45" s="50">
        <v>44975</v>
      </c>
      <c r="C45" s="20">
        <f ca="1">_xlfn.XLOOKUP(Shift_Track[[#This Row],[Date]],Shift_Status_Ref[Shift Date],Shift_Status_Ref[Status],"",-1)</f>
        <v>1</v>
      </c>
      <c r="D45" s="41" t="s">
        <v>59</v>
      </c>
      <c r="E45" s="40">
        <f>_xlfn.XLOOKUP(Shift_Track[[#This Row],[Pay Period]],Hours_Sum[Pay Due],Hours_Sum[Total Hrs],"",0)</f>
        <v>67.5</v>
      </c>
      <c r="F45" s="40" t="s">
        <v>93</v>
      </c>
      <c r="G45" s="57">
        <f>SUM(Shift_Track[[#This Row],[Reg
Hrs]],Shift_Track[[#This Row],[1.5x OT
Hrs]],Shift_Track[[#This Row],[2x OT
Hrs]])</f>
        <v>11.25</v>
      </c>
      <c r="H45" s="53">
        <f>_xlfn.XLOOKUP(Shift_Track[[#This Row],[Date]],Dates_Ref[Start],Dates_Ref[QCH due],"",-1)</f>
        <v>44981</v>
      </c>
      <c r="I45" s="18">
        <f>_xlfn.XLOOKUP(Shift_Track[[#This Row],[* Code *]],Shift_Codes[Code],Shift_Codes[Reg Hrs],"",0)</f>
        <v>11.25</v>
      </c>
      <c r="J45" s="18">
        <f>_xlfn.XLOOKUP(Shift_Track[[#This Row],[* Code *]],Shift_Codes[Code],Shift_Codes[1.5 OT Hrs],"",0)</f>
        <v>0</v>
      </c>
      <c r="K45" s="18">
        <f>_xlfn.XLOOKUP(Shift_Track[[#This Row],[* Code *]],Shift_Codes[Code],Shift_Codes[2 OT Hrs],"",0)</f>
        <v>0</v>
      </c>
      <c r="L45" s="19">
        <f>_xlfn.XLOOKUP(Shift_Track[[#This Row],[* Code *]],Shift_Codes[Code],Shift_Codes[Start],"",0)</f>
        <v>700</v>
      </c>
      <c r="M45" s="19">
        <f>_xlfn.XLOOKUP(Shift_Track[[#This Row],[* Code *]],Shift_Codes[Code],Shift_Codes[End],"",0)</f>
        <v>1900</v>
      </c>
      <c r="N45" s="19"/>
    </row>
    <row r="46" spans="2:14" ht="24.95" customHeight="1" x14ac:dyDescent="0.3">
      <c r="B46" s="50">
        <v>44976</v>
      </c>
      <c r="C46" s="20">
        <f ca="1">_xlfn.XLOOKUP(Shift_Track[[#This Row],[Date]],Shift_Status_Ref[Shift Date],Shift_Status_Ref[Status],"",-1)</f>
        <v>1</v>
      </c>
      <c r="D46" s="41" t="s">
        <v>59</v>
      </c>
      <c r="E46" s="40">
        <f>_xlfn.XLOOKUP(Shift_Track[[#This Row],[Pay Period]],Hours_Sum[Pay Due],Hours_Sum[Total Hrs],"",0)</f>
        <v>67.5</v>
      </c>
      <c r="F46" s="40" t="s">
        <v>93</v>
      </c>
      <c r="G46" s="57">
        <f>SUM(Shift_Track[[#This Row],[Reg
Hrs]],Shift_Track[[#This Row],[1.5x OT
Hrs]],Shift_Track[[#This Row],[2x OT
Hrs]])</f>
        <v>11.25</v>
      </c>
      <c r="H46" s="53">
        <f>_xlfn.XLOOKUP(Shift_Track[[#This Row],[Date]],Dates_Ref[Start],Dates_Ref[QCH due],"",-1)</f>
        <v>44981</v>
      </c>
      <c r="I46" s="18">
        <f>_xlfn.XLOOKUP(Shift_Track[[#This Row],[* Code *]],Shift_Codes[Code],Shift_Codes[Reg Hrs],"",0)</f>
        <v>11.25</v>
      </c>
      <c r="J46" s="18">
        <f>_xlfn.XLOOKUP(Shift_Track[[#This Row],[* Code *]],Shift_Codes[Code],Shift_Codes[1.5 OT Hrs],"",0)</f>
        <v>0</v>
      </c>
      <c r="K46" s="18">
        <f>_xlfn.XLOOKUP(Shift_Track[[#This Row],[* Code *]],Shift_Codes[Code],Shift_Codes[2 OT Hrs],"",0)</f>
        <v>0</v>
      </c>
      <c r="L46" s="19">
        <f>_xlfn.XLOOKUP(Shift_Track[[#This Row],[* Code *]],Shift_Codes[Code],Shift_Codes[Start],"",0)</f>
        <v>700</v>
      </c>
      <c r="M46" s="19">
        <f>_xlfn.XLOOKUP(Shift_Track[[#This Row],[* Code *]],Shift_Codes[Code],Shift_Codes[End],"",0)</f>
        <v>1900</v>
      </c>
      <c r="N46" s="19"/>
    </row>
    <row r="47" spans="2:14" ht="24.95" customHeight="1" x14ac:dyDescent="0.3">
      <c r="B47" s="50">
        <v>44977</v>
      </c>
      <c r="C47" s="20">
        <f ca="1">_xlfn.XLOOKUP(Shift_Track[[#This Row],[Date]],Shift_Status_Ref[Shift Date],Shift_Status_Ref[Status],"",-1)</f>
        <v>1</v>
      </c>
      <c r="D47" s="41" t="s">
        <v>97</v>
      </c>
      <c r="E47" s="40">
        <f>_xlfn.XLOOKUP(Shift_Track[[#This Row],[Pay Period]],Hours_Sum[Pay Due],Hours_Sum[Total Hrs],"",0)</f>
        <v>68</v>
      </c>
      <c r="F47" s="40" t="s">
        <v>94</v>
      </c>
      <c r="G47" s="57">
        <f>SUM(Shift_Track[[#This Row],[Reg
Hrs]],Shift_Track[[#This Row],[1.5x OT
Hrs]],Shift_Track[[#This Row],[2x OT
Hrs]])</f>
        <v>11.25</v>
      </c>
      <c r="H47" s="53">
        <f>_xlfn.XLOOKUP(Shift_Track[[#This Row],[Date]],Dates_Ref[Start],Dates_Ref[QCH due],"",-1)</f>
        <v>44995</v>
      </c>
      <c r="I47" s="18"/>
      <c r="J47" s="18">
        <v>11.25</v>
      </c>
      <c r="K47" s="18"/>
      <c r="L47" s="19">
        <f>_xlfn.XLOOKUP(Shift_Track[[#This Row],[* Code *]],Shift_Codes[Code],Shift_Codes[Start],"",0)</f>
        <v>730</v>
      </c>
      <c r="M47" s="19">
        <f>_xlfn.XLOOKUP(Shift_Track[[#This Row],[* Code *]],Shift_Codes[Code],Shift_Codes[End],"",0)</f>
        <v>1930</v>
      </c>
      <c r="N47" s="19"/>
    </row>
    <row r="48" spans="2:14" ht="24.95" customHeight="1" x14ac:dyDescent="0.3">
      <c r="B48" s="50">
        <v>44979</v>
      </c>
      <c r="C48" s="20">
        <f ca="1">_xlfn.XLOOKUP(Shift_Track[[#This Row],[Date]],Shift_Status_Ref[Shift Date],Shift_Status_Ref[Status],"",-1)</f>
        <v>1</v>
      </c>
      <c r="D48" s="41" t="s">
        <v>59</v>
      </c>
      <c r="E48" s="40">
        <f>_xlfn.XLOOKUP(Shift_Track[[#This Row],[Pay Period]],Hours_Sum[Pay Due],Hours_Sum[Total Hrs],"",0)</f>
        <v>68</v>
      </c>
      <c r="F48" s="40" t="s">
        <v>94</v>
      </c>
      <c r="G48" s="57">
        <f>SUM(Shift_Track[[#This Row],[Reg
Hrs]],Shift_Track[[#This Row],[1.5x OT
Hrs]],Shift_Track[[#This Row],[2x OT
Hrs]])</f>
        <v>11.25</v>
      </c>
      <c r="H48" s="53">
        <f>_xlfn.XLOOKUP(Shift_Track[[#This Row],[Date]],Dates_Ref[Start],Dates_Ref[QCH due],"",-1)</f>
        <v>44995</v>
      </c>
      <c r="I48" s="18">
        <f>_xlfn.XLOOKUP(Shift_Track[[#This Row],[* Code *]],Shift_Codes[Code],Shift_Codes[Reg Hrs],"",0)</f>
        <v>11.25</v>
      </c>
      <c r="J48" s="18">
        <f>_xlfn.XLOOKUP(Shift_Track[[#This Row],[* Code *]],Shift_Codes[Code],Shift_Codes[1.5 OT Hrs],"",0)</f>
        <v>0</v>
      </c>
      <c r="K48" s="18">
        <f>_xlfn.XLOOKUP(Shift_Track[[#This Row],[* Code *]],Shift_Codes[Code],Shift_Codes[2 OT Hrs],"",0)</f>
        <v>0</v>
      </c>
      <c r="L48" s="19">
        <f>_xlfn.XLOOKUP(Shift_Track[[#This Row],[* Code *]],Shift_Codes[Code],Shift_Codes[Start],"",0)</f>
        <v>700</v>
      </c>
      <c r="M48" s="19">
        <f>_xlfn.XLOOKUP(Shift_Track[[#This Row],[* Code *]],Shift_Codes[Code],Shift_Codes[End],"",0)</f>
        <v>1900</v>
      </c>
      <c r="N48" s="19"/>
    </row>
    <row r="49" spans="2:14" ht="24.95" customHeight="1" x14ac:dyDescent="0.3">
      <c r="B49" s="50">
        <v>44981</v>
      </c>
      <c r="C49" s="20">
        <f ca="1">_xlfn.XLOOKUP(Shift_Track[[#This Row],[Date]],Shift_Status_Ref[Shift Date],Shift_Status_Ref[Status],"",-1)</f>
        <v>1</v>
      </c>
      <c r="D49" s="41" t="s">
        <v>59</v>
      </c>
      <c r="E49" s="40">
        <f>_xlfn.XLOOKUP(Shift_Track[[#This Row],[Pay Period]],Hours_Sum[Pay Due],Hours_Sum[Total Hrs],"",0)</f>
        <v>68</v>
      </c>
      <c r="F49" s="40" t="s">
        <v>93</v>
      </c>
      <c r="G49" s="57">
        <f>SUM(Shift_Track[[#This Row],[Reg
Hrs]],Shift_Track[[#This Row],[1.5x OT
Hrs]],Shift_Track[[#This Row],[2x OT
Hrs]])</f>
        <v>11.25</v>
      </c>
      <c r="H49" s="53">
        <f>_xlfn.XLOOKUP(Shift_Track[[#This Row],[Date]],Dates_Ref[Start],Dates_Ref[QCH due],"",-1)</f>
        <v>44995</v>
      </c>
      <c r="I49" s="18">
        <f>_xlfn.XLOOKUP(Shift_Track[[#This Row],[* Code *]],Shift_Codes[Code],Shift_Codes[Reg Hrs],"",0)</f>
        <v>11.25</v>
      </c>
      <c r="J49" s="18">
        <f>_xlfn.XLOOKUP(Shift_Track[[#This Row],[* Code *]],Shift_Codes[Code],Shift_Codes[1.5 OT Hrs],"",0)</f>
        <v>0</v>
      </c>
      <c r="K49" s="18">
        <f>_xlfn.XLOOKUP(Shift_Track[[#This Row],[* Code *]],Shift_Codes[Code],Shift_Codes[2 OT Hrs],"",0)</f>
        <v>0</v>
      </c>
      <c r="L49" s="19">
        <f>_xlfn.XLOOKUP(Shift_Track[[#This Row],[* Code *]],Shift_Codes[Code],Shift_Codes[Start],"",0)</f>
        <v>700</v>
      </c>
      <c r="M49" s="19">
        <f>_xlfn.XLOOKUP(Shift_Track[[#This Row],[* Code *]],Shift_Codes[Code],Shift_Codes[End],"",0)</f>
        <v>1900</v>
      </c>
      <c r="N49" s="19"/>
    </row>
    <row r="50" spans="2:14" ht="24.95" customHeight="1" x14ac:dyDescent="0.3">
      <c r="B50" s="50">
        <v>44982</v>
      </c>
      <c r="C50" s="20">
        <f ca="1">_xlfn.XLOOKUP(Shift_Track[[#This Row],[Date]],Shift_Status_Ref[Shift Date],Shift_Status_Ref[Status],"",-1)</f>
        <v>1</v>
      </c>
      <c r="D50" s="41" t="s">
        <v>59</v>
      </c>
      <c r="E50" s="40">
        <f>_xlfn.XLOOKUP(Shift_Track[[#This Row],[Pay Period]],Hours_Sum[Pay Due],Hours_Sum[Total Hrs],"",0)</f>
        <v>68</v>
      </c>
      <c r="F50" s="40" t="s">
        <v>93</v>
      </c>
      <c r="G50" s="57">
        <f>SUM(Shift_Track[[#This Row],[Reg
Hrs]],Shift_Track[[#This Row],[1.5x OT
Hrs]],Shift_Track[[#This Row],[2x OT
Hrs]])</f>
        <v>11.25</v>
      </c>
      <c r="H50" s="53">
        <f>_xlfn.XLOOKUP(Shift_Track[[#This Row],[Date]],Dates_Ref[Start],Dates_Ref[QCH due],"",-1)</f>
        <v>44995</v>
      </c>
      <c r="I50" s="18">
        <f>_xlfn.XLOOKUP(Shift_Track[[#This Row],[* Code *]],Shift_Codes[Code],Shift_Codes[Reg Hrs],"",0)</f>
        <v>11.25</v>
      </c>
      <c r="J50" s="18">
        <f>_xlfn.XLOOKUP(Shift_Track[[#This Row],[* Code *]],Shift_Codes[Code],Shift_Codes[1.5 OT Hrs],"",0)</f>
        <v>0</v>
      </c>
      <c r="K50" s="18">
        <f>_xlfn.XLOOKUP(Shift_Track[[#This Row],[* Code *]],Shift_Codes[Code],Shift_Codes[2 OT Hrs],"",0)</f>
        <v>0</v>
      </c>
      <c r="L50" s="19">
        <f>_xlfn.XLOOKUP(Shift_Track[[#This Row],[* Code *]],Shift_Codes[Code],Shift_Codes[Start],"",0)</f>
        <v>700</v>
      </c>
      <c r="M50" s="19">
        <f>_xlfn.XLOOKUP(Shift_Track[[#This Row],[* Code *]],Shift_Codes[Code],Shift_Codes[End],"",0)</f>
        <v>1900</v>
      </c>
      <c r="N50" s="19"/>
    </row>
    <row r="51" spans="2:14" ht="24.95" customHeight="1" x14ac:dyDescent="0.3">
      <c r="B51" s="50">
        <v>44988</v>
      </c>
      <c r="C51" s="20">
        <f ca="1">_xlfn.XLOOKUP(Shift_Track[[#This Row],[Date]],Shift_Status_Ref[Shift Date],Shift_Status_Ref[Status],"",-1)</f>
        <v>1</v>
      </c>
      <c r="D51" s="41" t="s">
        <v>61</v>
      </c>
      <c r="E51" s="40">
        <f>_xlfn.XLOOKUP(Shift_Track[[#This Row],[Pay Period]],Hours_Sum[Pay Due],Hours_Sum[Total Hrs],"",0)</f>
        <v>68</v>
      </c>
      <c r="F51" s="40" t="s">
        <v>93</v>
      </c>
      <c r="G51" s="57">
        <f>SUM(Shift_Track[[#This Row],[Reg
Hrs]],Shift_Track[[#This Row],[1.5x OT
Hrs]],Shift_Track[[#This Row],[2x OT
Hrs]])</f>
        <v>0</v>
      </c>
      <c r="H51" s="53">
        <f>_xlfn.XLOOKUP(Shift_Track[[#This Row],[Date]],Dates_Ref[Start],Dates_Ref[QCH due],"",-1)</f>
        <v>44995</v>
      </c>
      <c r="I51" s="18">
        <f>_xlfn.XLOOKUP(Shift_Track[[#This Row],[* Code *]],Shift_Codes[Code],Shift_Codes[Reg Hrs],"",0)</f>
        <v>0</v>
      </c>
      <c r="J51" s="18">
        <f>_xlfn.XLOOKUP(Shift_Track[[#This Row],[* Code *]],Shift_Codes[Code],Shift_Codes[1.5 OT Hrs],"",0)</f>
        <v>0</v>
      </c>
      <c r="K51" s="18">
        <f>_xlfn.XLOOKUP(Shift_Track[[#This Row],[* Code *]],Shift_Codes[Code],Shift_Codes[2 OT Hrs],"",0)</f>
        <v>0</v>
      </c>
      <c r="L51" s="19">
        <f>_xlfn.XLOOKUP(Shift_Track[[#This Row],[* Code *]],Shift_Codes[Code],Shift_Codes[Start],"",0)</f>
        <v>0</v>
      </c>
      <c r="M51" s="19">
        <f>_xlfn.XLOOKUP(Shift_Track[[#This Row],[* Code *]],Shift_Codes[Code],Shift_Codes[End],"",0)</f>
        <v>0</v>
      </c>
      <c r="N51" s="19"/>
    </row>
    <row r="52" spans="2:14" ht="24.95" customHeight="1" x14ac:dyDescent="0.3">
      <c r="B52" s="50">
        <v>44989</v>
      </c>
      <c r="C52" s="20">
        <f ca="1">_xlfn.XLOOKUP(Shift_Track[[#This Row],[Date]],Shift_Status_Ref[Shift Date],Shift_Status_Ref[Status],"",-1)</f>
        <v>1</v>
      </c>
      <c r="D52" s="41" t="s">
        <v>59</v>
      </c>
      <c r="E52" s="40">
        <f>_xlfn.XLOOKUP(Shift_Track[[#This Row],[Pay Period]],Hours_Sum[Pay Due],Hours_Sum[Total Hrs],"",0)</f>
        <v>68</v>
      </c>
      <c r="F52" s="40" t="s">
        <v>94</v>
      </c>
      <c r="G52" s="57">
        <f>SUM(Shift_Track[[#This Row],[Reg
Hrs]],Shift_Track[[#This Row],[1.5x OT
Hrs]],Shift_Track[[#This Row],[2x OT
Hrs]])</f>
        <v>11.25</v>
      </c>
      <c r="H52" s="53">
        <f>_xlfn.XLOOKUP(Shift_Track[[#This Row],[Date]],Dates_Ref[Start],Dates_Ref[QCH due],"",-1)</f>
        <v>44995</v>
      </c>
      <c r="I52" s="18">
        <f>_xlfn.XLOOKUP(Shift_Track[[#This Row],[* Code *]],Shift_Codes[Code],Shift_Codes[Reg Hrs],"",0)</f>
        <v>11.25</v>
      </c>
      <c r="J52" s="18">
        <f>_xlfn.XLOOKUP(Shift_Track[[#This Row],[* Code *]],Shift_Codes[Code],Shift_Codes[1.5 OT Hrs],"",0)</f>
        <v>0</v>
      </c>
      <c r="K52" s="18">
        <f>_xlfn.XLOOKUP(Shift_Track[[#This Row],[* Code *]],Shift_Codes[Code],Shift_Codes[2 OT Hrs],"",0)</f>
        <v>0</v>
      </c>
      <c r="L52" s="19">
        <f>_xlfn.XLOOKUP(Shift_Track[[#This Row],[* Code *]],Shift_Codes[Code],Shift_Codes[Start],"",0)</f>
        <v>700</v>
      </c>
      <c r="M52" s="19">
        <f>_xlfn.XLOOKUP(Shift_Track[[#This Row],[* Code *]],Shift_Codes[Code],Shift_Codes[End],"",0)</f>
        <v>1900</v>
      </c>
      <c r="N52" s="19"/>
    </row>
    <row r="53" spans="2:14" ht="24.95" customHeight="1" x14ac:dyDescent="0.3">
      <c r="B53" s="50">
        <v>44990</v>
      </c>
      <c r="C53" s="20">
        <f ca="1">_xlfn.XLOOKUP(Shift_Track[[#This Row],[Date]],Shift_Status_Ref[Shift Date],Shift_Status_Ref[Status],"",-1)</f>
        <v>1</v>
      </c>
      <c r="D53" s="41" t="s">
        <v>59</v>
      </c>
      <c r="E53" s="40">
        <f>_xlfn.XLOOKUP(Shift_Track[[#This Row],[Pay Period]],Hours_Sum[Pay Due],Hours_Sum[Total Hrs],"",0)</f>
        <v>68</v>
      </c>
      <c r="F53" s="40" t="s">
        <v>94</v>
      </c>
      <c r="G53" s="57">
        <f>SUM(Shift_Track[[#This Row],[Reg
Hrs]],Shift_Track[[#This Row],[1.5x OT
Hrs]],Shift_Track[[#This Row],[2x OT
Hrs]])</f>
        <v>11.75</v>
      </c>
      <c r="H53" s="53">
        <f>_xlfn.XLOOKUP(Shift_Track[[#This Row],[Date]],Dates_Ref[Start],Dates_Ref[QCH due],"",-1)</f>
        <v>44995</v>
      </c>
      <c r="I53" s="18">
        <f>_xlfn.XLOOKUP(Shift_Track[[#This Row],[* Code *]],Shift_Codes[Code],Shift_Codes[Reg Hrs],"",0)</f>
        <v>11.25</v>
      </c>
      <c r="J53" s="18">
        <v>0.5</v>
      </c>
      <c r="K53" s="18">
        <f>_xlfn.XLOOKUP(Shift_Track[[#This Row],[* Code *]],Shift_Codes[Code],Shift_Codes[2 OT Hrs],"",0)</f>
        <v>0</v>
      </c>
      <c r="L53" s="19">
        <f>_xlfn.XLOOKUP(Shift_Track[[#This Row],[* Code *]],Shift_Codes[Code],Shift_Codes[Start],"",0)</f>
        <v>700</v>
      </c>
      <c r="M53" s="19">
        <f>_xlfn.XLOOKUP(Shift_Track[[#This Row],[* Code *]],Shift_Codes[Code],Shift_Codes[End],"",0)</f>
        <v>1900</v>
      </c>
      <c r="N53" s="19"/>
    </row>
    <row r="54" spans="2:14" ht="24.95" customHeight="1" x14ac:dyDescent="0.3">
      <c r="B54" s="50">
        <v>44991</v>
      </c>
      <c r="C54" s="20">
        <f ca="1">_xlfn.XLOOKUP(Shift_Track[[#This Row],[Date]],Shift_Status_Ref[Shift Date],Shift_Status_Ref[Status],"",-1)</f>
        <v>1</v>
      </c>
      <c r="D54" s="41" t="s">
        <v>59</v>
      </c>
      <c r="E54" s="40">
        <f>_xlfn.XLOOKUP(Shift_Track[[#This Row],[Pay Period]],Hours_Sum[Pay Due],Hours_Sum[Total Hrs],"",0)</f>
        <v>78.75</v>
      </c>
      <c r="F54" s="40" t="s">
        <v>93</v>
      </c>
      <c r="G54" s="57">
        <f>SUM(Shift_Track[[#This Row],[Reg
Hrs]],Shift_Track[[#This Row],[1.5x OT
Hrs]],Shift_Track[[#This Row],[2x OT
Hrs]])</f>
        <v>11.25</v>
      </c>
      <c r="H54" s="53">
        <f>_xlfn.XLOOKUP(Shift_Track[[#This Row],[Date]],Dates_Ref[Start],Dates_Ref[QCH due],"",-1)</f>
        <v>45009</v>
      </c>
      <c r="I54" s="18">
        <v>7.5</v>
      </c>
      <c r="J54" s="18">
        <v>3.75</v>
      </c>
      <c r="K54" s="18">
        <f>_xlfn.XLOOKUP(Shift_Track[[#This Row],[* Code *]],Shift_Codes[Code],Shift_Codes[2 OT Hrs],"",0)</f>
        <v>0</v>
      </c>
      <c r="L54" s="19">
        <f>_xlfn.XLOOKUP(Shift_Track[[#This Row],[* Code *]],Shift_Codes[Code],Shift_Codes[Start],"",0)</f>
        <v>700</v>
      </c>
      <c r="M54" s="19">
        <f>_xlfn.XLOOKUP(Shift_Track[[#This Row],[* Code *]],Shift_Codes[Code],Shift_Codes[End],"",0)</f>
        <v>1900</v>
      </c>
      <c r="N54" s="19"/>
    </row>
    <row r="55" spans="2:14" ht="24.95" customHeight="1" x14ac:dyDescent="0.3">
      <c r="B55" s="50">
        <v>44998</v>
      </c>
      <c r="C55" s="20">
        <f ca="1">_xlfn.XLOOKUP(Shift_Track[[#This Row],[Date]],Shift_Status_Ref[Shift Date],Shift_Status_Ref[Status],"",-1)</f>
        <v>1</v>
      </c>
      <c r="D55" s="41" t="s">
        <v>59</v>
      </c>
      <c r="E55" s="40">
        <f>_xlfn.XLOOKUP(Shift_Track[[#This Row],[Pay Period]],Hours_Sum[Pay Due],Hours_Sum[Total Hrs],"",0)</f>
        <v>78.75</v>
      </c>
      <c r="F55" s="40" t="s">
        <v>94</v>
      </c>
      <c r="G55" s="57">
        <f>SUM(Shift_Track[[#This Row],[Reg
Hrs]],Shift_Track[[#This Row],[1.5x OT
Hrs]],Shift_Track[[#This Row],[2x OT
Hrs]])</f>
        <v>11.25</v>
      </c>
      <c r="H55" s="53">
        <f>_xlfn.XLOOKUP(Shift_Track[[#This Row],[Date]],Dates_Ref[Start],Dates_Ref[QCH due],"",-1)</f>
        <v>45009</v>
      </c>
      <c r="I55" s="18">
        <f>_xlfn.XLOOKUP(Shift_Track[[#This Row],[* Code *]],Shift_Codes[Code],Shift_Codes[Reg Hrs],"",0)</f>
        <v>11.25</v>
      </c>
      <c r="J55" s="18">
        <f>_xlfn.XLOOKUP(Shift_Track[[#This Row],[* Code *]],Shift_Codes[Code],Shift_Codes[1.5 OT Hrs],"",0)</f>
        <v>0</v>
      </c>
      <c r="K55" s="18">
        <f>_xlfn.XLOOKUP(Shift_Track[[#This Row],[* Code *]],Shift_Codes[Code],Shift_Codes[2 OT Hrs],"",0)</f>
        <v>0</v>
      </c>
      <c r="L55" s="19">
        <f>_xlfn.XLOOKUP(Shift_Track[[#This Row],[* Code *]],Shift_Codes[Code],Shift_Codes[Start],"",0)</f>
        <v>700</v>
      </c>
      <c r="M55" s="19">
        <f>_xlfn.XLOOKUP(Shift_Track[[#This Row],[* Code *]],Shift_Codes[Code],Shift_Codes[End],"",0)</f>
        <v>1900</v>
      </c>
      <c r="N55" s="19"/>
    </row>
    <row r="56" spans="2:14" ht="24.95" customHeight="1" x14ac:dyDescent="0.3">
      <c r="B56" s="50">
        <v>44999</v>
      </c>
      <c r="C56" s="20">
        <f ca="1">_xlfn.XLOOKUP(Shift_Track[[#This Row],[Date]],Shift_Status_Ref[Shift Date],Shift_Status_Ref[Status],"",-1)</f>
        <v>1</v>
      </c>
      <c r="D56" s="41" t="s">
        <v>59</v>
      </c>
      <c r="E56" s="40">
        <f>_xlfn.XLOOKUP(Shift_Track[[#This Row],[Pay Period]],Hours_Sum[Pay Due],Hours_Sum[Total Hrs],"",0)</f>
        <v>78.75</v>
      </c>
      <c r="F56" s="40" t="s">
        <v>93</v>
      </c>
      <c r="G56" s="57">
        <f>SUM(Shift_Track[[#This Row],[Reg
Hrs]],Shift_Track[[#This Row],[1.5x OT
Hrs]],Shift_Track[[#This Row],[2x OT
Hrs]])</f>
        <v>11.25</v>
      </c>
      <c r="H56" s="53">
        <f>_xlfn.XLOOKUP(Shift_Track[[#This Row],[Date]],Dates_Ref[Start],Dates_Ref[QCH due],"",-1)</f>
        <v>45009</v>
      </c>
      <c r="I56" s="18">
        <f>_xlfn.XLOOKUP(Shift_Track[[#This Row],[* Code *]],Shift_Codes[Code],Shift_Codes[Reg Hrs],"",0)</f>
        <v>11.25</v>
      </c>
      <c r="J56" s="18">
        <f>_xlfn.XLOOKUP(Shift_Track[[#This Row],[* Code *]],Shift_Codes[Code],Shift_Codes[1.5 OT Hrs],"",0)</f>
        <v>0</v>
      </c>
      <c r="K56" s="18">
        <f>_xlfn.XLOOKUP(Shift_Track[[#This Row],[* Code *]],Shift_Codes[Code],Shift_Codes[2 OT Hrs],"",0)</f>
        <v>0</v>
      </c>
      <c r="L56" s="19">
        <f>_xlfn.XLOOKUP(Shift_Track[[#This Row],[* Code *]],Shift_Codes[Code],Shift_Codes[Start],"",0)</f>
        <v>700</v>
      </c>
      <c r="M56" s="19">
        <f>_xlfn.XLOOKUP(Shift_Track[[#This Row],[* Code *]],Shift_Codes[Code],Shift_Codes[End],"",0)</f>
        <v>1900</v>
      </c>
      <c r="N56" s="19"/>
    </row>
    <row r="57" spans="2:14" ht="24.95" customHeight="1" x14ac:dyDescent="0.3">
      <c r="B57" s="50">
        <v>45000</v>
      </c>
      <c r="C57" s="20">
        <f ca="1">_xlfn.XLOOKUP(Shift_Track[[#This Row],[Date]],Shift_Status_Ref[Shift Date],Shift_Status_Ref[Status],"",-1)</f>
        <v>1</v>
      </c>
      <c r="D57" s="41" t="s">
        <v>59</v>
      </c>
      <c r="E57" s="40">
        <f>_xlfn.XLOOKUP(Shift_Track[[#This Row],[Pay Period]],Hours_Sum[Pay Due],Hours_Sum[Total Hrs],"",0)</f>
        <v>78.75</v>
      </c>
      <c r="F57" s="40" t="s">
        <v>93</v>
      </c>
      <c r="G57" s="57">
        <f>SUM(Shift_Track[[#This Row],[Reg
Hrs]],Shift_Track[[#This Row],[1.5x OT
Hrs]],Shift_Track[[#This Row],[2x OT
Hrs]])</f>
        <v>11.25</v>
      </c>
      <c r="H57" s="53">
        <f>_xlfn.XLOOKUP(Shift_Track[[#This Row],[Date]],Dates_Ref[Start],Dates_Ref[QCH due],"",-1)</f>
        <v>45009</v>
      </c>
      <c r="I57" s="18">
        <f>_xlfn.XLOOKUP(Shift_Track[[#This Row],[* Code *]],Shift_Codes[Code],Shift_Codes[Reg Hrs],"",0)</f>
        <v>11.25</v>
      </c>
      <c r="J57" s="18">
        <f>_xlfn.XLOOKUP(Shift_Track[[#This Row],[* Code *]],Shift_Codes[Code],Shift_Codes[1.5 OT Hrs],"",0)</f>
        <v>0</v>
      </c>
      <c r="K57" s="18">
        <f>_xlfn.XLOOKUP(Shift_Track[[#This Row],[* Code *]],Shift_Codes[Code],Shift_Codes[2 OT Hrs],"",0)</f>
        <v>0</v>
      </c>
      <c r="L57" s="19">
        <f>_xlfn.XLOOKUP(Shift_Track[[#This Row],[* Code *]],Shift_Codes[Code],Shift_Codes[Start],"",0)</f>
        <v>700</v>
      </c>
      <c r="M57" s="19">
        <f>_xlfn.XLOOKUP(Shift_Track[[#This Row],[* Code *]],Shift_Codes[Code],Shift_Codes[End],"",0)</f>
        <v>1900</v>
      </c>
      <c r="N57" s="19"/>
    </row>
    <row r="58" spans="2:14" ht="24.95" customHeight="1" x14ac:dyDescent="0.3">
      <c r="B58" s="50">
        <v>45001</v>
      </c>
      <c r="C58" s="20">
        <f ca="1">_xlfn.XLOOKUP(Shift_Track[[#This Row],[Date]],Shift_Status_Ref[Shift Date],Shift_Status_Ref[Status],"",-1)</f>
        <v>1</v>
      </c>
      <c r="D58" s="41" t="s">
        <v>59</v>
      </c>
      <c r="E58" s="40">
        <f>_xlfn.XLOOKUP(Shift_Track[[#This Row],[Pay Period]],Hours_Sum[Pay Due],Hours_Sum[Total Hrs],"",0)</f>
        <v>78.75</v>
      </c>
      <c r="F58" s="40" t="s">
        <v>93</v>
      </c>
      <c r="G58" s="57">
        <f>SUM(Shift_Track[[#This Row],[Reg
Hrs]],Shift_Track[[#This Row],[1.5x OT
Hrs]],Shift_Track[[#This Row],[2x OT
Hrs]])</f>
        <v>11.25</v>
      </c>
      <c r="H58" s="53">
        <f>_xlfn.XLOOKUP(Shift_Track[[#This Row],[Date]],Dates_Ref[Start],Dates_Ref[QCH due],"",-1)</f>
        <v>45009</v>
      </c>
      <c r="I58" s="18">
        <f>_xlfn.XLOOKUP(Shift_Track[[#This Row],[* Code *]],Shift_Codes[Code],Shift_Codes[Reg Hrs],"",0)</f>
        <v>11.25</v>
      </c>
      <c r="J58" s="18">
        <f>_xlfn.XLOOKUP(Shift_Track[[#This Row],[* Code *]],Shift_Codes[Code],Shift_Codes[1.5 OT Hrs],"",0)</f>
        <v>0</v>
      </c>
      <c r="K58" s="18">
        <f>_xlfn.XLOOKUP(Shift_Track[[#This Row],[* Code *]],Shift_Codes[Code],Shift_Codes[2 OT Hrs],"",0)</f>
        <v>0</v>
      </c>
      <c r="L58" s="19">
        <f>_xlfn.XLOOKUP(Shift_Track[[#This Row],[* Code *]],Shift_Codes[Code],Shift_Codes[Start],"",0)</f>
        <v>700</v>
      </c>
      <c r="M58" s="19">
        <f>_xlfn.XLOOKUP(Shift_Track[[#This Row],[* Code *]],Shift_Codes[Code],Shift_Codes[End],"",0)</f>
        <v>1900</v>
      </c>
      <c r="N58" s="19"/>
    </row>
    <row r="59" spans="2:14" ht="24.95" customHeight="1" x14ac:dyDescent="0.3">
      <c r="B59" s="50">
        <v>45003</v>
      </c>
      <c r="C59" s="20">
        <f ca="1">_xlfn.XLOOKUP(Shift_Track[[#This Row],[Date]],Shift_Status_Ref[Shift Date],Shift_Status_Ref[Status],"",-1)</f>
        <v>1</v>
      </c>
      <c r="D59" s="41" t="s">
        <v>60</v>
      </c>
      <c r="E59" s="40">
        <f>_xlfn.XLOOKUP(Shift_Track[[#This Row],[Pay Period]],Hours_Sum[Pay Due],Hours_Sum[Total Hrs],"",0)</f>
        <v>78.75</v>
      </c>
      <c r="F59" s="40" t="s">
        <v>94</v>
      </c>
      <c r="G59" s="57">
        <f>SUM(Shift_Track[[#This Row],[Reg
Hrs]],Shift_Track[[#This Row],[1.5x OT
Hrs]],Shift_Track[[#This Row],[2x OT
Hrs]])</f>
        <v>11.25</v>
      </c>
      <c r="H59" s="53">
        <f>_xlfn.XLOOKUP(Shift_Track[[#This Row],[Date]],Dates_Ref[Start],Dates_Ref[QCH due],"",-1)</f>
        <v>45009</v>
      </c>
      <c r="I59" s="18">
        <f>_xlfn.XLOOKUP(Shift_Track[[#This Row],[* Code *]],Shift_Codes[Code],Shift_Codes[Reg Hrs],"",0)</f>
        <v>11.25</v>
      </c>
      <c r="J59" s="18">
        <f>_xlfn.XLOOKUP(Shift_Track[[#This Row],[* Code *]],Shift_Codes[Code],Shift_Codes[1.5 OT Hrs],"",0)</f>
        <v>0</v>
      </c>
      <c r="K59" s="18">
        <f>_xlfn.XLOOKUP(Shift_Track[[#This Row],[* Code *]],Shift_Codes[Code],Shift_Codes[2 OT Hrs],"",0)</f>
        <v>0</v>
      </c>
      <c r="L59" s="19">
        <f>_xlfn.XLOOKUP(Shift_Track[[#This Row],[* Code *]],Shift_Codes[Code],Shift_Codes[Start],"",0)</f>
        <v>1900</v>
      </c>
      <c r="M59" s="19">
        <f>_xlfn.XLOOKUP(Shift_Track[[#This Row],[* Code *]],Shift_Codes[Code],Shift_Codes[End],"",0)</f>
        <v>700</v>
      </c>
      <c r="N59" s="19"/>
    </row>
    <row r="60" spans="2:14" ht="24.95" customHeight="1" x14ac:dyDescent="0.3">
      <c r="B60" s="50">
        <v>45004</v>
      </c>
      <c r="C60" s="20">
        <f ca="1">_xlfn.XLOOKUP(Shift_Track[[#This Row],[Date]],Shift_Status_Ref[Shift Date],Shift_Status_Ref[Status],"",-1)</f>
        <v>1</v>
      </c>
      <c r="D60" s="41" t="s">
        <v>60</v>
      </c>
      <c r="E60" s="40">
        <f>_xlfn.XLOOKUP(Shift_Track[[#This Row],[Pay Period]],Hours_Sum[Pay Due],Hours_Sum[Total Hrs],"",0)</f>
        <v>78.75</v>
      </c>
      <c r="F60" s="40" t="s">
        <v>94</v>
      </c>
      <c r="G60" s="57">
        <f>SUM(Shift_Track[[#This Row],[Reg
Hrs]],Shift_Track[[#This Row],[1.5x OT
Hrs]],Shift_Track[[#This Row],[2x OT
Hrs]])</f>
        <v>11.25</v>
      </c>
      <c r="H60" s="53">
        <f>_xlfn.XLOOKUP(Shift_Track[[#This Row],[Date]],Dates_Ref[Start],Dates_Ref[QCH due],"",-1)</f>
        <v>45009</v>
      </c>
      <c r="I60" s="18">
        <f>_xlfn.XLOOKUP(Shift_Track[[#This Row],[* Code *]],Shift_Codes[Code],Shift_Codes[Reg Hrs],"",0)</f>
        <v>11.25</v>
      </c>
      <c r="J60" s="18">
        <f>_xlfn.XLOOKUP(Shift_Track[[#This Row],[* Code *]],Shift_Codes[Code],Shift_Codes[1.5 OT Hrs],"",0)</f>
        <v>0</v>
      </c>
      <c r="K60" s="18">
        <f>_xlfn.XLOOKUP(Shift_Track[[#This Row],[* Code *]],Shift_Codes[Code],Shift_Codes[2 OT Hrs],"",0)</f>
        <v>0</v>
      </c>
      <c r="L60" s="19">
        <f>_xlfn.XLOOKUP(Shift_Track[[#This Row],[* Code *]],Shift_Codes[Code],Shift_Codes[Start],"",0)</f>
        <v>1900</v>
      </c>
      <c r="M60" s="19">
        <f>_xlfn.XLOOKUP(Shift_Track[[#This Row],[* Code *]],Shift_Codes[Code],Shift_Codes[End],"",0)</f>
        <v>700</v>
      </c>
      <c r="N60" s="19"/>
    </row>
    <row r="61" spans="2:14" ht="24.95" customHeight="1" x14ac:dyDescent="0.3">
      <c r="B61" s="50">
        <v>45008</v>
      </c>
      <c r="C61" s="20">
        <f ca="1">_xlfn.XLOOKUP(Shift_Track[[#This Row],[Date]],Shift_Status_Ref[Shift Date],Shift_Status_Ref[Status],"",-1)</f>
        <v>1</v>
      </c>
      <c r="D61" s="41" t="s">
        <v>60</v>
      </c>
      <c r="E61" s="40">
        <f>_xlfn.XLOOKUP(Shift_Track[[#This Row],[Pay Period]],Hours_Sum[Pay Due],Hours_Sum[Total Hrs],"",0)</f>
        <v>75</v>
      </c>
      <c r="F61" s="40" t="s">
        <v>93</v>
      </c>
      <c r="G61" s="57">
        <f>SUM(Shift_Track[[#This Row],[Reg
Hrs]],Shift_Track[[#This Row],[1.5x OT
Hrs]],Shift_Track[[#This Row],[2x OT
Hrs]])</f>
        <v>11.25</v>
      </c>
      <c r="H61" s="53">
        <f>_xlfn.XLOOKUP(Shift_Track[[#This Row],[Date]],Dates_Ref[Start],Dates_Ref[QCH due],"",-1)</f>
        <v>45023</v>
      </c>
      <c r="I61" s="18">
        <f>_xlfn.XLOOKUP(Shift_Track[[#This Row],[* Code *]],Shift_Codes[Code],Shift_Codes[Reg Hrs],"",0)</f>
        <v>11.25</v>
      </c>
      <c r="J61" s="18">
        <f>_xlfn.XLOOKUP(Shift_Track[[#This Row],[* Code *]],Shift_Codes[Code],Shift_Codes[1.5 OT Hrs],"",0)</f>
        <v>0</v>
      </c>
      <c r="K61" s="18">
        <f>_xlfn.XLOOKUP(Shift_Track[[#This Row],[* Code *]],Shift_Codes[Code],Shift_Codes[2 OT Hrs],"",0)</f>
        <v>0</v>
      </c>
      <c r="L61" s="19">
        <f>_xlfn.XLOOKUP(Shift_Track[[#This Row],[* Code *]],Shift_Codes[Code],Shift_Codes[Start],"",0)</f>
        <v>1900</v>
      </c>
      <c r="M61" s="19">
        <f>_xlfn.XLOOKUP(Shift_Track[[#This Row],[* Code *]],Shift_Codes[Code],Shift_Codes[End],"",0)</f>
        <v>700</v>
      </c>
      <c r="N61" s="19"/>
    </row>
    <row r="62" spans="2:14" ht="24.95" customHeight="1" x14ac:dyDescent="0.3">
      <c r="B62" s="50">
        <v>45009</v>
      </c>
      <c r="C62" s="20">
        <f ca="1">_xlfn.XLOOKUP(Shift_Track[[#This Row],[Date]],Shift_Status_Ref[Shift Date],Shift_Status_Ref[Status],"",-1)</f>
        <v>1</v>
      </c>
      <c r="D62" s="41" t="s">
        <v>60</v>
      </c>
      <c r="E62" s="40">
        <f>_xlfn.XLOOKUP(Shift_Track[[#This Row],[Pay Period]],Hours_Sum[Pay Due],Hours_Sum[Total Hrs],"",0)</f>
        <v>75</v>
      </c>
      <c r="F62" s="40" t="s">
        <v>94</v>
      </c>
      <c r="G62" s="57">
        <f>SUM(Shift_Track[[#This Row],[Reg
Hrs]],Shift_Track[[#This Row],[1.5x OT
Hrs]],Shift_Track[[#This Row],[2x OT
Hrs]])</f>
        <v>11.25</v>
      </c>
      <c r="H62" s="53">
        <f>_xlfn.XLOOKUP(Shift_Track[[#This Row],[Date]],Dates_Ref[Start],Dates_Ref[QCH due],"",-1)</f>
        <v>45023</v>
      </c>
      <c r="I62" s="18">
        <f>_xlfn.XLOOKUP(Shift_Track[[#This Row],[* Code *]],Shift_Codes[Code],Shift_Codes[Reg Hrs],"",0)</f>
        <v>11.25</v>
      </c>
      <c r="J62" s="18">
        <f>_xlfn.XLOOKUP(Shift_Track[[#This Row],[* Code *]],Shift_Codes[Code],Shift_Codes[1.5 OT Hrs],"",0)</f>
        <v>0</v>
      </c>
      <c r="K62" s="18">
        <f>_xlfn.XLOOKUP(Shift_Track[[#This Row],[* Code *]],Shift_Codes[Code],Shift_Codes[2 OT Hrs],"",0)</f>
        <v>0</v>
      </c>
      <c r="L62" s="19">
        <f>_xlfn.XLOOKUP(Shift_Track[[#This Row],[* Code *]],Shift_Codes[Code],Shift_Codes[Start],"",0)</f>
        <v>1900</v>
      </c>
      <c r="M62" s="19">
        <f>_xlfn.XLOOKUP(Shift_Track[[#This Row],[* Code *]],Shift_Codes[Code],Shift_Codes[End],"",0)</f>
        <v>700</v>
      </c>
      <c r="N62" s="19"/>
    </row>
    <row r="63" spans="2:14" ht="24.95" customHeight="1" x14ac:dyDescent="0.3">
      <c r="B63" s="50">
        <v>45012</v>
      </c>
      <c r="C63" s="20">
        <f ca="1">_xlfn.XLOOKUP(Shift_Track[[#This Row],[Date]],Shift_Status_Ref[Shift Date],Shift_Status_Ref[Status],"",-1)</f>
        <v>1</v>
      </c>
      <c r="D63" s="41" t="s">
        <v>107</v>
      </c>
      <c r="E63" s="40">
        <f>_xlfn.XLOOKUP(Shift_Track[[#This Row],[Pay Period]],Hours_Sum[Pay Due],Hours_Sum[Total Hrs],"",0)</f>
        <v>75</v>
      </c>
      <c r="F63" s="40" t="s">
        <v>94</v>
      </c>
      <c r="G63" s="57">
        <f>SUM(Shift_Track[[#This Row],[Reg
Hrs]],Shift_Track[[#This Row],[1.5x OT
Hrs]],Shift_Track[[#This Row],[2x OT
Hrs]])</f>
        <v>7.5</v>
      </c>
      <c r="H63" s="53">
        <f>_xlfn.XLOOKUP(Shift_Track[[#This Row],[Date]],Dates_Ref[Start],Dates_Ref[QCH due],"",-1)</f>
        <v>45023</v>
      </c>
      <c r="I63" s="18">
        <f>_xlfn.XLOOKUP(Shift_Track[[#This Row],[* Code *]],Shift_Codes[Code],Shift_Codes[Reg Hrs],"",0)</f>
        <v>7.5</v>
      </c>
      <c r="J63" s="18">
        <f>_xlfn.XLOOKUP(Shift_Track[[#This Row],[* Code *]],Shift_Codes[Code],Shift_Codes[1.5 OT Hrs],"",0)</f>
        <v>0</v>
      </c>
      <c r="K63" s="18">
        <f>_xlfn.XLOOKUP(Shift_Track[[#This Row],[* Code *]],Shift_Codes[Code],Shift_Codes[2 OT Hrs],"",0)</f>
        <v>0</v>
      </c>
      <c r="L63" s="19">
        <f>_xlfn.XLOOKUP(Shift_Track[[#This Row],[* Code *]],Shift_Codes[Code],Shift_Codes[Start],"",0)</f>
        <v>2300</v>
      </c>
      <c r="M63" s="19">
        <f>_xlfn.XLOOKUP(Shift_Track[[#This Row],[* Code *]],Shift_Codes[Code],Shift_Codes[End],"",0)</f>
        <v>700</v>
      </c>
      <c r="N63" s="19"/>
    </row>
    <row r="64" spans="2:14" ht="24.95" customHeight="1" x14ac:dyDescent="0.3">
      <c r="B64" s="50">
        <v>45013</v>
      </c>
      <c r="C64" s="20">
        <f ca="1">_xlfn.XLOOKUP(Shift_Track[[#This Row],[Date]],Shift_Status_Ref[Shift Date],Shift_Status_Ref[Status],"",-1)</f>
        <v>1</v>
      </c>
      <c r="D64" s="41" t="s">
        <v>60</v>
      </c>
      <c r="E64" s="40">
        <f>_xlfn.XLOOKUP(Shift_Track[[#This Row],[Pay Period]],Hours_Sum[Pay Due],Hours_Sum[Total Hrs],"",0)</f>
        <v>75</v>
      </c>
      <c r="F64" s="40" t="s">
        <v>93</v>
      </c>
      <c r="G64" s="57">
        <f>SUM(Shift_Track[[#This Row],[Reg
Hrs]],Shift_Track[[#This Row],[1.5x OT
Hrs]],Shift_Track[[#This Row],[2x OT
Hrs]])</f>
        <v>11.25</v>
      </c>
      <c r="H64" s="53">
        <f>_xlfn.XLOOKUP(Shift_Track[[#This Row],[Date]],Dates_Ref[Start],Dates_Ref[QCH due],"",-1)</f>
        <v>45023</v>
      </c>
      <c r="I64" s="18">
        <f>_xlfn.XLOOKUP(Shift_Track[[#This Row],[* Code *]],Shift_Codes[Code],Shift_Codes[Reg Hrs],"",0)</f>
        <v>11.25</v>
      </c>
      <c r="J64" s="18">
        <f>_xlfn.XLOOKUP(Shift_Track[[#This Row],[* Code *]],Shift_Codes[Code],Shift_Codes[1.5 OT Hrs],"",0)</f>
        <v>0</v>
      </c>
      <c r="K64" s="18">
        <f>_xlfn.XLOOKUP(Shift_Track[[#This Row],[* Code *]],Shift_Codes[Code],Shift_Codes[2 OT Hrs],"",0)</f>
        <v>0</v>
      </c>
      <c r="L64" s="19">
        <f>_xlfn.XLOOKUP(Shift_Track[[#This Row],[* Code *]],Shift_Codes[Code],Shift_Codes[Start],"",0)</f>
        <v>1900</v>
      </c>
      <c r="M64" s="19">
        <f>_xlfn.XLOOKUP(Shift_Track[[#This Row],[* Code *]],Shift_Codes[Code],Shift_Codes[End],"",0)</f>
        <v>700</v>
      </c>
      <c r="N64" s="19"/>
    </row>
    <row r="65" spans="2:14" ht="24.95" customHeight="1" x14ac:dyDescent="0.3">
      <c r="B65" s="50">
        <v>45014</v>
      </c>
      <c r="C65" s="20">
        <f ca="1">_xlfn.XLOOKUP(Shift_Track[[#This Row],[Date]],Shift_Status_Ref[Shift Date],Shift_Status_Ref[Status],"",-1)</f>
        <v>1</v>
      </c>
      <c r="D65" s="41" t="s">
        <v>60</v>
      </c>
      <c r="E65" s="40">
        <f>_xlfn.XLOOKUP(Shift_Track[[#This Row],[Pay Period]],Hours_Sum[Pay Due],Hours_Sum[Total Hrs],"",0)</f>
        <v>75</v>
      </c>
      <c r="F65" s="40" t="s">
        <v>94</v>
      </c>
      <c r="G65" s="57">
        <f>SUM(Shift_Track[[#This Row],[Reg
Hrs]],Shift_Track[[#This Row],[1.5x OT
Hrs]],Shift_Track[[#This Row],[2x OT
Hrs]])</f>
        <v>11.25</v>
      </c>
      <c r="H65" s="53">
        <f>_xlfn.XLOOKUP(Shift_Track[[#This Row],[Date]],Dates_Ref[Start],Dates_Ref[QCH due],"",-1)</f>
        <v>45023</v>
      </c>
      <c r="I65" s="18">
        <f>_xlfn.XLOOKUP(Shift_Track[[#This Row],[* Code *]],Shift_Codes[Code],Shift_Codes[Reg Hrs],"",0)</f>
        <v>11.25</v>
      </c>
      <c r="J65" s="18">
        <f>_xlfn.XLOOKUP(Shift_Track[[#This Row],[* Code *]],Shift_Codes[Code],Shift_Codes[1.5 OT Hrs],"",0)</f>
        <v>0</v>
      </c>
      <c r="K65" s="18">
        <f>_xlfn.XLOOKUP(Shift_Track[[#This Row],[* Code *]],Shift_Codes[Code],Shift_Codes[2 OT Hrs],"",0)</f>
        <v>0</v>
      </c>
      <c r="L65" s="19">
        <f>_xlfn.XLOOKUP(Shift_Track[[#This Row],[* Code *]],Shift_Codes[Code],Shift_Codes[Start],"",0)</f>
        <v>1900</v>
      </c>
      <c r="M65" s="19">
        <f>_xlfn.XLOOKUP(Shift_Track[[#This Row],[* Code *]],Shift_Codes[Code],Shift_Codes[End],"",0)</f>
        <v>700</v>
      </c>
      <c r="N65" s="19"/>
    </row>
    <row r="66" spans="2:14" ht="24.95" customHeight="1" x14ac:dyDescent="0.3">
      <c r="B66" s="50">
        <v>45017</v>
      </c>
      <c r="C66" s="20">
        <f ca="1">_xlfn.XLOOKUP(Shift_Track[[#This Row],[Date]],Shift_Status_Ref[Shift Date],Shift_Status_Ref[Status],"",-1)</f>
        <v>1</v>
      </c>
      <c r="D66" s="41" t="s">
        <v>59</v>
      </c>
      <c r="E66" s="40">
        <f>_xlfn.XLOOKUP(Shift_Track[[#This Row],[Pay Period]],Hours_Sum[Pay Due],Hours_Sum[Total Hrs],"",0)</f>
        <v>75</v>
      </c>
      <c r="F66" s="40" t="s">
        <v>93</v>
      </c>
      <c r="G66" s="57">
        <f>SUM(Shift_Track[[#This Row],[Reg
Hrs]],Shift_Track[[#This Row],[1.5x OT
Hrs]],Shift_Track[[#This Row],[2x OT
Hrs]])</f>
        <v>11.25</v>
      </c>
      <c r="H66" s="53">
        <f>_xlfn.XLOOKUP(Shift_Track[[#This Row],[Date]],Dates_Ref[Start],Dates_Ref[QCH due],"",-1)</f>
        <v>45023</v>
      </c>
      <c r="I66" s="18">
        <f>_xlfn.XLOOKUP(Shift_Track[[#This Row],[* Code *]],Shift_Codes[Code],Shift_Codes[Reg Hrs],"",0)</f>
        <v>11.25</v>
      </c>
      <c r="J66" s="18">
        <f>_xlfn.XLOOKUP(Shift_Track[[#This Row],[* Code *]],Shift_Codes[Code],Shift_Codes[1.5 OT Hrs],"",0)</f>
        <v>0</v>
      </c>
      <c r="K66" s="18">
        <f>_xlfn.XLOOKUP(Shift_Track[[#This Row],[* Code *]],Shift_Codes[Code],Shift_Codes[2 OT Hrs],"",0)</f>
        <v>0</v>
      </c>
      <c r="L66" s="19">
        <f>_xlfn.XLOOKUP(Shift_Track[[#This Row],[* Code *]],Shift_Codes[Code],Shift_Codes[Start],"",0)</f>
        <v>700</v>
      </c>
      <c r="M66" s="19">
        <f>_xlfn.XLOOKUP(Shift_Track[[#This Row],[* Code *]],Shift_Codes[Code],Shift_Codes[End],"",0)</f>
        <v>1900</v>
      </c>
      <c r="N66" s="19"/>
    </row>
    <row r="67" spans="2:14" ht="24.95" customHeight="1" x14ac:dyDescent="0.3">
      <c r="B67" s="50">
        <v>45018</v>
      </c>
      <c r="C67" s="20">
        <f ca="1">_xlfn.XLOOKUP(Shift_Track[[#This Row],[Date]],Shift_Status_Ref[Shift Date],Shift_Status_Ref[Status],"",-1)</f>
        <v>1</v>
      </c>
      <c r="D67" s="41" t="s">
        <v>59</v>
      </c>
      <c r="E67" s="40">
        <f>_xlfn.XLOOKUP(Shift_Track[[#This Row],[Pay Period]],Hours_Sum[Pay Due],Hours_Sum[Total Hrs],"",0)</f>
        <v>75</v>
      </c>
      <c r="F67" s="40" t="s">
        <v>93</v>
      </c>
      <c r="G67" s="57">
        <f>SUM(Shift_Track[[#This Row],[Reg
Hrs]],Shift_Track[[#This Row],[1.5x OT
Hrs]],Shift_Track[[#This Row],[2x OT
Hrs]])</f>
        <v>11.25</v>
      </c>
      <c r="H67" s="53">
        <f>_xlfn.XLOOKUP(Shift_Track[[#This Row],[Date]],Dates_Ref[Start],Dates_Ref[QCH due],"",-1)</f>
        <v>45023</v>
      </c>
      <c r="I67" s="18">
        <f>_xlfn.XLOOKUP(Shift_Track[[#This Row],[* Code *]],Shift_Codes[Code],Shift_Codes[Reg Hrs],"",0)</f>
        <v>11.25</v>
      </c>
      <c r="J67" s="18">
        <f>_xlfn.XLOOKUP(Shift_Track[[#This Row],[* Code *]],Shift_Codes[Code],Shift_Codes[1.5 OT Hrs],"",0)</f>
        <v>0</v>
      </c>
      <c r="K67" s="18">
        <f>_xlfn.XLOOKUP(Shift_Track[[#This Row],[* Code *]],Shift_Codes[Code],Shift_Codes[2 OT Hrs],"",0)</f>
        <v>0</v>
      </c>
      <c r="L67" s="19">
        <f>_xlfn.XLOOKUP(Shift_Track[[#This Row],[* Code *]],Shift_Codes[Code],Shift_Codes[Start],"",0)</f>
        <v>700</v>
      </c>
      <c r="M67" s="19">
        <f>_xlfn.XLOOKUP(Shift_Track[[#This Row],[* Code *]],Shift_Codes[Code],Shift_Codes[End],"",0)</f>
        <v>1900</v>
      </c>
      <c r="N67" s="19"/>
    </row>
    <row r="68" spans="2:14" ht="24.95" customHeight="1" x14ac:dyDescent="0.3">
      <c r="B68" s="56">
        <v>45021</v>
      </c>
      <c r="C68" s="20">
        <f ca="1">_xlfn.XLOOKUP(Shift_Track[[#This Row],[Date]],Shift_Status_Ref[Shift Date],Shift_Status_Ref[Status],"",-1)</f>
        <v>1</v>
      </c>
      <c r="D68" s="64" t="s">
        <v>59</v>
      </c>
      <c r="E68" s="40">
        <f>_xlfn.XLOOKUP(Shift_Track[[#This Row],[Pay Period]],Hours_Sum[Pay Due],Hours_Sum[Total Hrs],"",0)</f>
        <v>78.75</v>
      </c>
      <c r="F68" s="40" t="s">
        <v>94</v>
      </c>
      <c r="G68" s="57">
        <f>SUM(Shift_Track[[#This Row],[Reg
Hrs]],Shift_Track[[#This Row],[1.5x OT
Hrs]],Shift_Track[[#This Row],[2x OT
Hrs]])</f>
        <v>11.25</v>
      </c>
      <c r="H68" s="55">
        <f>_xlfn.XLOOKUP(Shift_Track[[#This Row],[Date]],Dates_Ref[Start],Dates_Ref[QCH due],"",-1)</f>
        <v>45037</v>
      </c>
      <c r="I68" s="18">
        <f>_xlfn.XLOOKUP(Shift_Track[[#This Row],[* Code *]],Shift_Codes[Code],Shift_Codes[Reg Hrs],"",0)</f>
        <v>11.25</v>
      </c>
      <c r="J68" s="18">
        <f>_xlfn.XLOOKUP(Shift_Track[[#This Row],[* Code *]],Shift_Codes[Code],Shift_Codes[1.5 OT Hrs],"",0)</f>
        <v>0</v>
      </c>
      <c r="K68" s="18">
        <f>_xlfn.XLOOKUP(Shift_Track[[#This Row],[* Code *]],Shift_Codes[Code],Shift_Codes[2 OT Hrs],"",0)</f>
        <v>0</v>
      </c>
      <c r="L68" s="19">
        <f>_xlfn.XLOOKUP(Shift_Track[[#This Row],[* Code *]],Shift_Codes[Code],Shift_Codes[Start],"",0)</f>
        <v>700</v>
      </c>
      <c r="M68" s="19">
        <f>_xlfn.XLOOKUP(Shift_Track[[#This Row],[* Code *]],Shift_Codes[Code],Shift_Codes[End],"",0)</f>
        <v>1900</v>
      </c>
      <c r="N68" s="19"/>
    </row>
    <row r="69" spans="2:14" ht="24.95" customHeight="1" x14ac:dyDescent="0.3">
      <c r="B69" s="56">
        <v>45022</v>
      </c>
      <c r="C69" s="20">
        <f ca="1">_xlfn.XLOOKUP(Shift_Track[[#This Row],[Date]],Shift_Status_Ref[Shift Date],Shift_Status_Ref[Status],"",-1)</f>
        <v>1</v>
      </c>
      <c r="D69" s="64" t="s">
        <v>59</v>
      </c>
      <c r="E69" s="40">
        <f>_xlfn.XLOOKUP(Shift_Track[[#This Row],[Pay Period]],Hours_Sum[Pay Due],Hours_Sum[Total Hrs],"",0)</f>
        <v>78.75</v>
      </c>
      <c r="F69" s="40" t="s">
        <v>94</v>
      </c>
      <c r="G69" s="57">
        <f>SUM(Shift_Track[[#This Row],[Reg
Hrs]],Shift_Track[[#This Row],[1.5x OT
Hrs]],Shift_Track[[#This Row],[2x OT
Hrs]])</f>
        <v>11.25</v>
      </c>
      <c r="H69" s="55">
        <f>_xlfn.XLOOKUP(Shift_Track[[#This Row],[Date]],Dates_Ref[Start],Dates_Ref[QCH due],"",-1)</f>
        <v>45037</v>
      </c>
      <c r="I69" s="18">
        <v>7.5</v>
      </c>
      <c r="J69" s="18">
        <v>3.75</v>
      </c>
      <c r="K69" s="18">
        <f>_xlfn.XLOOKUP(Shift_Track[[#This Row],[* Code *]],Shift_Codes[Code],Shift_Codes[2 OT Hrs],"",0)</f>
        <v>0</v>
      </c>
      <c r="L69" s="19">
        <f>_xlfn.XLOOKUP(Shift_Track[[#This Row],[* Code *]],Shift_Codes[Code],Shift_Codes[Start],"",0)</f>
        <v>700</v>
      </c>
      <c r="M69" s="19">
        <f>_xlfn.XLOOKUP(Shift_Track[[#This Row],[* Code *]],Shift_Codes[Code],Shift_Codes[End],"",0)</f>
        <v>1900</v>
      </c>
      <c r="N69" s="19"/>
    </row>
    <row r="70" spans="2:14" ht="24.95" customHeight="1" x14ac:dyDescent="0.3">
      <c r="B70" s="56">
        <v>45023</v>
      </c>
      <c r="C70" s="20">
        <f ca="1">_xlfn.XLOOKUP(Shift_Track[[#This Row],[Date]],Shift_Status_Ref[Shift Date],Shift_Status_Ref[Status],"",-1)</f>
        <v>1</v>
      </c>
      <c r="D70" s="64" t="s">
        <v>97</v>
      </c>
      <c r="E70" s="40">
        <f>_xlfn.XLOOKUP(Shift_Track[[#This Row],[Pay Period]],Hours_Sum[Pay Due],Hours_Sum[Total Hrs],"",0)</f>
        <v>78.75</v>
      </c>
      <c r="F70" s="40" t="s">
        <v>104</v>
      </c>
      <c r="G70" s="57">
        <f>SUM(Shift_Track[[#This Row],[Reg
Hrs]],Shift_Track[[#This Row],[1.5x OT
Hrs]],Shift_Track[[#This Row],[2x OT
Hrs]])</f>
        <v>11.25</v>
      </c>
      <c r="H70" s="55">
        <f>_xlfn.XLOOKUP(Shift_Track[[#This Row],[Date]],Dates_Ref[Start],Dates_Ref[QCH due],"",-1)</f>
        <v>45037</v>
      </c>
      <c r="I70" s="18"/>
      <c r="J70" s="18">
        <v>11.25</v>
      </c>
      <c r="K70" s="18">
        <f>_xlfn.XLOOKUP(Shift_Track[[#This Row],[* Code *]],Shift_Codes[Code],Shift_Codes[2 OT Hrs],"",0)</f>
        <v>0</v>
      </c>
      <c r="L70" s="19">
        <f>_xlfn.XLOOKUP(Shift_Track[[#This Row],[* Code *]],Shift_Codes[Code],Shift_Codes[Start],"",0)</f>
        <v>730</v>
      </c>
      <c r="M70" s="19">
        <f>_xlfn.XLOOKUP(Shift_Track[[#This Row],[* Code *]],Shift_Codes[Code],Shift_Codes[End],"",0)</f>
        <v>1930</v>
      </c>
      <c r="N70" s="19"/>
    </row>
    <row r="71" spans="2:14" ht="24.95" customHeight="1" x14ac:dyDescent="0.3">
      <c r="B71" s="56">
        <v>45029</v>
      </c>
      <c r="C71" s="20">
        <f ca="1">_xlfn.XLOOKUP(Shift_Track[[#This Row],[Date]],Shift_Status_Ref[Shift Date],Shift_Status_Ref[Status],"",-1)</f>
        <v>1</v>
      </c>
      <c r="D71" s="64" t="s">
        <v>59</v>
      </c>
      <c r="E71" s="40">
        <f>_xlfn.XLOOKUP(Shift_Track[[#This Row],[Pay Period]],Hours_Sum[Pay Due],Hours_Sum[Total Hrs],"",0)</f>
        <v>78.75</v>
      </c>
      <c r="F71" s="40" t="s">
        <v>93</v>
      </c>
      <c r="G71" s="57">
        <f>SUM(Shift_Track[[#This Row],[Reg
Hrs]],Shift_Track[[#This Row],[1.5x OT
Hrs]],Shift_Track[[#This Row],[2x OT
Hrs]])</f>
        <v>11.25</v>
      </c>
      <c r="H71" s="55">
        <f>_xlfn.XLOOKUP(Shift_Track[[#This Row],[Date]],Dates_Ref[Start],Dates_Ref[QCH due],"",-1)</f>
        <v>45037</v>
      </c>
      <c r="I71" s="18">
        <f>_xlfn.XLOOKUP(Shift_Track[[#This Row],[* Code *]],Shift_Codes[Code],Shift_Codes[Reg Hrs],"",0)</f>
        <v>11.25</v>
      </c>
      <c r="J71" s="18">
        <f>_xlfn.XLOOKUP(Shift_Track[[#This Row],[* Code *]],Shift_Codes[Code],Shift_Codes[1.5 OT Hrs],"",0)</f>
        <v>0</v>
      </c>
      <c r="K71" s="18">
        <f>_xlfn.XLOOKUP(Shift_Track[[#This Row],[* Code *]],Shift_Codes[Code],Shift_Codes[2 OT Hrs],"",0)</f>
        <v>0</v>
      </c>
      <c r="L71" s="19">
        <f>_xlfn.XLOOKUP(Shift_Track[[#This Row],[* Code *]],Shift_Codes[Code],Shift_Codes[Start],"",0)</f>
        <v>700</v>
      </c>
      <c r="M71" s="19">
        <f>_xlfn.XLOOKUP(Shift_Track[[#This Row],[* Code *]],Shift_Codes[Code],Shift_Codes[End],"",0)</f>
        <v>1900</v>
      </c>
      <c r="N71" s="19"/>
    </row>
    <row r="72" spans="2:14" ht="24.95" customHeight="1" x14ac:dyDescent="0.3">
      <c r="B72" s="56">
        <v>45030</v>
      </c>
      <c r="C72" s="20">
        <f ca="1">_xlfn.XLOOKUP(Shift_Track[[#This Row],[Date]],Shift_Status_Ref[Shift Date],Shift_Status_Ref[Status],"",-1)</f>
        <v>1</v>
      </c>
      <c r="D72" s="64" t="s">
        <v>59</v>
      </c>
      <c r="E72" s="40">
        <f>_xlfn.XLOOKUP(Shift_Track[[#This Row],[Pay Period]],Hours_Sum[Pay Due],Hours_Sum[Total Hrs],"",0)</f>
        <v>78.75</v>
      </c>
      <c r="F72" s="40" t="s">
        <v>93</v>
      </c>
      <c r="G72" s="57">
        <f>SUM(Shift_Track[[#This Row],[Reg
Hrs]],Shift_Track[[#This Row],[1.5x OT
Hrs]],Shift_Track[[#This Row],[2x OT
Hrs]])</f>
        <v>11.25</v>
      </c>
      <c r="H72" s="55">
        <f>_xlfn.XLOOKUP(Shift_Track[[#This Row],[Date]],Dates_Ref[Start],Dates_Ref[QCH due],"",-1)</f>
        <v>45037</v>
      </c>
      <c r="I72" s="18">
        <f>_xlfn.XLOOKUP(Shift_Track[[#This Row],[* Code *]],Shift_Codes[Code],Shift_Codes[Reg Hrs],"",0)</f>
        <v>11.25</v>
      </c>
      <c r="J72" s="18">
        <f>_xlfn.XLOOKUP(Shift_Track[[#This Row],[* Code *]],Shift_Codes[Code],Shift_Codes[1.5 OT Hrs],"",0)</f>
        <v>0</v>
      </c>
      <c r="K72" s="18">
        <f>_xlfn.XLOOKUP(Shift_Track[[#This Row],[* Code *]],Shift_Codes[Code],Shift_Codes[2 OT Hrs],"",0)</f>
        <v>0</v>
      </c>
      <c r="L72" s="19">
        <f>_xlfn.XLOOKUP(Shift_Track[[#This Row],[* Code *]],Shift_Codes[Code],Shift_Codes[Start],"",0)</f>
        <v>700</v>
      </c>
      <c r="M72" s="19">
        <f>_xlfn.XLOOKUP(Shift_Track[[#This Row],[* Code *]],Shift_Codes[Code],Shift_Codes[End],"",0)</f>
        <v>1900</v>
      </c>
      <c r="N72" s="19"/>
    </row>
    <row r="73" spans="2:14" ht="24.95" customHeight="1" x14ac:dyDescent="0.3">
      <c r="B73" s="56">
        <v>45031</v>
      </c>
      <c r="C73" s="20">
        <f ca="1">_xlfn.XLOOKUP(Shift_Track[[#This Row],[Date]],Shift_Status_Ref[Shift Date],Shift_Status_Ref[Status],"",-1)</f>
        <v>1</v>
      </c>
      <c r="D73" s="64" t="s">
        <v>59</v>
      </c>
      <c r="E73" s="40">
        <f>_xlfn.XLOOKUP(Shift_Track[[#This Row],[Pay Period]],Hours_Sum[Pay Due],Hours_Sum[Total Hrs],"",0)</f>
        <v>78.75</v>
      </c>
      <c r="F73" s="40" t="s">
        <v>94</v>
      </c>
      <c r="G73" s="57">
        <f>SUM(Shift_Track[[#This Row],[Reg
Hrs]],Shift_Track[[#This Row],[1.5x OT
Hrs]],Shift_Track[[#This Row],[2x OT
Hrs]])</f>
        <v>11.25</v>
      </c>
      <c r="H73" s="55">
        <f>_xlfn.XLOOKUP(Shift_Track[[#This Row],[Date]],Dates_Ref[Start],Dates_Ref[QCH due],"",-1)</f>
        <v>45037</v>
      </c>
      <c r="I73" s="18">
        <f>_xlfn.XLOOKUP(Shift_Track[[#This Row],[* Code *]],Shift_Codes[Code],Shift_Codes[Reg Hrs],"",0)</f>
        <v>11.25</v>
      </c>
      <c r="J73" s="18">
        <f>_xlfn.XLOOKUP(Shift_Track[[#This Row],[* Code *]],Shift_Codes[Code],Shift_Codes[1.5 OT Hrs],"",0)</f>
        <v>0</v>
      </c>
      <c r="K73" s="18">
        <f>_xlfn.XLOOKUP(Shift_Track[[#This Row],[* Code *]],Shift_Codes[Code],Shift_Codes[2 OT Hrs],"",0)</f>
        <v>0</v>
      </c>
      <c r="L73" s="19">
        <f>_xlfn.XLOOKUP(Shift_Track[[#This Row],[* Code *]],Shift_Codes[Code],Shift_Codes[Start],"",0)</f>
        <v>700</v>
      </c>
      <c r="M73" s="19">
        <f>_xlfn.XLOOKUP(Shift_Track[[#This Row],[* Code *]],Shift_Codes[Code],Shift_Codes[End],"",0)</f>
        <v>1900</v>
      </c>
      <c r="N73" s="19"/>
    </row>
    <row r="74" spans="2:14" ht="24.95" customHeight="1" x14ac:dyDescent="0.3">
      <c r="B74" s="56">
        <v>45032</v>
      </c>
      <c r="C74" s="20">
        <f ca="1">_xlfn.XLOOKUP(Shift_Track[[#This Row],[Date]],Shift_Status_Ref[Shift Date],Shift_Status_Ref[Status],"",-1)</f>
        <v>1</v>
      </c>
      <c r="D74" s="64" t="s">
        <v>59</v>
      </c>
      <c r="E74" s="40">
        <f>_xlfn.XLOOKUP(Shift_Track[[#This Row],[Pay Period]],Hours_Sum[Pay Due],Hours_Sum[Total Hrs],"",0)</f>
        <v>78.75</v>
      </c>
      <c r="F74" s="40" t="s">
        <v>94</v>
      </c>
      <c r="G74" s="57">
        <f>SUM(Shift_Track[[#This Row],[Reg
Hrs]],Shift_Track[[#This Row],[1.5x OT
Hrs]],Shift_Track[[#This Row],[2x OT
Hrs]])</f>
        <v>11.25</v>
      </c>
      <c r="H74" s="55">
        <f>_xlfn.XLOOKUP(Shift_Track[[#This Row],[Date]],Dates_Ref[Start],Dates_Ref[QCH due],"",-1)</f>
        <v>45037</v>
      </c>
      <c r="I74" s="18">
        <f>_xlfn.XLOOKUP(Shift_Track[[#This Row],[* Code *]],Shift_Codes[Code],Shift_Codes[Reg Hrs],"",0)</f>
        <v>11.25</v>
      </c>
      <c r="J74" s="18">
        <f>_xlfn.XLOOKUP(Shift_Track[[#This Row],[* Code *]],Shift_Codes[Code],Shift_Codes[1.5 OT Hrs],"",0)</f>
        <v>0</v>
      </c>
      <c r="K74" s="18">
        <f>_xlfn.XLOOKUP(Shift_Track[[#This Row],[* Code *]],Shift_Codes[Code],Shift_Codes[2 OT Hrs],"",0)</f>
        <v>0</v>
      </c>
      <c r="L74" s="19">
        <f>_xlfn.XLOOKUP(Shift_Track[[#This Row],[* Code *]],Shift_Codes[Code],Shift_Codes[Start],"",0)</f>
        <v>700</v>
      </c>
      <c r="M74" s="19">
        <f>_xlfn.XLOOKUP(Shift_Track[[#This Row],[* Code *]],Shift_Codes[Code],Shift_Codes[End],"",0)</f>
        <v>1900</v>
      </c>
      <c r="N74" s="19"/>
    </row>
    <row r="75" spans="2:14" ht="24.95" customHeight="1" x14ac:dyDescent="0.3">
      <c r="B75" s="56">
        <v>45034</v>
      </c>
      <c r="C75" s="20">
        <f ca="1">_xlfn.XLOOKUP(Shift_Track[[#This Row],[Date]],Shift_Status_Ref[Shift Date],Shift_Status_Ref[Status],"",-1)</f>
        <v>1</v>
      </c>
      <c r="D75" s="64" t="s">
        <v>59</v>
      </c>
      <c r="E75" s="40">
        <f>_xlfn.XLOOKUP(Shift_Track[[#This Row],[Pay Period]],Hours_Sum[Pay Due],Hours_Sum[Total Hrs],"",0)</f>
        <v>56.25</v>
      </c>
      <c r="F75" s="40" t="s">
        <v>93</v>
      </c>
      <c r="G75" s="57">
        <f>SUM(Shift_Track[[#This Row],[Reg
Hrs]],Shift_Track[[#This Row],[1.5x OT
Hrs]],Shift_Track[[#This Row],[2x OT
Hrs]])</f>
        <v>11.25</v>
      </c>
      <c r="H75" s="55">
        <f>_xlfn.XLOOKUP(Shift_Track[[#This Row],[Date]],Dates_Ref[Start],Dates_Ref[QCH due],"",-1)</f>
        <v>45051</v>
      </c>
      <c r="I75" s="18">
        <f>_xlfn.XLOOKUP(Shift_Track[[#This Row],[* Code *]],Shift_Codes[Code],Shift_Codes[Reg Hrs],"",0)</f>
        <v>11.25</v>
      </c>
      <c r="J75" s="18">
        <f>_xlfn.XLOOKUP(Shift_Track[[#This Row],[* Code *]],Shift_Codes[Code],Shift_Codes[1.5 OT Hrs],"",0)</f>
        <v>0</v>
      </c>
      <c r="K75" s="18">
        <f>_xlfn.XLOOKUP(Shift_Track[[#This Row],[* Code *]],Shift_Codes[Code],Shift_Codes[2 OT Hrs],"",0)</f>
        <v>0</v>
      </c>
      <c r="L75" s="19">
        <f>_xlfn.XLOOKUP(Shift_Track[[#This Row],[* Code *]],Shift_Codes[Code],Shift_Codes[Start],"",0)</f>
        <v>700</v>
      </c>
      <c r="M75" s="19">
        <f>_xlfn.XLOOKUP(Shift_Track[[#This Row],[* Code *]],Shift_Codes[Code],Shift_Codes[End],"",0)</f>
        <v>1900</v>
      </c>
      <c r="N75" s="19"/>
    </row>
    <row r="76" spans="2:14" ht="24.95" customHeight="1" x14ac:dyDescent="0.3">
      <c r="B76" s="56">
        <v>45042</v>
      </c>
      <c r="C76" s="20">
        <f ca="1">_xlfn.XLOOKUP(Shift_Track[[#This Row],[Date]],Shift_Status_Ref[Shift Date],Shift_Status_Ref[Status],"",-1)</f>
        <v>1</v>
      </c>
      <c r="D76" s="64" t="s">
        <v>59</v>
      </c>
      <c r="E76" s="40">
        <f>_xlfn.XLOOKUP(Shift_Track[[#This Row],[Pay Period]],Hours_Sum[Pay Due],Hours_Sum[Total Hrs],"",0)</f>
        <v>56.25</v>
      </c>
      <c r="F76" s="40" t="s">
        <v>93</v>
      </c>
      <c r="G76" s="57">
        <f>SUM(Shift_Track[[#This Row],[Reg
Hrs]],Shift_Track[[#This Row],[1.5x OT
Hrs]],Shift_Track[[#This Row],[2x OT
Hrs]])</f>
        <v>11.25</v>
      </c>
      <c r="H76" s="55">
        <f>_xlfn.XLOOKUP(Shift_Track[[#This Row],[Date]],Dates_Ref[Start],Dates_Ref[QCH due],"",-1)</f>
        <v>45051</v>
      </c>
      <c r="I76" s="18">
        <f>_xlfn.XLOOKUP(Shift_Track[[#This Row],[* Code *]],Shift_Codes[Code],Shift_Codes[Reg Hrs],"",0)</f>
        <v>11.25</v>
      </c>
      <c r="J76" s="18">
        <f>_xlfn.XLOOKUP(Shift_Track[[#This Row],[* Code *]],Shift_Codes[Code],Shift_Codes[1.5 OT Hrs],"",0)</f>
        <v>0</v>
      </c>
      <c r="K76" s="18">
        <f>_xlfn.XLOOKUP(Shift_Track[[#This Row],[* Code *]],Shift_Codes[Code],Shift_Codes[2 OT Hrs],"",0)</f>
        <v>0</v>
      </c>
      <c r="L76" s="19">
        <f>_xlfn.XLOOKUP(Shift_Track[[#This Row],[* Code *]],Shift_Codes[Code],Shift_Codes[Start],"",0)</f>
        <v>700</v>
      </c>
      <c r="M76" s="19">
        <f>_xlfn.XLOOKUP(Shift_Track[[#This Row],[* Code *]],Shift_Codes[Code],Shift_Codes[End],"",0)</f>
        <v>1900</v>
      </c>
      <c r="N76" s="19"/>
    </row>
    <row r="77" spans="2:14" ht="24.95" customHeight="1" x14ac:dyDescent="0.3">
      <c r="B77" s="56">
        <v>45043</v>
      </c>
      <c r="C77" s="20">
        <f ca="1">_xlfn.XLOOKUP(Shift_Track[[#This Row],[Date]],Shift_Status_Ref[Shift Date],Shift_Status_Ref[Status],"",-1)</f>
        <v>1</v>
      </c>
      <c r="D77" s="64" t="s">
        <v>59</v>
      </c>
      <c r="E77" s="40">
        <f>_xlfn.XLOOKUP(Shift_Track[[#This Row],[Pay Period]],Hours_Sum[Pay Due],Hours_Sum[Total Hrs],"",0)</f>
        <v>56.25</v>
      </c>
      <c r="F77" s="40" t="s">
        <v>93</v>
      </c>
      <c r="G77" s="57">
        <f>SUM(Shift_Track[[#This Row],[Reg
Hrs]],Shift_Track[[#This Row],[1.5x OT
Hrs]],Shift_Track[[#This Row],[2x OT
Hrs]])</f>
        <v>11.25</v>
      </c>
      <c r="H77" s="55">
        <f>_xlfn.XLOOKUP(Shift_Track[[#This Row],[Date]],Dates_Ref[Start],Dates_Ref[QCH due],"",-1)</f>
        <v>45051</v>
      </c>
      <c r="I77" s="18">
        <f>_xlfn.XLOOKUP(Shift_Track[[#This Row],[* Code *]],Shift_Codes[Code],Shift_Codes[Reg Hrs],"",0)</f>
        <v>11.25</v>
      </c>
      <c r="J77" s="18">
        <f>_xlfn.XLOOKUP(Shift_Track[[#This Row],[* Code *]],Shift_Codes[Code],Shift_Codes[1.5 OT Hrs],"",0)</f>
        <v>0</v>
      </c>
      <c r="K77" s="18">
        <f>_xlfn.XLOOKUP(Shift_Track[[#This Row],[* Code *]],Shift_Codes[Code],Shift_Codes[2 OT Hrs],"",0)</f>
        <v>0</v>
      </c>
      <c r="L77" s="19">
        <f>_xlfn.XLOOKUP(Shift_Track[[#This Row],[* Code *]],Shift_Codes[Code],Shift_Codes[Start],"",0)</f>
        <v>700</v>
      </c>
      <c r="M77" s="19">
        <f>_xlfn.XLOOKUP(Shift_Track[[#This Row],[* Code *]],Shift_Codes[Code],Shift_Codes[End],"",0)</f>
        <v>1900</v>
      </c>
      <c r="N77" s="19"/>
    </row>
    <row r="78" spans="2:14" ht="24.95" customHeight="1" x14ac:dyDescent="0.3">
      <c r="B78" s="56">
        <v>45045</v>
      </c>
      <c r="C78" s="20">
        <f ca="1">_xlfn.XLOOKUP(Shift_Track[[#This Row],[Date]],Shift_Status_Ref[Shift Date],Shift_Status_Ref[Status],"",-1)</f>
        <v>1</v>
      </c>
      <c r="D78" s="64" t="s">
        <v>59</v>
      </c>
      <c r="E78" s="40">
        <f>_xlfn.XLOOKUP(Shift_Track[[#This Row],[Pay Period]],Hours_Sum[Pay Due],Hours_Sum[Total Hrs],"",0)</f>
        <v>56.25</v>
      </c>
      <c r="F78" s="40" t="s">
        <v>94</v>
      </c>
      <c r="G78" s="57">
        <f>SUM(Shift_Track[[#This Row],[Reg
Hrs]],Shift_Track[[#This Row],[1.5x OT
Hrs]],Shift_Track[[#This Row],[2x OT
Hrs]])</f>
        <v>11.25</v>
      </c>
      <c r="H78" s="55">
        <f>_xlfn.XLOOKUP(Shift_Track[[#This Row],[Date]],Dates_Ref[Start],Dates_Ref[QCH due],"",-1)</f>
        <v>45051</v>
      </c>
      <c r="I78" s="18">
        <f>_xlfn.XLOOKUP(Shift_Track[[#This Row],[* Code *]],Shift_Codes[Code],Shift_Codes[Reg Hrs],"",0)</f>
        <v>11.25</v>
      </c>
      <c r="J78" s="18">
        <f>_xlfn.XLOOKUP(Shift_Track[[#This Row],[* Code *]],Shift_Codes[Code],Shift_Codes[1.5 OT Hrs],"",0)</f>
        <v>0</v>
      </c>
      <c r="K78" s="18">
        <f>_xlfn.XLOOKUP(Shift_Track[[#This Row],[* Code *]],Shift_Codes[Code],Shift_Codes[2 OT Hrs],"",0)</f>
        <v>0</v>
      </c>
      <c r="L78" s="19">
        <f>_xlfn.XLOOKUP(Shift_Track[[#This Row],[* Code *]],Shift_Codes[Code],Shift_Codes[Start],"",0)</f>
        <v>700</v>
      </c>
      <c r="M78" s="19">
        <f>_xlfn.XLOOKUP(Shift_Track[[#This Row],[* Code *]],Shift_Codes[Code],Shift_Codes[End],"",0)</f>
        <v>1900</v>
      </c>
      <c r="N78" s="19"/>
    </row>
    <row r="79" spans="2:14" ht="24.95" customHeight="1" x14ac:dyDescent="0.3">
      <c r="B79" s="56">
        <v>45046</v>
      </c>
      <c r="C79" s="20">
        <f ca="1">_xlfn.XLOOKUP(Shift_Track[[#This Row],[Date]],Shift_Status_Ref[Shift Date],Shift_Status_Ref[Status],"",-1)</f>
        <v>1</v>
      </c>
      <c r="D79" s="64" t="s">
        <v>59</v>
      </c>
      <c r="E79" s="40">
        <f>_xlfn.XLOOKUP(Shift_Track[[#This Row],[Pay Period]],Hours_Sum[Pay Due],Hours_Sum[Total Hrs],"",0)</f>
        <v>56.25</v>
      </c>
      <c r="F79" s="40" t="s">
        <v>94</v>
      </c>
      <c r="G79" s="57">
        <f>SUM(Shift_Track[[#This Row],[Reg
Hrs]],Shift_Track[[#This Row],[1.5x OT
Hrs]],Shift_Track[[#This Row],[2x OT
Hrs]])</f>
        <v>11.25</v>
      </c>
      <c r="H79" s="55">
        <f>_xlfn.XLOOKUP(Shift_Track[[#This Row],[Date]],Dates_Ref[Start],Dates_Ref[QCH due],"",-1)</f>
        <v>45051</v>
      </c>
      <c r="I79" s="18">
        <f>_xlfn.XLOOKUP(Shift_Track[[#This Row],[* Code *]],Shift_Codes[Code],Shift_Codes[Reg Hrs],"",0)</f>
        <v>11.25</v>
      </c>
      <c r="J79" s="18">
        <f>_xlfn.XLOOKUP(Shift_Track[[#This Row],[* Code *]],Shift_Codes[Code],Shift_Codes[1.5 OT Hrs],"",0)</f>
        <v>0</v>
      </c>
      <c r="K79" s="18">
        <f>_xlfn.XLOOKUP(Shift_Track[[#This Row],[* Code *]],Shift_Codes[Code],Shift_Codes[2 OT Hrs],"",0)</f>
        <v>0</v>
      </c>
      <c r="L79" s="19">
        <f>_xlfn.XLOOKUP(Shift_Track[[#This Row],[* Code *]],Shift_Codes[Code],Shift_Codes[Start],"",0)</f>
        <v>700</v>
      </c>
      <c r="M79" s="19">
        <f>_xlfn.XLOOKUP(Shift_Track[[#This Row],[* Code *]],Shift_Codes[Code],Shift_Codes[End],"",0)</f>
        <v>1900</v>
      </c>
      <c r="N79" s="19"/>
    </row>
    <row r="80" spans="2:14" ht="24.95" customHeight="1" x14ac:dyDescent="0.3">
      <c r="B80" s="56">
        <v>45047</v>
      </c>
      <c r="C80" s="20">
        <f ca="1">_xlfn.XLOOKUP(Shift_Track[[#This Row],[Date]],Shift_Status_Ref[Shift Date],Shift_Status_Ref[Status],"",-1)</f>
        <v>1</v>
      </c>
      <c r="D80" s="64" t="s">
        <v>59</v>
      </c>
      <c r="E80" s="40">
        <f>_xlfn.XLOOKUP(Shift_Track[[#This Row],[Pay Period]],Hours_Sum[Pay Due],Hours_Sum[Total Hrs],"",0)</f>
        <v>78.75</v>
      </c>
      <c r="F80" s="40" t="s">
        <v>94</v>
      </c>
      <c r="G80" s="57">
        <f>SUM(Shift_Track[[#This Row],[Reg
Hrs]],Shift_Track[[#This Row],[1.5x OT
Hrs]],Shift_Track[[#This Row],[2x OT
Hrs]])</f>
        <v>11.25</v>
      </c>
      <c r="H80" s="55">
        <f>_xlfn.XLOOKUP(Shift_Track[[#This Row],[Date]],Dates_Ref[Start],Dates_Ref[QCH due],"",-1)</f>
        <v>45065</v>
      </c>
      <c r="I80" s="18">
        <v>7.5</v>
      </c>
      <c r="J80" s="18">
        <v>3.75</v>
      </c>
      <c r="K80" s="18">
        <f>_xlfn.XLOOKUP(Shift_Track[[#This Row],[* Code *]],Shift_Codes[Code],Shift_Codes[2 OT Hrs],"",0)</f>
        <v>0</v>
      </c>
      <c r="L80" s="19">
        <f>_xlfn.XLOOKUP(Shift_Track[[#This Row],[* Code *]],Shift_Codes[Code],Shift_Codes[Start],"",0)</f>
        <v>700</v>
      </c>
      <c r="M80" s="19">
        <f>_xlfn.XLOOKUP(Shift_Track[[#This Row],[* Code *]],Shift_Codes[Code],Shift_Codes[End],"",0)</f>
        <v>1900</v>
      </c>
      <c r="N80" s="19"/>
    </row>
    <row r="81" spans="2:14" ht="24.95" customHeight="1" x14ac:dyDescent="0.3">
      <c r="B81" s="56">
        <v>45049</v>
      </c>
      <c r="C81" s="20">
        <f ca="1">_xlfn.XLOOKUP(Shift_Track[[#This Row],[Date]],Shift_Status_Ref[Shift Date],Shift_Status_Ref[Status],"",-1)</f>
        <v>1</v>
      </c>
      <c r="D81" s="64" t="s">
        <v>59</v>
      </c>
      <c r="E81" s="40">
        <f>_xlfn.XLOOKUP(Shift_Track[[#This Row],[Pay Period]],Hours_Sum[Pay Due],Hours_Sum[Total Hrs],"",0)</f>
        <v>78.75</v>
      </c>
      <c r="F81" s="40" t="s">
        <v>93</v>
      </c>
      <c r="G81" s="57">
        <f>SUM(Shift_Track[[#This Row],[Reg
Hrs]],Shift_Track[[#This Row],[1.5x OT
Hrs]],Shift_Track[[#This Row],[2x OT
Hrs]])</f>
        <v>11.25</v>
      </c>
      <c r="H81" s="55">
        <f>_xlfn.XLOOKUP(Shift_Track[[#This Row],[Date]],Dates_Ref[Start],Dates_Ref[QCH due],"",-1)</f>
        <v>45065</v>
      </c>
      <c r="I81" s="18">
        <f>_xlfn.XLOOKUP(Shift_Track[[#This Row],[* Code *]],Shift_Codes[Code],Shift_Codes[Reg Hrs],"",0)</f>
        <v>11.25</v>
      </c>
      <c r="J81" s="18">
        <f>_xlfn.XLOOKUP(Shift_Track[[#This Row],[* Code *]],Shift_Codes[Code],Shift_Codes[1.5 OT Hrs],"",0)</f>
        <v>0</v>
      </c>
      <c r="K81" s="18">
        <f>_xlfn.XLOOKUP(Shift_Track[[#This Row],[* Code *]],Shift_Codes[Code],Shift_Codes[2 OT Hrs],"",0)</f>
        <v>0</v>
      </c>
      <c r="L81" s="19">
        <f>_xlfn.XLOOKUP(Shift_Track[[#This Row],[* Code *]],Shift_Codes[Code],Shift_Codes[Start],"",0)</f>
        <v>700</v>
      </c>
      <c r="M81" s="19">
        <f>_xlfn.XLOOKUP(Shift_Track[[#This Row],[* Code *]],Shift_Codes[Code],Shift_Codes[End],"",0)</f>
        <v>1900</v>
      </c>
      <c r="N81" s="19"/>
    </row>
    <row r="82" spans="2:14" ht="24.95" customHeight="1" x14ac:dyDescent="0.3">
      <c r="B82" s="56">
        <v>45050</v>
      </c>
      <c r="C82" s="20">
        <f ca="1">_xlfn.XLOOKUP(Shift_Track[[#This Row],[Date]],Shift_Status_Ref[Shift Date],Shift_Status_Ref[Status],"",-1)</f>
        <v>1</v>
      </c>
      <c r="D82" s="64" t="s">
        <v>59</v>
      </c>
      <c r="E82" s="40">
        <f>_xlfn.XLOOKUP(Shift_Track[[#This Row],[Pay Period]],Hours_Sum[Pay Due],Hours_Sum[Total Hrs],"",0)</f>
        <v>78.75</v>
      </c>
      <c r="F82" s="40" t="s">
        <v>93</v>
      </c>
      <c r="G82" s="57">
        <f>SUM(Shift_Track[[#This Row],[Reg
Hrs]],Shift_Track[[#This Row],[1.5x OT
Hrs]],Shift_Track[[#This Row],[2x OT
Hrs]])</f>
        <v>11.25</v>
      </c>
      <c r="H82" s="55">
        <f>_xlfn.XLOOKUP(Shift_Track[[#This Row],[Date]],Dates_Ref[Start],Dates_Ref[QCH due],"",-1)</f>
        <v>45065</v>
      </c>
      <c r="I82" s="18">
        <f>_xlfn.XLOOKUP(Shift_Track[[#This Row],[* Code *]],Shift_Codes[Code],Shift_Codes[Reg Hrs],"",0)</f>
        <v>11.25</v>
      </c>
      <c r="J82" s="18">
        <f>_xlfn.XLOOKUP(Shift_Track[[#This Row],[* Code *]],Shift_Codes[Code],Shift_Codes[1.5 OT Hrs],"",0)</f>
        <v>0</v>
      </c>
      <c r="K82" s="18">
        <f>_xlfn.XLOOKUP(Shift_Track[[#This Row],[* Code *]],Shift_Codes[Code],Shift_Codes[2 OT Hrs],"",0)</f>
        <v>0</v>
      </c>
      <c r="L82" s="19">
        <f>_xlfn.XLOOKUP(Shift_Track[[#This Row],[* Code *]],Shift_Codes[Code],Shift_Codes[Start],"",0)</f>
        <v>700</v>
      </c>
      <c r="M82" s="19">
        <f>_xlfn.XLOOKUP(Shift_Track[[#This Row],[* Code *]],Shift_Codes[Code],Shift_Codes[End],"",0)</f>
        <v>1900</v>
      </c>
      <c r="N82" s="19"/>
    </row>
    <row r="83" spans="2:14" ht="24.95" customHeight="1" x14ac:dyDescent="0.3">
      <c r="B83" s="56">
        <v>45054</v>
      </c>
      <c r="C83" s="20">
        <f ca="1">_xlfn.XLOOKUP(Shift_Track[[#This Row],[Date]],Shift_Status_Ref[Shift Date],Shift_Status_Ref[Status],"",-1)</f>
        <v>1</v>
      </c>
      <c r="D83" s="64" t="s">
        <v>59</v>
      </c>
      <c r="E83" s="40">
        <f>_xlfn.XLOOKUP(Shift_Track[[#This Row],[Pay Period]],Hours_Sum[Pay Due],Hours_Sum[Total Hrs],"",0)</f>
        <v>78.75</v>
      </c>
      <c r="F83" s="40" t="s">
        <v>93</v>
      </c>
      <c r="G83" s="57">
        <f>SUM(Shift_Track[[#This Row],[Reg
Hrs]],Shift_Track[[#This Row],[1.5x OT
Hrs]],Shift_Track[[#This Row],[2x OT
Hrs]])</f>
        <v>11.25</v>
      </c>
      <c r="H83" s="55">
        <f>_xlfn.XLOOKUP(Shift_Track[[#This Row],[Date]],Dates_Ref[Start],Dates_Ref[QCH due],"",-1)</f>
        <v>45065</v>
      </c>
      <c r="I83" s="18">
        <f>_xlfn.XLOOKUP(Shift_Track[[#This Row],[* Code *]],Shift_Codes[Code],Shift_Codes[Reg Hrs],"",0)</f>
        <v>11.25</v>
      </c>
      <c r="J83" s="18">
        <f>_xlfn.XLOOKUP(Shift_Track[[#This Row],[* Code *]],Shift_Codes[Code],Shift_Codes[1.5 OT Hrs],"",0)</f>
        <v>0</v>
      </c>
      <c r="K83" s="18">
        <f>_xlfn.XLOOKUP(Shift_Track[[#This Row],[* Code *]],Shift_Codes[Code],Shift_Codes[2 OT Hrs],"",0)</f>
        <v>0</v>
      </c>
      <c r="L83" s="19">
        <f>_xlfn.XLOOKUP(Shift_Track[[#This Row],[* Code *]],Shift_Codes[Code],Shift_Codes[Start],"",0)</f>
        <v>700</v>
      </c>
      <c r="M83" s="19">
        <f>_xlfn.XLOOKUP(Shift_Track[[#This Row],[* Code *]],Shift_Codes[Code],Shift_Codes[End],"",0)</f>
        <v>1900</v>
      </c>
      <c r="N83" s="19"/>
    </row>
    <row r="84" spans="2:14" ht="24.95" customHeight="1" x14ac:dyDescent="0.3">
      <c r="B84" s="56">
        <v>45056</v>
      </c>
      <c r="C84" s="20">
        <f ca="1">_xlfn.XLOOKUP(Shift_Track[[#This Row],[Date]],Shift_Status_Ref[Shift Date],Shift_Status_Ref[Status],"",-1)</f>
        <v>1</v>
      </c>
      <c r="D84" s="64" t="s">
        <v>60</v>
      </c>
      <c r="E84" s="40">
        <f>_xlfn.XLOOKUP(Shift_Track[[#This Row],[Pay Period]],Hours_Sum[Pay Due],Hours_Sum[Total Hrs],"",0)</f>
        <v>78.75</v>
      </c>
      <c r="F84" s="40" t="s">
        <v>94</v>
      </c>
      <c r="G84" s="57">
        <f>SUM(Shift_Track[[#This Row],[Reg
Hrs]],Shift_Track[[#This Row],[1.5x OT
Hrs]],Shift_Track[[#This Row],[2x OT
Hrs]])</f>
        <v>11.25</v>
      </c>
      <c r="H84" s="55">
        <f>_xlfn.XLOOKUP(Shift_Track[[#This Row],[Date]],Dates_Ref[Start],Dates_Ref[QCH due],"",-1)</f>
        <v>45065</v>
      </c>
      <c r="I84" s="18">
        <f>_xlfn.XLOOKUP(Shift_Track[[#This Row],[* Code *]],Shift_Codes[Code],Shift_Codes[Reg Hrs],"",0)</f>
        <v>11.25</v>
      </c>
      <c r="J84" s="18">
        <f>_xlfn.XLOOKUP(Shift_Track[[#This Row],[* Code *]],Shift_Codes[Code],Shift_Codes[1.5 OT Hrs],"",0)</f>
        <v>0</v>
      </c>
      <c r="K84" s="18">
        <f>_xlfn.XLOOKUP(Shift_Track[[#This Row],[* Code *]],Shift_Codes[Code],Shift_Codes[2 OT Hrs],"",0)</f>
        <v>0</v>
      </c>
      <c r="L84" s="19">
        <f>_xlfn.XLOOKUP(Shift_Track[[#This Row],[* Code *]],Shift_Codes[Code],Shift_Codes[Start],"",0)</f>
        <v>1900</v>
      </c>
      <c r="M84" s="19">
        <f>_xlfn.XLOOKUP(Shift_Track[[#This Row],[* Code *]],Shift_Codes[Code],Shift_Codes[End],"",0)</f>
        <v>700</v>
      </c>
      <c r="N84" s="19"/>
    </row>
    <row r="85" spans="2:14" ht="24.95" customHeight="1" x14ac:dyDescent="0.3">
      <c r="B85" s="56">
        <v>45059</v>
      </c>
      <c r="C85" s="20">
        <f ca="1">_xlfn.XLOOKUP(Shift_Track[[#This Row],[Date]],Shift_Status_Ref[Shift Date],Shift_Status_Ref[Status],"",-1)</f>
        <v>1</v>
      </c>
      <c r="D85" s="64" t="s">
        <v>59</v>
      </c>
      <c r="E85" s="40">
        <f>_xlfn.XLOOKUP(Shift_Track[[#This Row],[Pay Period]],Hours_Sum[Pay Due],Hours_Sum[Total Hrs],"",0)</f>
        <v>78.75</v>
      </c>
      <c r="F85" s="40" t="s">
        <v>93</v>
      </c>
      <c r="G85" s="57">
        <f>SUM(Shift_Track[[#This Row],[Reg
Hrs]],Shift_Track[[#This Row],[1.5x OT
Hrs]],Shift_Track[[#This Row],[2x OT
Hrs]])</f>
        <v>11.25</v>
      </c>
      <c r="H85" s="55">
        <f>_xlfn.XLOOKUP(Shift_Track[[#This Row],[Date]],Dates_Ref[Start],Dates_Ref[QCH due],"",-1)</f>
        <v>45065</v>
      </c>
      <c r="I85" s="18">
        <f>_xlfn.XLOOKUP(Shift_Track[[#This Row],[* Code *]],Shift_Codes[Code],Shift_Codes[Reg Hrs],"",0)</f>
        <v>11.25</v>
      </c>
      <c r="J85" s="18">
        <f>_xlfn.XLOOKUP(Shift_Track[[#This Row],[* Code *]],Shift_Codes[Code],Shift_Codes[1.5 OT Hrs],"",0)</f>
        <v>0</v>
      </c>
      <c r="K85" s="18">
        <f>_xlfn.XLOOKUP(Shift_Track[[#This Row],[* Code *]],Shift_Codes[Code],Shift_Codes[2 OT Hrs],"",0)</f>
        <v>0</v>
      </c>
      <c r="L85" s="19">
        <f>_xlfn.XLOOKUP(Shift_Track[[#This Row],[* Code *]],Shift_Codes[Code],Shift_Codes[Start],"",0)</f>
        <v>700</v>
      </c>
      <c r="M85" s="19">
        <f>_xlfn.XLOOKUP(Shift_Track[[#This Row],[* Code *]],Shift_Codes[Code],Shift_Codes[End],"",0)</f>
        <v>1900</v>
      </c>
      <c r="N85" s="19"/>
    </row>
    <row r="86" spans="2:14" ht="24.95" customHeight="1" x14ac:dyDescent="0.3">
      <c r="B86" s="56">
        <v>45060</v>
      </c>
      <c r="C86" s="20">
        <f ca="1">_xlfn.XLOOKUP(Shift_Track[[#This Row],[Date]],Shift_Status_Ref[Shift Date],Shift_Status_Ref[Status],"",-1)</f>
        <v>1</v>
      </c>
      <c r="D86" s="64" t="s">
        <v>60</v>
      </c>
      <c r="E86" s="40">
        <f>_xlfn.XLOOKUP(Shift_Track[[#This Row],[Pay Period]],Hours_Sum[Pay Due],Hours_Sum[Total Hrs],"",0)</f>
        <v>78.75</v>
      </c>
      <c r="F86" s="40" t="s">
        <v>94</v>
      </c>
      <c r="G86" s="57">
        <f>SUM(Shift_Track[[#This Row],[Reg
Hrs]],Shift_Track[[#This Row],[1.5x OT
Hrs]],Shift_Track[[#This Row],[2x OT
Hrs]])</f>
        <v>11.25</v>
      </c>
      <c r="H86" s="55">
        <f>_xlfn.XLOOKUP(Shift_Track[[#This Row],[Date]],Dates_Ref[Start],Dates_Ref[QCH due],"",-1)</f>
        <v>45065</v>
      </c>
      <c r="I86" s="18">
        <f>_xlfn.XLOOKUP(Shift_Track[[#This Row],[* Code *]],Shift_Codes[Code],Shift_Codes[Reg Hrs],"",0)</f>
        <v>11.25</v>
      </c>
      <c r="J86" s="18">
        <f>_xlfn.XLOOKUP(Shift_Track[[#This Row],[* Code *]],Shift_Codes[Code],Shift_Codes[1.5 OT Hrs],"",0)</f>
        <v>0</v>
      </c>
      <c r="K86" s="18">
        <f>_xlfn.XLOOKUP(Shift_Track[[#This Row],[* Code *]],Shift_Codes[Code],Shift_Codes[2 OT Hrs],"",0)</f>
        <v>0</v>
      </c>
      <c r="L86" s="19">
        <f>_xlfn.XLOOKUP(Shift_Track[[#This Row],[* Code *]],Shift_Codes[Code],Shift_Codes[Start],"",0)</f>
        <v>1900</v>
      </c>
      <c r="M86" s="19">
        <f>_xlfn.XLOOKUP(Shift_Track[[#This Row],[* Code *]],Shift_Codes[Code],Shift_Codes[End],"",0)</f>
        <v>700</v>
      </c>
      <c r="N86" s="19"/>
    </row>
    <row r="87" spans="2:14" ht="24.95" customHeight="1" x14ac:dyDescent="0.3">
      <c r="B87" s="56">
        <v>45068</v>
      </c>
      <c r="C87" s="20">
        <f ca="1">_xlfn.XLOOKUP(Shift_Track[[#This Row],[Date]],Shift_Status_Ref[Shift Date],Shift_Status_Ref[Status],"",-1)</f>
        <v>1</v>
      </c>
      <c r="D87" s="64" t="s">
        <v>59</v>
      </c>
      <c r="E87" s="40">
        <f>_xlfn.XLOOKUP(Shift_Track[[#This Row],[Pay Period]],Hours_Sum[Pay Due],Hours_Sum[Total Hrs],"",0)</f>
        <v>56.25</v>
      </c>
      <c r="F87" s="40" t="s">
        <v>93</v>
      </c>
      <c r="G87" s="57">
        <f>SUM(Shift_Track[[#This Row],[Reg
Hrs]],Shift_Track[[#This Row],[1.5x OT
Hrs]],Shift_Track[[#This Row],[2x OT
Hrs]])</f>
        <v>11.25</v>
      </c>
      <c r="H87" s="55">
        <f>_xlfn.XLOOKUP(Shift_Track[[#This Row],[Date]],Dates_Ref[Start],Dates_Ref[QCH due],"",-1)</f>
        <v>45079</v>
      </c>
      <c r="I87" s="18"/>
      <c r="J87" s="18">
        <v>11.25</v>
      </c>
      <c r="K87" s="18">
        <f>_xlfn.XLOOKUP(Shift_Track[[#This Row],[* Code *]],Shift_Codes[Code],Shift_Codes[2 OT Hrs],"",0)</f>
        <v>0</v>
      </c>
      <c r="L87" s="19">
        <f>_xlfn.XLOOKUP(Shift_Track[[#This Row],[* Code *]],Shift_Codes[Code],Shift_Codes[Start],"",0)</f>
        <v>700</v>
      </c>
      <c r="M87" s="19">
        <f>_xlfn.XLOOKUP(Shift_Track[[#This Row],[* Code *]],Shift_Codes[Code],Shift_Codes[End],"",0)</f>
        <v>1900</v>
      </c>
      <c r="N87" s="19"/>
    </row>
    <row r="88" spans="2:14" ht="24.95" customHeight="1" x14ac:dyDescent="0.3">
      <c r="B88" s="56">
        <v>45069</v>
      </c>
      <c r="C88" s="20">
        <f ca="1">_xlfn.XLOOKUP(Shift_Track[[#This Row],[Date]],Shift_Status_Ref[Shift Date],Shift_Status_Ref[Status],"",-1)</f>
        <v>1</v>
      </c>
      <c r="D88" s="64" t="s">
        <v>59</v>
      </c>
      <c r="E88" s="40">
        <f>_xlfn.XLOOKUP(Shift_Track[[#This Row],[Pay Period]],Hours_Sum[Pay Due],Hours_Sum[Total Hrs],"",0)</f>
        <v>56.25</v>
      </c>
      <c r="F88" s="40" t="s">
        <v>93</v>
      </c>
      <c r="G88" s="57">
        <f>SUM(Shift_Track[[#This Row],[Reg
Hrs]],Shift_Track[[#This Row],[1.5x OT
Hrs]],Shift_Track[[#This Row],[2x OT
Hrs]])</f>
        <v>11.25</v>
      </c>
      <c r="H88" s="55">
        <f>_xlfn.XLOOKUP(Shift_Track[[#This Row],[Date]],Dates_Ref[Start],Dates_Ref[QCH due],"",-1)</f>
        <v>45079</v>
      </c>
      <c r="I88" s="18">
        <f>_xlfn.XLOOKUP(Shift_Track[[#This Row],[* Code *]],Shift_Codes[Code],Shift_Codes[Reg Hrs],"",0)</f>
        <v>11.25</v>
      </c>
      <c r="J88" s="18">
        <f>_xlfn.XLOOKUP(Shift_Track[[#This Row],[* Code *]],Shift_Codes[Code],Shift_Codes[1.5 OT Hrs],"",0)</f>
        <v>0</v>
      </c>
      <c r="K88" s="18">
        <f>_xlfn.XLOOKUP(Shift_Track[[#This Row],[* Code *]],Shift_Codes[Code],Shift_Codes[2 OT Hrs],"",0)</f>
        <v>0</v>
      </c>
      <c r="L88" s="19">
        <f>_xlfn.XLOOKUP(Shift_Track[[#This Row],[* Code *]],Shift_Codes[Code],Shift_Codes[Start],"",0)</f>
        <v>700</v>
      </c>
      <c r="M88" s="19">
        <f>_xlfn.XLOOKUP(Shift_Track[[#This Row],[* Code *]],Shift_Codes[Code],Shift_Codes[End],"",0)</f>
        <v>1900</v>
      </c>
      <c r="N88" s="19"/>
    </row>
    <row r="89" spans="2:14" ht="24.95" customHeight="1" x14ac:dyDescent="0.3">
      <c r="B89" s="56">
        <v>45070</v>
      </c>
      <c r="C89" s="20">
        <v>5</v>
      </c>
      <c r="D89" s="64" t="s">
        <v>59</v>
      </c>
      <c r="E89" s="40">
        <f>_xlfn.XLOOKUP(Shift_Track[[#This Row],[Pay Period]],Hours_Sum[Pay Due],Hours_Sum[Total Hrs],"",0)</f>
        <v>56.25</v>
      </c>
      <c r="F89" s="40" t="s">
        <v>93</v>
      </c>
      <c r="G89" s="57">
        <f>SUM(Shift_Track[[#This Row],[Reg
Hrs]],Shift_Track[[#This Row],[1.5x OT
Hrs]],Shift_Track[[#This Row],[2x OT
Hrs]])</f>
        <v>11.25</v>
      </c>
      <c r="H89" s="55">
        <f>_xlfn.XLOOKUP(Shift_Track[[#This Row],[Date]],Dates_Ref[Start],Dates_Ref[QCH due],"",-1)</f>
        <v>45079</v>
      </c>
      <c r="I89" s="18">
        <f>_xlfn.XLOOKUP(Shift_Track[[#This Row],[* Code *]],Shift_Codes[Code],Shift_Codes[Reg Hrs],"",0)</f>
        <v>11.25</v>
      </c>
      <c r="J89" s="18">
        <f>_xlfn.XLOOKUP(Shift_Track[[#This Row],[* Code *]],Shift_Codes[Code],Shift_Codes[1.5 OT Hrs],"",0)</f>
        <v>0</v>
      </c>
      <c r="K89" s="18">
        <f>_xlfn.XLOOKUP(Shift_Track[[#This Row],[* Code *]],Shift_Codes[Code],Shift_Codes[2 OT Hrs],"",0)</f>
        <v>0</v>
      </c>
      <c r="L89" s="19">
        <f>_xlfn.XLOOKUP(Shift_Track[[#This Row],[* Code *]],Shift_Codes[Code],Shift_Codes[Start],"",0)</f>
        <v>700</v>
      </c>
      <c r="M89" s="19">
        <f>_xlfn.XLOOKUP(Shift_Track[[#This Row],[* Code *]],Shift_Codes[Code],Shift_Codes[End],"",0)</f>
        <v>1900</v>
      </c>
      <c r="N89" s="19"/>
    </row>
    <row r="90" spans="2:14" ht="24.95" customHeight="1" x14ac:dyDescent="0.3">
      <c r="B90" s="56">
        <v>45073</v>
      </c>
      <c r="C90" s="20">
        <f ca="1">_xlfn.XLOOKUP(Shift_Track[[#This Row],[Date]],Shift_Status_Ref[Shift Date],Shift_Status_Ref[Status],"",-1)</f>
        <v>1</v>
      </c>
      <c r="D90" s="64" t="s">
        <v>59</v>
      </c>
      <c r="E90" s="40">
        <f>_xlfn.XLOOKUP(Shift_Track[[#This Row],[Pay Period]],Hours_Sum[Pay Due],Hours_Sum[Total Hrs],"",0)</f>
        <v>56.25</v>
      </c>
      <c r="F90" s="40" t="s">
        <v>94</v>
      </c>
      <c r="G90" s="57">
        <f>SUM(Shift_Track[[#This Row],[Reg
Hrs]],Shift_Track[[#This Row],[1.5x OT
Hrs]],Shift_Track[[#This Row],[2x OT
Hrs]])</f>
        <v>11.25</v>
      </c>
      <c r="H90" s="55">
        <f>_xlfn.XLOOKUP(Shift_Track[[#This Row],[Date]],Dates_Ref[Start],Dates_Ref[QCH due],"",-1)</f>
        <v>45079</v>
      </c>
      <c r="I90" s="18">
        <f>_xlfn.XLOOKUP(Shift_Track[[#This Row],[* Code *]],Shift_Codes[Code],Shift_Codes[Reg Hrs],"",0)</f>
        <v>11.25</v>
      </c>
      <c r="J90" s="18">
        <f>_xlfn.XLOOKUP(Shift_Track[[#This Row],[* Code *]],Shift_Codes[Code],Shift_Codes[1.5 OT Hrs],"",0)</f>
        <v>0</v>
      </c>
      <c r="K90" s="18">
        <f>_xlfn.XLOOKUP(Shift_Track[[#This Row],[* Code *]],Shift_Codes[Code],Shift_Codes[2 OT Hrs],"",0)</f>
        <v>0</v>
      </c>
      <c r="L90" s="19">
        <f>_xlfn.XLOOKUP(Shift_Track[[#This Row],[* Code *]],Shift_Codes[Code],Shift_Codes[Start],"",0)</f>
        <v>700</v>
      </c>
      <c r="M90" s="19">
        <f>_xlfn.XLOOKUP(Shift_Track[[#This Row],[* Code *]],Shift_Codes[Code],Shift_Codes[End],"",0)</f>
        <v>1900</v>
      </c>
      <c r="N90" s="19"/>
    </row>
    <row r="91" spans="2:14" ht="24.95" customHeight="1" x14ac:dyDescent="0.3">
      <c r="B91" s="56">
        <v>45074</v>
      </c>
      <c r="C91" s="20">
        <f ca="1">_xlfn.XLOOKUP(Shift_Track[[#This Row],[Date]],Shift_Status_Ref[Shift Date],Shift_Status_Ref[Status],"",-1)</f>
        <v>1</v>
      </c>
      <c r="D91" s="64" t="s">
        <v>59</v>
      </c>
      <c r="E91" s="40">
        <f>_xlfn.XLOOKUP(Shift_Track[[#This Row],[Pay Period]],Hours_Sum[Pay Due],Hours_Sum[Total Hrs],"",0)</f>
        <v>56.25</v>
      </c>
      <c r="F91" s="40" t="s">
        <v>94</v>
      </c>
      <c r="G91" s="57">
        <f>SUM(Shift_Track[[#This Row],[Reg
Hrs]],Shift_Track[[#This Row],[1.5x OT
Hrs]],Shift_Track[[#This Row],[2x OT
Hrs]])</f>
        <v>11.25</v>
      </c>
      <c r="H91" s="55">
        <f>_xlfn.XLOOKUP(Shift_Track[[#This Row],[Date]],Dates_Ref[Start],Dates_Ref[QCH due],"",-1)</f>
        <v>45079</v>
      </c>
      <c r="I91" s="18">
        <f>_xlfn.XLOOKUP(Shift_Track[[#This Row],[* Code *]],Shift_Codes[Code],Shift_Codes[Reg Hrs],"",0)</f>
        <v>11.25</v>
      </c>
      <c r="J91" s="18">
        <f>_xlfn.XLOOKUP(Shift_Track[[#This Row],[* Code *]],Shift_Codes[Code],Shift_Codes[1.5 OT Hrs],"",0)</f>
        <v>0</v>
      </c>
      <c r="K91" s="18">
        <f>_xlfn.XLOOKUP(Shift_Track[[#This Row],[* Code *]],Shift_Codes[Code],Shift_Codes[2 OT Hrs],"",0)</f>
        <v>0</v>
      </c>
      <c r="L91" s="19">
        <f>_xlfn.XLOOKUP(Shift_Track[[#This Row],[* Code *]],Shift_Codes[Code],Shift_Codes[Start],"",0)</f>
        <v>700</v>
      </c>
      <c r="M91" s="19">
        <f>_xlfn.XLOOKUP(Shift_Track[[#This Row],[* Code *]],Shift_Codes[Code],Shift_Codes[End],"",0)</f>
        <v>1900</v>
      </c>
      <c r="N91" s="19"/>
    </row>
    <row r="92" spans="2:14" ht="24.95" customHeight="1" x14ac:dyDescent="0.3">
      <c r="B92" s="56">
        <v>45077</v>
      </c>
      <c r="C92" s="20">
        <f ca="1">_xlfn.XLOOKUP(Shift_Track[[#This Row],[Date]],Shift_Status_Ref[Shift Date],Shift_Status_Ref[Status],"",-1)</f>
        <v>1</v>
      </c>
      <c r="D92" s="64" t="s">
        <v>59</v>
      </c>
      <c r="E92" s="40">
        <f>_xlfn.XLOOKUP(Shift_Track[[#This Row],[Pay Period]],Hours_Sum[Pay Due],Hours_Sum[Total Hrs],"",0)</f>
        <v>67.5</v>
      </c>
      <c r="F92" s="40" t="s">
        <v>93</v>
      </c>
      <c r="G92" s="57">
        <f>SUM(Shift_Track[[#This Row],[Reg
Hrs]],Shift_Track[[#This Row],[1.5x OT
Hrs]],Shift_Track[[#This Row],[2x OT
Hrs]])</f>
        <v>11.25</v>
      </c>
      <c r="H92" s="55">
        <f>_xlfn.XLOOKUP(Shift_Track[[#This Row],[Date]],Dates_Ref[Start],Dates_Ref[QCH due],"",-1)</f>
        <v>45093</v>
      </c>
      <c r="I92" s="18">
        <f>_xlfn.XLOOKUP(Shift_Track[[#This Row],[* Code *]],Shift_Codes[Code],Shift_Codes[Reg Hrs],"",0)</f>
        <v>11.25</v>
      </c>
      <c r="J92" s="18">
        <f>_xlfn.XLOOKUP(Shift_Track[[#This Row],[* Code *]],Shift_Codes[Code],Shift_Codes[1.5 OT Hrs],"",0)</f>
        <v>0</v>
      </c>
      <c r="K92" s="18">
        <f>_xlfn.XLOOKUP(Shift_Track[[#This Row],[* Code *]],Shift_Codes[Code],Shift_Codes[2 OT Hrs],"",0)</f>
        <v>0</v>
      </c>
      <c r="L92" s="19">
        <f>_xlfn.XLOOKUP(Shift_Track[[#This Row],[* Code *]],Shift_Codes[Code],Shift_Codes[Start],"",0)</f>
        <v>700</v>
      </c>
      <c r="M92" s="19">
        <f>_xlfn.XLOOKUP(Shift_Track[[#This Row],[* Code *]],Shift_Codes[Code],Shift_Codes[End],"",0)</f>
        <v>1900</v>
      </c>
      <c r="N92" s="19"/>
    </row>
    <row r="93" spans="2:14" ht="24.95" customHeight="1" x14ac:dyDescent="0.3">
      <c r="B93" s="56">
        <v>45078</v>
      </c>
      <c r="C93" s="20">
        <v>5</v>
      </c>
      <c r="D93" s="64" t="s">
        <v>59</v>
      </c>
      <c r="E93" s="40">
        <f>_xlfn.XLOOKUP(Shift_Track[[#This Row],[Pay Period]],Hours_Sum[Pay Due],Hours_Sum[Total Hrs],"",0)</f>
        <v>67.5</v>
      </c>
      <c r="F93" s="40"/>
      <c r="G93" s="57">
        <f>SUM(Shift_Track[[#This Row],[Reg
Hrs]],Shift_Track[[#This Row],[1.5x OT
Hrs]],Shift_Track[[#This Row],[2x OT
Hrs]])</f>
        <v>11.25</v>
      </c>
      <c r="H93" s="55">
        <f>_xlfn.XLOOKUP(Shift_Track[[#This Row],[Date]],Dates_Ref[Start],Dates_Ref[QCH due],"",-1)</f>
        <v>45093</v>
      </c>
      <c r="I93" s="18">
        <f>_xlfn.XLOOKUP(Shift_Track[[#This Row],[* Code *]],Shift_Codes[Code],Shift_Codes[Reg Hrs],"",0)</f>
        <v>11.25</v>
      </c>
      <c r="J93" s="18">
        <f>_xlfn.XLOOKUP(Shift_Track[[#This Row],[* Code *]],Shift_Codes[Code],Shift_Codes[1.5 OT Hrs],"",0)</f>
        <v>0</v>
      </c>
      <c r="K93" s="18">
        <f>_xlfn.XLOOKUP(Shift_Track[[#This Row],[* Code *]],Shift_Codes[Code],Shift_Codes[2 OT Hrs],"",0)</f>
        <v>0</v>
      </c>
      <c r="L93" s="19">
        <f>_xlfn.XLOOKUP(Shift_Track[[#This Row],[* Code *]],Shift_Codes[Code],Shift_Codes[Start],"",0)</f>
        <v>700</v>
      </c>
      <c r="M93" s="19">
        <f>_xlfn.XLOOKUP(Shift_Track[[#This Row],[* Code *]],Shift_Codes[Code],Shift_Codes[End],"",0)</f>
        <v>1900</v>
      </c>
      <c r="N93" s="19"/>
    </row>
    <row r="94" spans="2:14" ht="24.95" customHeight="1" x14ac:dyDescent="0.3">
      <c r="B94" s="56">
        <v>45082</v>
      </c>
      <c r="C94" s="20">
        <f ca="1">_xlfn.XLOOKUP(Shift_Track[[#This Row],[Date]],Shift_Status_Ref[Shift Date],Shift_Status_Ref[Status],"",-1)</f>
        <v>1</v>
      </c>
      <c r="D94" s="64" t="s">
        <v>59</v>
      </c>
      <c r="E94" s="40">
        <f>_xlfn.XLOOKUP(Shift_Track[[#This Row],[Pay Period]],Hours_Sum[Pay Due],Hours_Sum[Total Hrs],"",0)</f>
        <v>67.5</v>
      </c>
      <c r="F94" s="40" t="s">
        <v>94</v>
      </c>
      <c r="G94" s="57">
        <f>SUM(Shift_Track[[#This Row],[Reg
Hrs]],Shift_Track[[#This Row],[1.5x OT
Hrs]],Shift_Track[[#This Row],[2x OT
Hrs]])</f>
        <v>11.25</v>
      </c>
      <c r="H94" s="55">
        <f>_xlfn.XLOOKUP(Shift_Track[[#This Row],[Date]],Dates_Ref[Start],Dates_Ref[QCH due],"",-1)</f>
        <v>45093</v>
      </c>
      <c r="I94" s="18">
        <f>_xlfn.XLOOKUP(Shift_Track[[#This Row],[* Code *]],Shift_Codes[Code],Shift_Codes[Reg Hrs],"",0)</f>
        <v>11.25</v>
      </c>
      <c r="J94" s="18">
        <f>_xlfn.XLOOKUP(Shift_Track[[#This Row],[* Code *]],Shift_Codes[Code],Shift_Codes[1.5 OT Hrs],"",0)</f>
        <v>0</v>
      </c>
      <c r="K94" s="18">
        <f>_xlfn.XLOOKUP(Shift_Track[[#This Row],[* Code *]],Shift_Codes[Code],Shift_Codes[2 OT Hrs],"",0)</f>
        <v>0</v>
      </c>
      <c r="L94" s="19">
        <f>_xlfn.XLOOKUP(Shift_Track[[#This Row],[* Code *]],Shift_Codes[Code],Shift_Codes[Start],"",0)</f>
        <v>700</v>
      </c>
      <c r="M94" s="19">
        <f>_xlfn.XLOOKUP(Shift_Track[[#This Row],[* Code *]],Shift_Codes[Code],Shift_Codes[End],"",0)</f>
        <v>1900</v>
      </c>
      <c r="N94" s="19"/>
    </row>
    <row r="95" spans="2:14" ht="24.95" customHeight="1" x14ac:dyDescent="0.3">
      <c r="B95" s="56">
        <v>45083</v>
      </c>
      <c r="C95" s="20">
        <v>5</v>
      </c>
      <c r="D95" s="64" t="s">
        <v>63</v>
      </c>
      <c r="E95" s="40">
        <f>_xlfn.XLOOKUP(Shift_Track[[#This Row],[Pay Period]],Hours_Sum[Pay Due],Hours_Sum[Total Hrs],"",0)</f>
        <v>67.5</v>
      </c>
      <c r="F95" s="40"/>
      <c r="G95" s="57">
        <f>SUM(Shift_Track[[#This Row],[Reg
Hrs]],Shift_Track[[#This Row],[1.5x OT
Hrs]],Shift_Track[[#This Row],[2x OT
Hrs]])</f>
        <v>0</v>
      </c>
      <c r="H95" s="55">
        <f>_xlfn.XLOOKUP(Shift_Track[[#This Row],[Date]],Dates_Ref[Start],Dates_Ref[QCH due],"",-1)</f>
        <v>45093</v>
      </c>
      <c r="I95" s="18">
        <f>_xlfn.XLOOKUP(Shift_Track[[#This Row],[* Code *]],Shift_Codes[Code],Shift_Codes[Reg Hrs],"",0)</f>
        <v>0</v>
      </c>
      <c r="J95" s="18">
        <f>_xlfn.XLOOKUP(Shift_Track[[#This Row],[* Code *]],Shift_Codes[Code],Shift_Codes[1.5 OT Hrs],"",0)</f>
        <v>0</v>
      </c>
      <c r="K95" s="18">
        <f>_xlfn.XLOOKUP(Shift_Track[[#This Row],[* Code *]],Shift_Codes[Code],Shift_Codes[2 OT Hrs],"",0)</f>
        <v>0</v>
      </c>
      <c r="L95" s="19">
        <f>_xlfn.XLOOKUP(Shift_Track[[#This Row],[* Code *]],Shift_Codes[Code],Shift_Codes[Start],"",0)</f>
        <v>0</v>
      </c>
      <c r="M95" s="19">
        <f>_xlfn.XLOOKUP(Shift_Track[[#This Row],[* Code *]],Shift_Codes[Code],Shift_Codes[End],"",0)</f>
        <v>0</v>
      </c>
      <c r="N95" s="19" t="s">
        <v>108</v>
      </c>
    </row>
    <row r="96" spans="2:14" ht="24.95" customHeight="1" x14ac:dyDescent="0.3">
      <c r="B96" s="56">
        <v>45086</v>
      </c>
      <c r="C96" s="20">
        <v>3</v>
      </c>
      <c r="D96" s="64" t="s">
        <v>59</v>
      </c>
      <c r="E96" s="40">
        <f>_xlfn.XLOOKUP(Shift_Track[[#This Row],[Pay Period]],Hours_Sum[Pay Due],Hours_Sum[Total Hrs],"",0)</f>
        <v>67.5</v>
      </c>
      <c r="F96" s="40" t="s">
        <v>93</v>
      </c>
      <c r="G96" s="57">
        <f>SUM(Shift_Track[[#This Row],[Reg
Hrs]],Shift_Track[[#This Row],[1.5x OT
Hrs]],Shift_Track[[#This Row],[2x OT
Hrs]])</f>
        <v>11.25</v>
      </c>
      <c r="H96" s="55">
        <f>_xlfn.XLOOKUP(Shift_Track[[#This Row],[Date]],Dates_Ref[Start],Dates_Ref[QCH due],"",-1)</f>
        <v>45093</v>
      </c>
      <c r="I96" s="18">
        <f>_xlfn.XLOOKUP(Shift_Track[[#This Row],[* Code *]],Shift_Codes[Code],Shift_Codes[Reg Hrs],"",0)</f>
        <v>11.25</v>
      </c>
      <c r="J96" s="18">
        <f>_xlfn.XLOOKUP(Shift_Track[[#This Row],[* Code *]],Shift_Codes[Code],Shift_Codes[1.5 OT Hrs],"",0)</f>
        <v>0</v>
      </c>
      <c r="K96" s="18">
        <f>_xlfn.XLOOKUP(Shift_Track[[#This Row],[* Code *]],Shift_Codes[Code],Shift_Codes[2 OT Hrs],"",0)</f>
        <v>0</v>
      </c>
      <c r="L96" s="19">
        <f>_xlfn.XLOOKUP(Shift_Track[[#This Row],[* Code *]],Shift_Codes[Code],Shift_Codes[Start],"",0)</f>
        <v>700</v>
      </c>
      <c r="M96" s="19">
        <f>_xlfn.XLOOKUP(Shift_Track[[#This Row],[* Code *]],Shift_Codes[Code],Shift_Codes[End],"",0)</f>
        <v>1900</v>
      </c>
      <c r="N96" s="19"/>
    </row>
    <row r="97" spans="2:14" ht="24.95" customHeight="1" x14ac:dyDescent="0.3">
      <c r="B97" s="56">
        <v>45087</v>
      </c>
      <c r="C97" s="20">
        <f ca="1">_xlfn.XLOOKUP(Shift_Track[[#This Row],[Date]],Shift_Status_Ref[Shift Date],Shift_Status_Ref[Status],"",-1)</f>
        <v>1</v>
      </c>
      <c r="D97" s="64" t="s">
        <v>60</v>
      </c>
      <c r="E97" s="40">
        <f>_xlfn.XLOOKUP(Shift_Track[[#This Row],[Pay Period]],Hours_Sum[Pay Due],Hours_Sum[Total Hrs],"",0)</f>
        <v>67.5</v>
      </c>
      <c r="F97" s="40" t="s">
        <v>94</v>
      </c>
      <c r="G97" s="57">
        <f>SUM(Shift_Track[[#This Row],[Reg
Hrs]],Shift_Track[[#This Row],[1.5x OT
Hrs]],Shift_Track[[#This Row],[2x OT
Hrs]])</f>
        <v>11.25</v>
      </c>
      <c r="H97" s="55">
        <f>_xlfn.XLOOKUP(Shift_Track[[#This Row],[Date]],Dates_Ref[Start],Dates_Ref[QCH due],"",-1)</f>
        <v>45093</v>
      </c>
      <c r="I97" s="18">
        <f>_xlfn.XLOOKUP(Shift_Track[[#This Row],[* Code *]],Shift_Codes[Code],Shift_Codes[Reg Hrs],"",0)</f>
        <v>11.25</v>
      </c>
      <c r="J97" s="18">
        <f>_xlfn.XLOOKUP(Shift_Track[[#This Row],[* Code *]],Shift_Codes[Code],Shift_Codes[1.5 OT Hrs],"",0)</f>
        <v>0</v>
      </c>
      <c r="K97" s="18">
        <f>_xlfn.XLOOKUP(Shift_Track[[#This Row],[* Code *]],Shift_Codes[Code],Shift_Codes[2 OT Hrs],"",0)</f>
        <v>0</v>
      </c>
      <c r="L97" s="19">
        <f>_xlfn.XLOOKUP(Shift_Track[[#This Row],[* Code *]],Shift_Codes[Code],Shift_Codes[Start],"",0)</f>
        <v>1900</v>
      </c>
      <c r="M97" s="19">
        <f>_xlfn.XLOOKUP(Shift_Track[[#This Row],[* Code *]],Shift_Codes[Code],Shift_Codes[End],"",0)</f>
        <v>700</v>
      </c>
      <c r="N97" s="19"/>
    </row>
    <row r="98" spans="2:14" ht="24.95" customHeight="1" x14ac:dyDescent="0.3">
      <c r="B98" s="56">
        <v>45088</v>
      </c>
      <c r="C98" s="20">
        <f ca="1">_xlfn.XLOOKUP(Shift_Track[[#This Row],[Date]],Shift_Status_Ref[Shift Date],Shift_Status_Ref[Status],"",-1)</f>
        <v>1</v>
      </c>
      <c r="D98" s="64" t="s">
        <v>60</v>
      </c>
      <c r="E98" s="40">
        <f>_xlfn.XLOOKUP(Shift_Track[[#This Row],[Pay Period]],Hours_Sum[Pay Due],Hours_Sum[Total Hrs],"",0)</f>
        <v>67.5</v>
      </c>
      <c r="F98" s="40" t="s">
        <v>94</v>
      </c>
      <c r="G98" s="57">
        <f>SUM(Shift_Track[[#This Row],[Reg
Hrs]],Shift_Track[[#This Row],[1.5x OT
Hrs]],Shift_Track[[#This Row],[2x OT
Hrs]])</f>
        <v>11.25</v>
      </c>
      <c r="H98" s="55">
        <f>_xlfn.XLOOKUP(Shift_Track[[#This Row],[Date]],Dates_Ref[Start],Dates_Ref[QCH due],"",-1)</f>
        <v>45093</v>
      </c>
      <c r="I98" s="18">
        <f>_xlfn.XLOOKUP(Shift_Track[[#This Row],[* Code *]],Shift_Codes[Code],Shift_Codes[Reg Hrs],"",0)</f>
        <v>11.25</v>
      </c>
      <c r="J98" s="18">
        <f>_xlfn.XLOOKUP(Shift_Track[[#This Row],[* Code *]],Shift_Codes[Code],Shift_Codes[1.5 OT Hrs],"",0)</f>
        <v>0</v>
      </c>
      <c r="K98" s="18">
        <f>_xlfn.XLOOKUP(Shift_Track[[#This Row],[* Code *]],Shift_Codes[Code],Shift_Codes[2 OT Hrs],"",0)</f>
        <v>0</v>
      </c>
      <c r="L98" s="19">
        <f>_xlfn.XLOOKUP(Shift_Track[[#This Row],[* Code *]],Shift_Codes[Code],Shift_Codes[Start],"",0)</f>
        <v>1900</v>
      </c>
      <c r="M98" s="19">
        <f>_xlfn.XLOOKUP(Shift_Track[[#This Row],[* Code *]],Shift_Codes[Code],Shift_Codes[End],"",0)</f>
        <v>700</v>
      </c>
      <c r="N98" s="19"/>
    </row>
    <row r="99" spans="2:14" ht="24.95" customHeight="1" x14ac:dyDescent="0.3">
      <c r="B99" s="61">
        <v>45093</v>
      </c>
      <c r="C99" s="20">
        <f ca="1">_xlfn.XLOOKUP(Shift_Track[[#This Row],[Date]],Shift_Status_Ref[Shift Date],Shift_Status_Ref[Status],"",-1)</f>
        <v>1</v>
      </c>
      <c r="D99" s="65" t="s">
        <v>60</v>
      </c>
      <c r="E99" s="67">
        <f>_xlfn.XLOOKUP(Shift_Track[[#This Row],[Pay Period]],Hours_Sum[Pay Due],Hours_Sum[Total Hrs],"",0)</f>
        <v>22.5</v>
      </c>
      <c r="F99" s="40" t="s">
        <v>94</v>
      </c>
      <c r="G99" s="66">
        <f>SUM(Shift_Track[[#This Row],[Reg
Hrs]],Shift_Track[[#This Row],[1.5x OT
Hrs]],Shift_Track[[#This Row],[2x OT
Hrs]])</f>
        <v>11.25</v>
      </c>
      <c r="H99" s="68">
        <f>_xlfn.XLOOKUP(Shift_Track[[#This Row],[Date]],Dates_Ref[Start],Dates_Ref[QCH due],"",-1)</f>
        <v>45107</v>
      </c>
      <c r="I99" s="62">
        <f>_xlfn.XLOOKUP(Shift_Track[[#This Row],[* Code *]],Shift_Codes[Code],Shift_Codes[Reg Hrs],"",0)</f>
        <v>11.25</v>
      </c>
      <c r="J99" s="62">
        <f>_xlfn.XLOOKUP(Shift_Track[[#This Row],[* Code *]],Shift_Codes[Code],Shift_Codes[1.5 OT Hrs],"",0)</f>
        <v>0</v>
      </c>
      <c r="K99" s="62">
        <f>_xlfn.XLOOKUP(Shift_Track[[#This Row],[* Code *]],Shift_Codes[Code],Shift_Codes[2 OT Hrs],"",0)</f>
        <v>0</v>
      </c>
      <c r="L99" s="63">
        <f>_xlfn.XLOOKUP(Shift_Track[[#This Row],[* Code *]],Shift_Codes[Code],Shift_Codes[Start],"",0)</f>
        <v>1900</v>
      </c>
      <c r="M99" s="63">
        <f>_xlfn.XLOOKUP(Shift_Track[[#This Row],[* Code *]],Shift_Codes[Code],Shift_Codes[End],"",0)</f>
        <v>700</v>
      </c>
      <c r="N99" s="63"/>
    </row>
    <row r="100" spans="2:14" ht="24.95" customHeight="1" x14ac:dyDescent="0.3">
      <c r="B100" s="61">
        <v>45098</v>
      </c>
      <c r="C100" s="20">
        <f ca="1">_xlfn.XLOOKUP(Shift_Track[[#This Row],[Date]],Shift_Status_Ref[Shift Date],Shift_Status_Ref[Status],"",-1)</f>
        <v>1</v>
      </c>
      <c r="D100" s="65" t="s">
        <v>60</v>
      </c>
      <c r="E100" s="67">
        <f>_xlfn.XLOOKUP(Shift_Track[[#This Row],[Pay Period]],Hours_Sum[Pay Due],Hours_Sum[Total Hrs],"",0)</f>
        <v>22.5</v>
      </c>
      <c r="F100" s="40" t="s">
        <v>94</v>
      </c>
      <c r="G100" s="66">
        <f>SUM(Shift_Track[[#This Row],[Reg
Hrs]],Shift_Track[[#This Row],[1.5x OT
Hrs]],Shift_Track[[#This Row],[2x OT
Hrs]])</f>
        <v>11.25</v>
      </c>
      <c r="H100" s="68">
        <f>_xlfn.XLOOKUP(Shift_Track[[#This Row],[Date]],Dates_Ref[Start],Dates_Ref[QCH due],"",-1)</f>
        <v>45107</v>
      </c>
      <c r="I100" s="62">
        <f>_xlfn.XLOOKUP(Shift_Track[[#This Row],[* Code *]],Shift_Codes[Code],Shift_Codes[Reg Hrs],"",0)</f>
        <v>11.25</v>
      </c>
      <c r="J100" s="62">
        <f>_xlfn.XLOOKUP(Shift_Track[[#This Row],[* Code *]],Shift_Codes[Code],Shift_Codes[1.5 OT Hrs],"",0)</f>
        <v>0</v>
      </c>
      <c r="K100" s="62">
        <f>_xlfn.XLOOKUP(Shift_Track[[#This Row],[* Code *]],Shift_Codes[Code],Shift_Codes[2 OT Hrs],"",0)</f>
        <v>0</v>
      </c>
      <c r="L100" s="63">
        <f>_xlfn.XLOOKUP(Shift_Track[[#This Row],[* Code *]],Shift_Codes[Code],Shift_Codes[Start],"",0)</f>
        <v>1900</v>
      </c>
      <c r="M100" s="63">
        <f>_xlfn.XLOOKUP(Shift_Track[[#This Row],[* Code *]],Shift_Codes[Code],Shift_Codes[End],"",0)</f>
        <v>700</v>
      </c>
      <c r="N100" s="63"/>
    </row>
    <row r="101" spans="2:14" ht="24.95" customHeight="1" x14ac:dyDescent="0.3">
      <c r="C101" s="12"/>
      <c r="D101" s="12"/>
      <c r="F101" s="15"/>
      <c r="G101" s="16"/>
      <c r="I101" s="12"/>
      <c r="J101" s="12"/>
      <c r="K101" s="12"/>
    </row>
    <row r="102" spans="2:14" ht="24.95" customHeight="1" x14ac:dyDescent="0.3">
      <c r="C102" s="12"/>
      <c r="D102" s="12"/>
      <c r="F102" s="15"/>
      <c r="G102" s="16"/>
      <c r="I102" s="12"/>
      <c r="J102" s="12"/>
      <c r="K102" s="12"/>
    </row>
    <row r="103" spans="2:14" ht="24.95" customHeight="1" x14ac:dyDescent="0.3">
      <c r="C103" s="12"/>
      <c r="D103" s="12"/>
      <c r="F103" s="15"/>
      <c r="G103" s="16"/>
      <c r="I103" s="12"/>
      <c r="J103" s="12"/>
      <c r="K103" s="12"/>
    </row>
    <row r="104" spans="2:14" ht="24.95" customHeight="1" x14ac:dyDescent="0.3">
      <c r="C104" s="12"/>
      <c r="D104" s="12"/>
      <c r="F104" s="15"/>
      <c r="G104" s="16"/>
      <c r="I104" s="12"/>
      <c r="J104" s="12"/>
      <c r="K104" s="12"/>
    </row>
    <row r="105" spans="2:14" ht="24.95" customHeight="1" x14ac:dyDescent="0.3">
      <c r="C105" s="12"/>
      <c r="D105" s="12"/>
      <c r="F105" s="15"/>
      <c r="G105" s="16"/>
      <c r="I105" s="12"/>
      <c r="J105" s="12"/>
      <c r="K105" s="12"/>
    </row>
    <row r="106" spans="2:14" ht="24.95" customHeight="1" x14ac:dyDescent="0.3">
      <c r="C106" s="12"/>
      <c r="D106" s="12"/>
      <c r="F106" s="15"/>
      <c r="G106" s="16"/>
      <c r="I106" s="12"/>
      <c r="J106" s="12"/>
      <c r="K106" s="12"/>
    </row>
    <row r="107" spans="2:14" ht="24.95" customHeight="1" x14ac:dyDescent="0.3">
      <c r="C107" s="12"/>
      <c r="D107" s="12"/>
      <c r="F107" s="15"/>
      <c r="G107" s="16"/>
      <c r="I107" s="12"/>
      <c r="J107" s="12"/>
      <c r="K107" s="12"/>
    </row>
    <row r="108" spans="2:14" ht="24.95" customHeight="1" x14ac:dyDescent="0.3">
      <c r="C108" s="12"/>
      <c r="D108" s="12"/>
      <c r="F108" s="15"/>
      <c r="G108" s="16"/>
      <c r="I108" s="12"/>
      <c r="J108" s="12"/>
      <c r="K108" s="12"/>
    </row>
    <row r="109" spans="2:14" ht="24.95" customHeight="1" x14ac:dyDescent="0.3">
      <c r="C109" s="12"/>
      <c r="D109" s="12"/>
      <c r="F109" s="15"/>
      <c r="G109" s="16"/>
      <c r="I109" s="12"/>
      <c r="J109" s="12"/>
      <c r="K109" s="12"/>
    </row>
    <row r="110" spans="2:14" ht="24.95" customHeight="1" x14ac:dyDescent="0.3">
      <c r="C110" s="12"/>
      <c r="D110" s="12"/>
      <c r="F110" s="15"/>
      <c r="G110" s="16"/>
      <c r="I110" s="12"/>
      <c r="J110" s="12"/>
      <c r="K110" s="12"/>
    </row>
    <row r="111" spans="2:14" ht="24.95" customHeight="1" x14ac:dyDescent="0.3">
      <c r="C111" s="12"/>
      <c r="D111" s="12"/>
      <c r="F111" s="15"/>
      <c r="G111" s="16"/>
      <c r="I111" s="12"/>
      <c r="J111" s="12"/>
      <c r="K111" s="12"/>
    </row>
    <row r="112" spans="2:14" ht="24.95" customHeight="1" x14ac:dyDescent="0.3">
      <c r="C112" s="12"/>
      <c r="D112" s="12"/>
      <c r="F112" s="15"/>
      <c r="G112" s="16"/>
      <c r="I112" s="12"/>
      <c r="J112" s="12"/>
      <c r="K112" s="12"/>
    </row>
    <row r="113" spans="3:11" ht="24.95" customHeight="1" x14ac:dyDescent="0.3">
      <c r="C113" s="12"/>
      <c r="D113" s="12"/>
      <c r="F113" s="15"/>
      <c r="G113" s="16"/>
      <c r="I113" s="12"/>
      <c r="J113" s="12"/>
      <c r="K113" s="12"/>
    </row>
    <row r="114" spans="3:11" ht="24.95" customHeight="1" x14ac:dyDescent="0.3">
      <c r="C114" s="12"/>
      <c r="D114" s="12"/>
      <c r="F114" s="15"/>
      <c r="G114" s="16"/>
      <c r="I114" s="12"/>
      <c r="J114" s="12"/>
      <c r="K114" s="12"/>
    </row>
    <row r="115" spans="3:11" ht="24.95" customHeight="1" x14ac:dyDescent="0.3">
      <c r="C115" s="12"/>
      <c r="D115" s="12"/>
      <c r="F115" s="15"/>
      <c r="G115" s="16"/>
      <c r="I115" s="12"/>
      <c r="J115" s="12"/>
      <c r="K115" s="12"/>
    </row>
    <row r="116" spans="3:11" ht="24.95" customHeight="1" x14ac:dyDescent="0.3">
      <c r="C116" s="12"/>
      <c r="D116" s="12"/>
      <c r="F116" s="15"/>
      <c r="G116" s="16"/>
      <c r="I116" s="12"/>
      <c r="J116" s="12"/>
      <c r="K116" s="12"/>
    </row>
    <row r="117" spans="3:11" ht="24.95" customHeight="1" x14ac:dyDescent="0.3">
      <c r="C117" s="12"/>
      <c r="D117" s="12"/>
      <c r="F117" s="15"/>
      <c r="G117" s="16"/>
      <c r="I117" s="12"/>
      <c r="J117" s="12"/>
      <c r="K117" s="12"/>
    </row>
    <row r="118" spans="3:11" ht="24.95" customHeight="1" x14ac:dyDescent="0.3">
      <c r="C118" s="12"/>
      <c r="D118" s="12"/>
      <c r="F118" s="15"/>
      <c r="G118" s="16"/>
      <c r="I118" s="12"/>
      <c r="J118" s="12"/>
      <c r="K118" s="12"/>
    </row>
    <row r="119" spans="3:11" ht="24.95" customHeight="1" x14ac:dyDescent="0.3">
      <c r="C119" s="12"/>
      <c r="D119" s="12"/>
      <c r="F119" s="15"/>
      <c r="G119" s="16"/>
      <c r="I119" s="12"/>
      <c r="J119" s="12"/>
      <c r="K119" s="12"/>
    </row>
    <row r="120" spans="3:11" ht="24.95" customHeight="1" x14ac:dyDescent="0.3">
      <c r="C120" s="12"/>
      <c r="D120" s="12"/>
      <c r="F120" s="15"/>
      <c r="G120" s="16"/>
      <c r="I120" s="12"/>
      <c r="J120" s="12"/>
      <c r="K120" s="12"/>
    </row>
    <row r="121" spans="3:11" ht="24.95" customHeight="1" x14ac:dyDescent="0.3">
      <c r="C121" s="12"/>
      <c r="D121" s="12"/>
      <c r="F121" s="15"/>
      <c r="G121" s="16"/>
      <c r="I121" s="12"/>
      <c r="J121" s="12"/>
      <c r="K121" s="12"/>
    </row>
    <row r="122" spans="3:11" ht="24.95" customHeight="1" x14ac:dyDescent="0.3">
      <c r="C122" s="12"/>
      <c r="D122" s="12"/>
      <c r="F122" s="15"/>
      <c r="G122" s="16"/>
      <c r="I122" s="12"/>
      <c r="J122" s="12"/>
      <c r="K122" s="12"/>
    </row>
    <row r="123" spans="3:11" ht="24.95" customHeight="1" x14ac:dyDescent="0.3">
      <c r="C123" s="12"/>
      <c r="D123" s="12"/>
      <c r="F123" s="15"/>
      <c r="G123" s="16"/>
      <c r="I123" s="12"/>
      <c r="J123" s="12"/>
      <c r="K123" s="12"/>
    </row>
    <row r="124" spans="3:11" ht="24.95" customHeight="1" x14ac:dyDescent="0.3">
      <c r="C124" s="12"/>
      <c r="D124" s="12"/>
      <c r="F124" s="15"/>
      <c r="G124" s="16"/>
      <c r="I124" s="12"/>
      <c r="J124" s="12"/>
      <c r="K124" s="12"/>
    </row>
    <row r="125" spans="3:11" ht="24.95" customHeight="1" x14ac:dyDescent="0.3">
      <c r="C125" s="12"/>
      <c r="D125" s="12"/>
      <c r="F125" s="15"/>
      <c r="G125" s="16"/>
      <c r="I125" s="12"/>
      <c r="J125" s="12"/>
      <c r="K125" s="12"/>
    </row>
    <row r="126" spans="3:11" ht="24.95" customHeight="1" x14ac:dyDescent="0.3">
      <c r="C126" s="12"/>
      <c r="D126" s="12"/>
      <c r="F126" s="15"/>
      <c r="G126" s="16"/>
      <c r="I126" s="12"/>
      <c r="J126" s="12"/>
      <c r="K126" s="12"/>
    </row>
    <row r="127" spans="3:11" ht="24.95" customHeight="1" x14ac:dyDescent="0.3">
      <c r="C127" s="12"/>
      <c r="D127" s="12"/>
      <c r="F127" s="15"/>
      <c r="G127" s="16"/>
      <c r="I127" s="12"/>
      <c r="J127" s="12"/>
      <c r="K127" s="12"/>
    </row>
    <row r="128" spans="3:11" ht="24.95" customHeight="1" x14ac:dyDescent="0.3">
      <c r="C128" s="12"/>
      <c r="D128" s="12"/>
      <c r="F128" s="15"/>
      <c r="G128" s="16"/>
      <c r="I128" s="12"/>
      <c r="J128" s="12"/>
      <c r="K128" s="12"/>
    </row>
    <row r="129" spans="3:11" ht="24.95" customHeight="1" x14ac:dyDescent="0.3">
      <c r="C129" s="12"/>
      <c r="D129" s="12"/>
      <c r="F129" s="15"/>
      <c r="G129" s="16"/>
      <c r="I129" s="12"/>
      <c r="J129" s="12"/>
      <c r="K129" s="12"/>
    </row>
    <row r="130" spans="3:11" ht="24.95" customHeight="1" x14ac:dyDescent="0.3">
      <c r="C130" s="12"/>
      <c r="D130" s="12"/>
      <c r="F130" s="15"/>
      <c r="G130" s="16"/>
      <c r="I130" s="12"/>
      <c r="J130" s="12"/>
      <c r="K130" s="12"/>
    </row>
    <row r="131" spans="3:11" ht="24.95" customHeight="1" x14ac:dyDescent="0.3">
      <c r="C131" s="12"/>
      <c r="D131" s="12"/>
      <c r="F131" s="15"/>
      <c r="G131" s="16"/>
      <c r="I131" s="12"/>
      <c r="J131" s="12"/>
      <c r="K131" s="12"/>
    </row>
    <row r="132" spans="3:11" ht="24.95" customHeight="1" x14ac:dyDescent="0.3">
      <c r="C132" s="12"/>
      <c r="D132" s="12"/>
      <c r="F132" s="15"/>
      <c r="G132" s="16"/>
      <c r="I132" s="12"/>
      <c r="J132" s="12"/>
      <c r="K132" s="12"/>
    </row>
    <row r="133" spans="3:11" ht="24.95" customHeight="1" x14ac:dyDescent="0.3">
      <c r="C133" s="12"/>
      <c r="D133" s="12"/>
      <c r="F133" s="15"/>
      <c r="G133" s="16"/>
      <c r="I133" s="12"/>
      <c r="J133" s="12"/>
      <c r="K133" s="12"/>
    </row>
    <row r="134" spans="3:11" ht="24.95" customHeight="1" x14ac:dyDescent="0.3">
      <c r="C134" s="12"/>
      <c r="D134" s="12"/>
      <c r="F134" s="15"/>
      <c r="G134" s="16"/>
      <c r="I134" s="12"/>
      <c r="J134" s="12"/>
      <c r="K134" s="12"/>
    </row>
    <row r="135" spans="3:11" ht="24.95" customHeight="1" x14ac:dyDescent="0.3">
      <c r="C135" s="12"/>
      <c r="D135" s="12"/>
      <c r="F135" s="15"/>
      <c r="G135" s="16"/>
      <c r="I135" s="12"/>
      <c r="J135" s="12"/>
      <c r="K135" s="12"/>
    </row>
    <row r="136" spans="3:11" ht="24.95" customHeight="1" x14ac:dyDescent="0.3">
      <c r="C136" s="12"/>
      <c r="D136" s="12"/>
      <c r="F136" s="15"/>
      <c r="G136" s="16"/>
      <c r="I136" s="12"/>
      <c r="J136" s="12"/>
      <c r="K136" s="12"/>
    </row>
    <row r="137" spans="3:11" ht="24.95" customHeight="1" x14ac:dyDescent="0.3">
      <c r="C137" s="12"/>
      <c r="D137" s="12"/>
      <c r="F137" s="15"/>
      <c r="G137" s="16"/>
      <c r="I137" s="12"/>
      <c r="J137" s="12"/>
      <c r="K137" s="12"/>
    </row>
    <row r="138" spans="3:11" ht="24.95" customHeight="1" x14ac:dyDescent="0.3">
      <c r="C138" s="12"/>
      <c r="D138" s="12"/>
      <c r="F138" s="15"/>
      <c r="G138" s="16"/>
      <c r="I138" s="12"/>
      <c r="J138" s="12"/>
      <c r="K138" s="12"/>
    </row>
    <row r="139" spans="3:11" ht="24.95" customHeight="1" x14ac:dyDescent="0.3">
      <c r="C139" s="12"/>
      <c r="D139" s="12"/>
      <c r="F139" s="15"/>
      <c r="G139" s="16"/>
      <c r="I139" s="12"/>
      <c r="J139" s="12"/>
      <c r="K139" s="12"/>
    </row>
    <row r="140" spans="3:11" ht="24.95" customHeight="1" x14ac:dyDescent="0.3">
      <c r="C140" s="12"/>
      <c r="D140" s="12"/>
      <c r="F140" s="15"/>
      <c r="G140" s="16"/>
      <c r="I140" s="12"/>
      <c r="J140" s="12"/>
      <c r="K140" s="12"/>
    </row>
    <row r="141" spans="3:11" ht="24.95" customHeight="1" x14ac:dyDescent="0.3">
      <c r="C141" s="12"/>
      <c r="D141" s="12"/>
      <c r="F141" s="15"/>
      <c r="G141" s="16"/>
      <c r="I141" s="12"/>
      <c r="J141" s="12"/>
      <c r="K141" s="12"/>
    </row>
    <row r="142" spans="3:11" ht="24.95" customHeight="1" x14ac:dyDescent="0.3">
      <c r="C142" s="12"/>
      <c r="D142" s="12"/>
      <c r="F142" s="15"/>
      <c r="G142" s="16"/>
      <c r="I142" s="12"/>
      <c r="J142" s="12"/>
      <c r="K142" s="12"/>
    </row>
    <row r="143" spans="3:11" ht="24.95" customHeight="1" x14ac:dyDescent="0.3">
      <c r="C143" s="12"/>
      <c r="D143" s="12"/>
      <c r="F143" s="15"/>
      <c r="G143" s="16"/>
      <c r="I143" s="12"/>
      <c r="J143" s="12"/>
      <c r="K143" s="12"/>
    </row>
  </sheetData>
  <phoneticPr fontId="4" type="noConversion"/>
  <conditionalFormatting sqref="C19:C100">
    <cfRule type="cellIs" dxfId="16" priority="1" operator="equal">
      <formula>5</formula>
    </cfRule>
    <cfRule type="cellIs" dxfId="15" priority="30" operator="equal">
      <formula>4</formula>
    </cfRule>
    <cfRule type="cellIs" dxfId="14" priority="31" operator="equal">
      <formula>3</formula>
    </cfRule>
    <cfRule type="cellIs" dxfId="13" priority="32" operator="equal">
      <formula>2</formula>
    </cfRule>
    <cfRule type="cellIs" dxfId="12" priority="33" operator="equal">
      <formula>1</formula>
    </cfRule>
  </conditionalFormatting>
  <conditionalFormatting sqref="D19:D100">
    <cfRule type="cellIs" dxfId="11" priority="8" operator="equal">
      <formula>"avail"</formula>
    </cfRule>
    <cfRule type="cellIs" dxfId="10" priority="9" operator="equal">
      <formula>"sick"</formula>
    </cfRule>
  </conditionalFormatting>
  <conditionalFormatting sqref="E19:E100">
    <cfRule type="cellIs" dxfId="9" priority="2" operator="greaterThan">
      <formula>75</formula>
    </cfRule>
    <cfRule type="cellIs" dxfId="8" priority="3" operator="equal">
      <formula>75</formula>
    </cfRule>
    <cfRule type="cellIs" dxfId="7" priority="4" operator="lessThan">
      <formula>75</formula>
    </cfRule>
  </conditionalFormatting>
  <conditionalFormatting sqref="F7:F9">
    <cfRule type="cellIs" dxfId="6" priority="19" operator="greaterThan">
      <formula>75</formula>
    </cfRule>
    <cfRule type="cellIs" dxfId="5" priority="20" operator="equal">
      <formula>75</formula>
    </cfRule>
    <cfRule type="cellIs" dxfId="4" priority="21" operator="lessThan">
      <formula>75</formula>
    </cfRule>
  </conditionalFormatting>
  <conditionalFormatting sqref="J19:K100">
    <cfRule type="cellIs" dxfId="3" priority="18" operator="equal">
      <formula>0</formula>
    </cfRule>
  </conditionalFormatting>
  <dataValidations count="3">
    <dataValidation type="list" allowBlank="1" showInputMessage="1" showErrorMessage="1" sqref="D19:D100" xr:uid="{830892F4-9217-4086-8498-DA45CD0AF0ED}">
      <formula1>INDIRECT("Shift_Codes[Code]")</formula1>
    </dataValidation>
    <dataValidation type="list" allowBlank="1" showInputMessage="1" showErrorMessage="1" sqref="C19:C100" xr:uid="{ADEBEADF-EDFA-4F23-82D8-925FC9B3AFFD}">
      <formula1>INDIRECT("Status_Codes")</formula1>
    </dataValidation>
    <dataValidation type="list" allowBlank="1" showInputMessage="1" showErrorMessage="1" sqref="G99:G143" xr:uid="{CC8F21BF-9A22-4650-ACC1-D7C8558B323A}">
      <formula1>INDIRECT("Shift_Status[Status]")</formula1>
    </dataValidation>
  </dataValidations>
  <pageMargins left="0.7" right="0.7" top="0.75" bottom="0.75" header="0.3" footer="0.3"/>
  <pageSetup orientation="portrait" horizontalDpi="0" verticalDpi="0" r:id="rId1"/>
  <tableParts count="3">
    <tablePart r:id="rId2"/>
    <tablePart r:id="rId3"/>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66393F72-B294-4681-9702-D55F7AF4754F}">
          <x14:formula1>
            <xm:f>Reference!$I$6:$I$14</xm:f>
          </x14:formula1>
          <xm:sqref>F64:F69 F19:F62</xm:sqref>
        </x14:dataValidation>
        <x14:dataValidation type="list" allowBlank="1" showInputMessage="1" showErrorMessage="1" xr:uid="{5D6B7ADE-B404-4999-8609-4F3945729DE8}">
          <x14:formula1>
            <xm:f>Reference!$I$6:$I$15</xm:f>
          </x14:formula1>
          <xm:sqref>F63 F70:F100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77470-1031-447F-AAC8-810E83E975C3}">
  <dimension ref="B2:L705"/>
  <sheetViews>
    <sheetView showGridLines="0" workbookViewId="0">
      <pane xSplit="2" topLeftCell="C1" activePane="topRight" state="frozen"/>
      <selection pane="topRight" activeCell="D21" sqref="D21"/>
    </sheetView>
  </sheetViews>
  <sheetFormatPr defaultRowHeight="15" x14ac:dyDescent="0.25"/>
  <cols>
    <col min="2" max="2" width="15.5703125" customWidth="1"/>
    <col min="3" max="3" width="14.140625" customWidth="1"/>
    <col min="4" max="4" width="13.42578125" customWidth="1"/>
    <col min="5" max="5" width="10.7109375" customWidth="1"/>
    <col min="6" max="6" width="12.85546875" customWidth="1"/>
    <col min="7" max="7" width="12.140625" customWidth="1"/>
    <col min="8" max="8" width="13" customWidth="1"/>
    <col min="9" max="9" width="16.42578125" customWidth="1"/>
    <col min="10" max="10" width="10.85546875" customWidth="1"/>
    <col min="11" max="11" width="12" customWidth="1"/>
    <col min="12" max="12" width="12.28515625" customWidth="1"/>
  </cols>
  <sheetData>
    <row r="2" spans="2:12" ht="21" x14ac:dyDescent="0.35">
      <c r="C2" s="38" t="s">
        <v>98</v>
      </c>
    </row>
    <row r="7" spans="2:12" ht="30" x14ac:dyDescent="0.25">
      <c r="B7" s="3" t="s">
        <v>11</v>
      </c>
      <c r="C7" s="3" t="s">
        <v>9</v>
      </c>
      <c r="D7" s="3" t="s">
        <v>10</v>
      </c>
      <c r="E7" s="3" t="s">
        <v>13</v>
      </c>
      <c r="F7" s="3" t="s">
        <v>12</v>
      </c>
      <c r="G7" s="3" t="s">
        <v>16</v>
      </c>
      <c r="H7" s="3" t="s">
        <v>15</v>
      </c>
      <c r="I7" s="4" t="s">
        <v>14</v>
      </c>
      <c r="J7" s="4" t="s">
        <v>109</v>
      </c>
      <c r="K7" s="4" t="s">
        <v>43</v>
      </c>
      <c r="L7" s="4" t="s">
        <v>0</v>
      </c>
    </row>
    <row r="8" spans="2:12" x14ac:dyDescent="0.25">
      <c r="B8" s="39">
        <v>44939</v>
      </c>
      <c r="C8" s="5">
        <f>_xlfn.XLOOKUP(Hours_Sum[[#This Row],[Pay Due]],Dates_Ref[QCH due],Dates_Ref[Start],"",0)</f>
        <v>44921</v>
      </c>
      <c r="D8" s="5">
        <f>Hours_Sum[[#This Row],[PP Start]]+13</f>
        <v>44934</v>
      </c>
      <c r="E8">
        <f>SUM(Hours_Sum[[#This Row],[Reg Hrs]],Hours_Sum[[#This Row],[1.5x OT Hrs]],Hours_Sum[[#This Row],[2x OT Hrs]])</f>
        <v>79.25</v>
      </c>
      <c r="F8">
        <f>SUMIFS(Shift_Track[Reg
Hrs],Shift_Track[Pay Period],Hours_Sum[[#This Row],[Pay Due]])</f>
        <v>75</v>
      </c>
      <c r="G8">
        <f>SUMIFS(Shift_Track[1.5x OT
Hrs],Shift_Track[Pay Period],Hours_Sum[[#This Row],[Pay Due]])</f>
        <v>4.25</v>
      </c>
      <c r="H8">
        <f>SUMIFS(Shift_Track[2x OT
Hrs],Shift_Track[Pay Period],Hours_Sum[[#This Row],[Pay Due]])</f>
        <v>0</v>
      </c>
      <c r="I8">
        <f>SUM(Hours_Sum[[#This Row],[Reg Hrs]],1.5*Hours_Sum[[#This Row],[1.5x OT Hrs]],2*Hours_Sum[[#This Row],[2x OT Hrs]])</f>
        <v>81.375</v>
      </c>
      <c r="J8">
        <f>Hours_Sum[[#This Row],[Tot Hrs
(Converted)]]*22</f>
        <v>1790.25</v>
      </c>
      <c r="K8">
        <f>YEAR(Hours_Sum[[#This Row],[Pay Due]])</f>
        <v>2023</v>
      </c>
      <c r="L8" t="str">
        <f>TEXT(Hours_Sum[[#This Row],[Pay Due]],"MMMM")</f>
        <v>January</v>
      </c>
    </row>
    <row r="9" spans="2:12" x14ac:dyDescent="0.25">
      <c r="B9" s="39">
        <v>44953</v>
      </c>
      <c r="C9" s="5">
        <f>_xlfn.XLOOKUP(Hours_Sum[[#This Row],[Pay Due]],Dates_Ref[QCH due],Dates_Ref[Start],"",0)</f>
        <v>44935</v>
      </c>
      <c r="D9" s="5">
        <f>Hours_Sum[[#This Row],[PP Start]]+13</f>
        <v>44948</v>
      </c>
      <c r="E9">
        <f>SUM(Hours_Sum[[#This Row],[Reg Hrs]],Hours_Sum[[#This Row],[1.5x OT Hrs]],Hours_Sum[[#This Row],[2x OT Hrs]])</f>
        <v>67.5</v>
      </c>
      <c r="F9">
        <f>SUMIFS(Shift_Track[Reg
Hrs],Shift_Track[Pay Period],Hours_Sum[[#This Row],[Pay Due]])</f>
        <v>67.5</v>
      </c>
      <c r="G9">
        <f>SUMIFS(Shift_Track[1.5x OT
Hrs],Shift_Track[Pay Period],Hours_Sum[[#This Row],[Pay Due]])</f>
        <v>0</v>
      </c>
      <c r="H9">
        <f>SUMIFS(Shift_Track[2x OT
Hrs],Shift_Track[Pay Period],Hours_Sum[[#This Row],[Pay Due]])</f>
        <v>0</v>
      </c>
      <c r="I9">
        <f>SUM(Hours_Sum[[#This Row],[Reg Hrs]],1.5*Hours_Sum[[#This Row],[1.5x OT Hrs]],2*Hours_Sum[[#This Row],[2x OT Hrs]])</f>
        <v>67.5</v>
      </c>
      <c r="J9">
        <f>Hours_Sum[[#This Row],[Tot Hrs
(Converted)]]*22</f>
        <v>1485</v>
      </c>
      <c r="K9">
        <f>YEAR(Hours_Sum[[#This Row],[Pay Due]])</f>
        <v>2023</v>
      </c>
      <c r="L9" t="str">
        <f>TEXT(Hours_Sum[[#This Row],[Pay Due]],"MMMM")</f>
        <v>January</v>
      </c>
    </row>
    <row r="10" spans="2:12" x14ac:dyDescent="0.25">
      <c r="B10" s="39">
        <v>44967</v>
      </c>
      <c r="C10" s="5">
        <f>_xlfn.XLOOKUP(Hours_Sum[[#This Row],[Pay Due]],Dates_Ref[QCH due],Dates_Ref[Start],"",0)</f>
        <v>44949</v>
      </c>
      <c r="D10" s="5">
        <f>Hours_Sum[[#This Row],[PP Start]]+13</f>
        <v>44962</v>
      </c>
      <c r="E10">
        <f>SUM(Hours_Sum[[#This Row],[Reg Hrs]],Hours_Sum[[#This Row],[1.5x OT Hrs]],Hours_Sum[[#This Row],[2x OT Hrs]])</f>
        <v>78.75</v>
      </c>
      <c r="F10">
        <f>SUMIFS(Shift_Track[Reg
Hrs],Shift_Track[Pay Period],Hours_Sum[[#This Row],[Pay Due]])</f>
        <v>75</v>
      </c>
      <c r="G10">
        <f>SUMIFS(Shift_Track[1.5x OT
Hrs],Shift_Track[Pay Period],Hours_Sum[[#This Row],[Pay Due]])</f>
        <v>3.75</v>
      </c>
      <c r="H10">
        <f>SUMIFS(Shift_Track[2x OT
Hrs],Shift_Track[Pay Period],Hours_Sum[[#This Row],[Pay Due]])</f>
        <v>0</v>
      </c>
      <c r="I10">
        <f>SUM(Hours_Sum[[#This Row],[Reg Hrs]],1.5*Hours_Sum[[#This Row],[1.5x OT Hrs]],2*Hours_Sum[[#This Row],[2x OT Hrs]])</f>
        <v>80.625</v>
      </c>
      <c r="J10">
        <f>Hours_Sum[[#This Row],[Tot Hrs
(Converted)]]*22</f>
        <v>1773.75</v>
      </c>
      <c r="K10">
        <f>YEAR(Hours_Sum[[#This Row],[Pay Due]])</f>
        <v>2023</v>
      </c>
      <c r="L10" t="str">
        <f>TEXT(Hours_Sum[[#This Row],[Pay Due]],"MMMM")</f>
        <v>February</v>
      </c>
    </row>
    <row r="11" spans="2:12" x14ac:dyDescent="0.25">
      <c r="B11" s="39">
        <v>44981</v>
      </c>
      <c r="C11" s="5">
        <f>_xlfn.XLOOKUP(Hours_Sum[[#This Row],[Pay Due]],Dates_Ref[QCH due],Dates_Ref[Start],"",0)</f>
        <v>44963</v>
      </c>
      <c r="D11" s="5">
        <f>Hours_Sum[[#This Row],[PP Start]]+13</f>
        <v>44976</v>
      </c>
      <c r="E11">
        <f>SUM(Hours_Sum[[#This Row],[Reg Hrs]],Hours_Sum[[#This Row],[1.5x OT Hrs]],Hours_Sum[[#This Row],[2x OT Hrs]])</f>
        <v>67.5</v>
      </c>
      <c r="F11">
        <f>SUMIFS(Shift_Track[Reg
Hrs],Shift_Track[Pay Period],Hours_Sum[[#This Row],[Pay Due]])</f>
        <v>67.5</v>
      </c>
      <c r="G11">
        <f>SUMIFS(Shift_Track[1.5x OT
Hrs],Shift_Track[Pay Period],Hours_Sum[[#This Row],[Pay Due]])</f>
        <v>0</v>
      </c>
      <c r="H11">
        <f>SUMIFS(Shift_Track[2x OT
Hrs],Shift_Track[Pay Period],Hours_Sum[[#This Row],[Pay Due]])</f>
        <v>0</v>
      </c>
      <c r="I11">
        <f>SUM(Hours_Sum[[#This Row],[Reg Hrs]],1.5*Hours_Sum[[#This Row],[1.5x OT Hrs]],2*Hours_Sum[[#This Row],[2x OT Hrs]])</f>
        <v>67.5</v>
      </c>
      <c r="J11">
        <f>Hours_Sum[[#This Row],[Tot Hrs
(Converted)]]*22</f>
        <v>1485</v>
      </c>
      <c r="K11">
        <f>YEAR(Hours_Sum[[#This Row],[Pay Due]])</f>
        <v>2023</v>
      </c>
      <c r="L11" t="str">
        <f>TEXT(Hours_Sum[[#This Row],[Pay Due]],"MMMM")</f>
        <v>February</v>
      </c>
    </row>
    <row r="12" spans="2:12" x14ac:dyDescent="0.25">
      <c r="B12" s="39">
        <v>44995</v>
      </c>
      <c r="C12" s="5">
        <f>_xlfn.XLOOKUP(Hours_Sum[[#This Row],[Pay Due]],Dates_Ref[QCH due],Dates_Ref[Start],"",0)</f>
        <v>44977</v>
      </c>
      <c r="D12" s="5">
        <f>Hours_Sum[[#This Row],[PP Start]]+13</f>
        <v>44990</v>
      </c>
      <c r="E12">
        <f>SUM(Hours_Sum[[#This Row],[Reg Hrs]],Hours_Sum[[#This Row],[1.5x OT Hrs]],Hours_Sum[[#This Row],[2x OT Hrs]])</f>
        <v>68</v>
      </c>
      <c r="F12">
        <f>SUMIFS(Shift_Track[Reg
Hrs],Shift_Track[Pay Period],Hours_Sum[[#This Row],[Pay Due]])</f>
        <v>56.25</v>
      </c>
      <c r="G12">
        <f>SUMIFS(Shift_Track[1.5x OT
Hrs],Shift_Track[Pay Period],Hours_Sum[[#This Row],[Pay Due]])</f>
        <v>11.75</v>
      </c>
      <c r="H12">
        <f>SUMIFS(Shift_Track[2x OT
Hrs],Shift_Track[Pay Period],Hours_Sum[[#This Row],[Pay Due]])</f>
        <v>0</v>
      </c>
      <c r="I12">
        <f>SUM(Hours_Sum[[#This Row],[Reg Hrs]],1.5*Hours_Sum[[#This Row],[1.5x OT Hrs]],2*Hours_Sum[[#This Row],[2x OT Hrs]])</f>
        <v>73.875</v>
      </c>
      <c r="J12">
        <f>Hours_Sum[[#This Row],[Tot Hrs
(Converted)]]*22</f>
        <v>1625.25</v>
      </c>
      <c r="K12">
        <f>YEAR(Hours_Sum[[#This Row],[Pay Due]])</f>
        <v>2023</v>
      </c>
      <c r="L12" t="str">
        <f>TEXT(Hours_Sum[[#This Row],[Pay Due]],"MMMM")</f>
        <v>March</v>
      </c>
    </row>
    <row r="13" spans="2:12" x14ac:dyDescent="0.25">
      <c r="B13" s="39">
        <v>45009</v>
      </c>
      <c r="C13" s="5">
        <f>_xlfn.XLOOKUP(Hours_Sum[[#This Row],[Pay Due]],Dates_Ref[QCH due],Dates_Ref[Start],"",0)</f>
        <v>44991</v>
      </c>
      <c r="D13" s="5">
        <f>Hours_Sum[[#This Row],[PP Start]]+13</f>
        <v>45004</v>
      </c>
      <c r="E13">
        <f>SUM(Hours_Sum[[#This Row],[Reg Hrs]],Hours_Sum[[#This Row],[1.5x OT Hrs]],Hours_Sum[[#This Row],[2x OT Hrs]])</f>
        <v>78.75</v>
      </c>
      <c r="F13">
        <f>SUMIFS(Shift_Track[Reg
Hrs],Shift_Track[Pay Period],Hours_Sum[[#This Row],[Pay Due]])</f>
        <v>75</v>
      </c>
      <c r="G13">
        <f>SUMIFS(Shift_Track[1.5x OT
Hrs],Shift_Track[Pay Period],Hours_Sum[[#This Row],[Pay Due]])</f>
        <v>3.75</v>
      </c>
      <c r="H13">
        <f>SUMIFS(Shift_Track[2x OT
Hrs],Shift_Track[Pay Period],Hours_Sum[[#This Row],[Pay Due]])</f>
        <v>0</v>
      </c>
      <c r="I13">
        <f>SUM(Hours_Sum[[#This Row],[Reg Hrs]],1.5*Hours_Sum[[#This Row],[1.5x OT Hrs]],2*Hours_Sum[[#This Row],[2x OT Hrs]])</f>
        <v>80.625</v>
      </c>
      <c r="J13">
        <f>Hours_Sum[[#This Row],[Tot Hrs
(Converted)]]*22</f>
        <v>1773.75</v>
      </c>
      <c r="K13">
        <f>YEAR(Hours_Sum[[#This Row],[Pay Due]])</f>
        <v>2023</v>
      </c>
      <c r="L13" t="str">
        <f>TEXT(Hours_Sum[[#This Row],[Pay Due]],"MMMM")</f>
        <v>March</v>
      </c>
    </row>
    <row r="14" spans="2:12" x14ac:dyDescent="0.25">
      <c r="B14" s="39">
        <v>45023</v>
      </c>
      <c r="C14" s="5">
        <f>_xlfn.XLOOKUP(Hours_Sum[[#This Row],[Pay Due]],Dates_Ref[QCH due],Dates_Ref[Start],"",0)</f>
        <v>45005</v>
      </c>
      <c r="D14" s="5">
        <f>Hours_Sum[[#This Row],[PP Start]]+13</f>
        <v>45018</v>
      </c>
      <c r="E14">
        <f>SUM(Hours_Sum[[#This Row],[Reg Hrs]],Hours_Sum[[#This Row],[1.5x OT Hrs]],Hours_Sum[[#This Row],[2x OT Hrs]])</f>
        <v>75</v>
      </c>
      <c r="F14">
        <f>SUMIFS(Shift_Track[Reg
Hrs],Shift_Track[Pay Period],Hours_Sum[[#This Row],[Pay Due]])</f>
        <v>75</v>
      </c>
      <c r="G14">
        <f>SUMIFS(Shift_Track[1.5x OT
Hrs],Shift_Track[Pay Period],Hours_Sum[[#This Row],[Pay Due]])</f>
        <v>0</v>
      </c>
      <c r="H14">
        <f>SUMIFS(Shift_Track[2x OT
Hrs],Shift_Track[Pay Period],Hours_Sum[[#This Row],[Pay Due]])</f>
        <v>0</v>
      </c>
      <c r="I14">
        <f>SUM(Hours_Sum[[#This Row],[Reg Hrs]],1.5*Hours_Sum[[#This Row],[1.5x OT Hrs]],2*Hours_Sum[[#This Row],[2x OT Hrs]])</f>
        <v>75</v>
      </c>
      <c r="J14">
        <f>Hours_Sum[[#This Row],[Tot Hrs
(Converted)]]*22</f>
        <v>1650</v>
      </c>
      <c r="K14">
        <f>YEAR(Hours_Sum[[#This Row],[Pay Due]])</f>
        <v>2023</v>
      </c>
      <c r="L14" t="str">
        <f>TEXT(Hours_Sum[[#This Row],[Pay Due]],"MMMM")</f>
        <v>April</v>
      </c>
    </row>
    <row r="15" spans="2:12" x14ac:dyDescent="0.25">
      <c r="B15" s="39">
        <v>45037</v>
      </c>
      <c r="C15" s="5">
        <f>_xlfn.XLOOKUP(Hours_Sum[[#This Row],[Pay Due]],Dates_Ref[QCH due],Dates_Ref[Start],"",0)</f>
        <v>45019</v>
      </c>
      <c r="D15" s="5">
        <f>Hours_Sum[[#This Row],[PP Start]]+13</f>
        <v>45032</v>
      </c>
      <c r="E15">
        <f>SUM(Hours_Sum[[#This Row],[Reg Hrs]],Hours_Sum[[#This Row],[1.5x OT Hrs]],Hours_Sum[[#This Row],[2x OT Hrs]])</f>
        <v>78.75</v>
      </c>
      <c r="F15">
        <f>SUMIFS(Shift_Track[Reg
Hrs],Shift_Track[Pay Period],Hours_Sum[[#This Row],[Pay Due]])</f>
        <v>63.75</v>
      </c>
      <c r="G15">
        <f>SUMIFS(Shift_Track[1.5x OT
Hrs],Shift_Track[Pay Period],Hours_Sum[[#This Row],[Pay Due]])</f>
        <v>15</v>
      </c>
      <c r="H15">
        <f>SUMIFS(Shift_Track[2x OT
Hrs],Shift_Track[Pay Period],Hours_Sum[[#This Row],[Pay Due]])</f>
        <v>0</v>
      </c>
      <c r="I15">
        <f>SUM(Hours_Sum[[#This Row],[Reg Hrs]],1.5*Hours_Sum[[#This Row],[1.5x OT Hrs]],2*Hours_Sum[[#This Row],[2x OT Hrs]])</f>
        <v>86.25</v>
      </c>
      <c r="J15">
        <f>Hours_Sum[[#This Row],[Tot Hrs
(Converted)]]*22</f>
        <v>1897.5</v>
      </c>
      <c r="K15">
        <f>YEAR(Hours_Sum[[#This Row],[Pay Due]])</f>
        <v>2023</v>
      </c>
      <c r="L15" t="str">
        <f>TEXT(Hours_Sum[[#This Row],[Pay Due]],"MMMM")</f>
        <v>April</v>
      </c>
    </row>
    <row r="16" spans="2:12" x14ac:dyDescent="0.25">
      <c r="B16" s="39">
        <v>45051</v>
      </c>
      <c r="C16" s="5">
        <f>_xlfn.XLOOKUP(Hours_Sum[[#This Row],[Pay Due]],Dates_Ref[QCH due],Dates_Ref[Start],"",0)</f>
        <v>45033</v>
      </c>
      <c r="D16" s="5">
        <f>Hours_Sum[[#This Row],[PP Start]]+13</f>
        <v>45046</v>
      </c>
      <c r="E16">
        <f>SUM(Hours_Sum[[#This Row],[Reg Hrs]],Hours_Sum[[#This Row],[1.5x OT Hrs]],Hours_Sum[[#This Row],[2x OT Hrs]])</f>
        <v>56.25</v>
      </c>
      <c r="F16">
        <f>SUMIFS(Shift_Track[Reg
Hrs],Shift_Track[Pay Period],Hours_Sum[[#This Row],[Pay Due]])</f>
        <v>56.25</v>
      </c>
      <c r="G16">
        <f>SUMIFS(Shift_Track[1.5x OT
Hrs],Shift_Track[Pay Period],Hours_Sum[[#This Row],[Pay Due]])</f>
        <v>0</v>
      </c>
      <c r="H16">
        <f>SUMIFS(Shift_Track[2x OT
Hrs],Shift_Track[Pay Period],Hours_Sum[[#This Row],[Pay Due]])</f>
        <v>0</v>
      </c>
      <c r="I16">
        <f>SUM(Hours_Sum[[#This Row],[Reg Hrs]],1.5*Hours_Sum[[#This Row],[1.5x OT Hrs]],2*Hours_Sum[[#This Row],[2x OT Hrs]])</f>
        <v>56.25</v>
      </c>
      <c r="J16">
        <f>Hours_Sum[[#This Row],[Tot Hrs
(Converted)]]*22</f>
        <v>1237.5</v>
      </c>
      <c r="K16">
        <f>YEAR(Hours_Sum[[#This Row],[Pay Due]])</f>
        <v>2023</v>
      </c>
      <c r="L16" t="str">
        <f>TEXT(Hours_Sum[[#This Row],[Pay Due]],"MMMM")</f>
        <v>May</v>
      </c>
    </row>
    <row r="17" spans="2:12" x14ac:dyDescent="0.25">
      <c r="B17" s="39">
        <v>45065</v>
      </c>
      <c r="C17" s="5">
        <f>_xlfn.XLOOKUP(Hours_Sum[[#This Row],[Pay Due]],Dates_Ref[QCH due],Dates_Ref[Start],"",0)</f>
        <v>45047</v>
      </c>
      <c r="D17" s="5">
        <f>Hours_Sum[[#This Row],[PP Start]]+13</f>
        <v>45060</v>
      </c>
      <c r="E17">
        <f>SUM(Hours_Sum[[#This Row],[Reg Hrs]],Hours_Sum[[#This Row],[1.5x OT Hrs]],Hours_Sum[[#This Row],[2x OT Hrs]])</f>
        <v>78.75</v>
      </c>
      <c r="F17">
        <f>SUMIFS(Shift_Track[Reg
Hrs],Shift_Track[Pay Period],Hours_Sum[[#This Row],[Pay Due]])</f>
        <v>75</v>
      </c>
      <c r="G17">
        <f>SUMIFS(Shift_Track[1.5x OT
Hrs],Shift_Track[Pay Period],Hours_Sum[[#This Row],[Pay Due]])</f>
        <v>3.75</v>
      </c>
      <c r="H17">
        <f>SUMIFS(Shift_Track[2x OT
Hrs],Shift_Track[Pay Period],Hours_Sum[[#This Row],[Pay Due]])</f>
        <v>0</v>
      </c>
      <c r="I17">
        <f>SUM(Hours_Sum[[#This Row],[Reg Hrs]],1.5*Hours_Sum[[#This Row],[1.5x OT Hrs]],2*Hours_Sum[[#This Row],[2x OT Hrs]])</f>
        <v>80.625</v>
      </c>
      <c r="J17">
        <f>Hours_Sum[[#This Row],[Tot Hrs
(Converted)]]*22</f>
        <v>1773.75</v>
      </c>
      <c r="K17">
        <f>YEAR(Hours_Sum[[#This Row],[Pay Due]])</f>
        <v>2023</v>
      </c>
      <c r="L17" t="str">
        <f>TEXT(Hours_Sum[[#This Row],[Pay Due]],"MMMM")</f>
        <v>May</v>
      </c>
    </row>
    <row r="18" spans="2:12" x14ac:dyDescent="0.25">
      <c r="B18" s="39">
        <v>45079</v>
      </c>
      <c r="C18" s="5">
        <f>_xlfn.XLOOKUP(Hours_Sum[[#This Row],[Pay Due]],Dates_Ref[QCH due],Dates_Ref[Start],"",0)</f>
        <v>45061</v>
      </c>
      <c r="D18" s="5">
        <f>Hours_Sum[[#This Row],[PP Start]]+13</f>
        <v>45074</v>
      </c>
      <c r="E18">
        <f>SUM(Hours_Sum[[#This Row],[Reg Hrs]],Hours_Sum[[#This Row],[1.5x OT Hrs]],Hours_Sum[[#This Row],[2x OT Hrs]])</f>
        <v>56.25</v>
      </c>
      <c r="F18">
        <f>SUMIFS(Shift_Track[Reg
Hrs],Shift_Track[Pay Period],Hours_Sum[[#This Row],[Pay Due]])</f>
        <v>45</v>
      </c>
      <c r="G18">
        <f>SUMIFS(Shift_Track[1.5x OT
Hrs],Shift_Track[Pay Period],Hours_Sum[[#This Row],[Pay Due]])</f>
        <v>11.25</v>
      </c>
      <c r="H18">
        <f>SUMIFS(Shift_Track[2x OT
Hrs],Shift_Track[Pay Period],Hours_Sum[[#This Row],[Pay Due]])</f>
        <v>0</v>
      </c>
      <c r="I18">
        <f>SUM(Hours_Sum[[#This Row],[Reg Hrs]],1.5*Hours_Sum[[#This Row],[1.5x OT Hrs]],2*Hours_Sum[[#This Row],[2x OT Hrs]])</f>
        <v>61.875</v>
      </c>
      <c r="J18">
        <f>Hours_Sum[[#This Row],[Tot Hrs
(Converted)]]*22</f>
        <v>1361.25</v>
      </c>
      <c r="K18">
        <f>YEAR(Hours_Sum[[#This Row],[Pay Due]])</f>
        <v>2023</v>
      </c>
      <c r="L18" t="str">
        <f>TEXT(Hours_Sum[[#This Row],[Pay Due]],"MMMM")</f>
        <v>June</v>
      </c>
    </row>
    <row r="19" spans="2:12" x14ac:dyDescent="0.25">
      <c r="B19" s="39">
        <v>45093</v>
      </c>
      <c r="C19" s="5">
        <f>_xlfn.XLOOKUP(Hours_Sum[[#This Row],[Pay Due]],Dates_Ref[QCH due],Dates_Ref[Start],"",0)</f>
        <v>45075</v>
      </c>
      <c r="D19" s="5">
        <f>Hours_Sum[[#This Row],[PP Start]]+13</f>
        <v>45088</v>
      </c>
      <c r="E19">
        <f>SUM(Hours_Sum[[#This Row],[Reg Hrs]],Hours_Sum[[#This Row],[1.5x OT Hrs]],Hours_Sum[[#This Row],[2x OT Hrs]])</f>
        <v>67.5</v>
      </c>
      <c r="F19">
        <f>SUMIFS(Shift_Track[Reg
Hrs],Shift_Track[Pay Period],Hours_Sum[[#This Row],[Pay Due]])</f>
        <v>67.5</v>
      </c>
      <c r="G19">
        <f>SUMIFS(Shift_Track[1.5x OT
Hrs],Shift_Track[Pay Period],Hours_Sum[[#This Row],[Pay Due]])</f>
        <v>0</v>
      </c>
      <c r="H19">
        <f>SUMIFS(Shift_Track[2x OT
Hrs],Shift_Track[Pay Period],Hours_Sum[[#This Row],[Pay Due]])</f>
        <v>0</v>
      </c>
      <c r="I19">
        <f>SUM(Hours_Sum[[#This Row],[Reg Hrs]],1.5*Hours_Sum[[#This Row],[1.5x OT Hrs]],2*Hours_Sum[[#This Row],[2x OT Hrs]])</f>
        <v>67.5</v>
      </c>
      <c r="J19">
        <f>Hours_Sum[[#This Row],[Tot Hrs
(Converted)]]*22</f>
        <v>1485</v>
      </c>
      <c r="K19">
        <f>YEAR(Hours_Sum[[#This Row],[Pay Due]])</f>
        <v>2023</v>
      </c>
      <c r="L19" t="str">
        <f>TEXT(Hours_Sum[[#This Row],[Pay Due]],"MMMM")</f>
        <v>June</v>
      </c>
    </row>
    <row r="20" spans="2:12" x14ac:dyDescent="0.25">
      <c r="B20" s="39">
        <v>45107</v>
      </c>
      <c r="C20" s="5">
        <f>_xlfn.XLOOKUP(Hours_Sum[[#This Row],[Pay Due]],Dates_Ref[QCH due],Dates_Ref[Start],"",0)</f>
        <v>45089</v>
      </c>
      <c r="D20" s="5">
        <f>Hours_Sum[[#This Row],[PP Start]]+13</f>
        <v>45102</v>
      </c>
      <c r="E20">
        <f>SUM(Hours_Sum[[#This Row],[Reg Hrs]],Hours_Sum[[#This Row],[1.5x OT Hrs]],Hours_Sum[[#This Row],[2x OT Hrs]])</f>
        <v>22.5</v>
      </c>
      <c r="F20">
        <f>SUMIFS(Shift_Track[Reg
Hrs],Shift_Track[Pay Period],Hours_Sum[[#This Row],[Pay Due]])</f>
        <v>22.5</v>
      </c>
      <c r="G20">
        <f>SUMIFS(Shift_Track[1.5x OT
Hrs],Shift_Track[Pay Period],Hours_Sum[[#This Row],[Pay Due]])</f>
        <v>0</v>
      </c>
      <c r="H20">
        <f>SUMIFS(Shift_Track[2x OT
Hrs],Shift_Track[Pay Period],Hours_Sum[[#This Row],[Pay Due]])</f>
        <v>0</v>
      </c>
      <c r="I20">
        <f>SUM(Hours_Sum[[#This Row],[Reg Hrs]],1.5*Hours_Sum[[#This Row],[1.5x OT Hrs]],2*Hours_Sum[[#This Row],[2x OT Hrs]])</f>
        <v>22.5</v>
      </c>
      <c r="J20">
        <f>Hours_Sum[[#This Row],[Tot Hrs
(Converted)]]*22</f>
        <v>495</v>
      </c>
      <c r="K20">
        <f>YEAR(Hours_Sum[[#This Row],[Pay Due]])</f>
        <v>2023</v>
      </c>
      <c r="L20" t="str">
        <f>TEXT(Hours_Sum[[#This Row],[Pay Due]],"MMMM")</f>
        <v>June</v>
      </c>
    </row>
    <row r="21" spans="2:12" x14ac:dyDescent="0.25">
      <c r="B21" s="39">
        <v>45121</v>
      </c>
      <c r="C21" s="5">
        <f>_xlfn.XLOOKUP(Hours_Sum[[#This Row],[Pay Due]],Dates_Ref[QCH due],Dates_Ref[Start],"",0)</f>
        <v>45103</v>
      </c>
      <c r="D21" s="5">
        <f>Hours_Sum[[#This Row],[PP Start]]+13</f>
        <v>45116</v>
      </c>
      <c r="E21">
        <f>SUM(Hours_Sum[[#This Row],[Reg Hrs]],Hours_Sum[[#This Row],[1.5x OT Hrs]],Hours_Sum[[#This Row],[2x OT Hrs]])</f>
        <v>0</v>
      </c>
      <c r="F21">
        <f>SUMIFS(Shift_Track[Reg
Hrs],Shift_Track[Pay Period],Hours_Sum[[#This Row],[Pay Due]])</f>
        <v>0</v>
      </c>
      <c r="G21">
        <f>SUMIFS(Shift_Track[1.5x OT
Hrs],Shift_Track[Pay Period],Hours_Sum[[#This Row],[Pay Due]])</f>
        <v>0</v>
      </c>
      <c r="H21">
        <f>SUMIFS(Shift_Track[2x OT
Hrs],Shift_Track[Pay Period],Hours_Sum[[#This Row],[Pay Due]])</f>
        <v>0</v>
      </c>
      <c r="I21">
        <f>SUM(Hours_Sum[[#This Row],[Reg Hrs]],1.5*Hours_Sum[[#This Row],[1.5x OT Hrs]],2*Hours_Sum[[#This Row],[2x OT Hrs]])</f>
        <v>0</v>
      </c>
      <c r="J21">
        <f>Hours_Sum[[#This Row],[Tot Hrs
(Converted)]]*22</f>
        <v>0</v>
      </c>
      <c r="K21">
        <f>YEAR(Hours_Sum[[#This Row],[Pay Due]])</f>
        <v>2023</v>
      </c>
      <c r="L21" t="str">
        <f>TEXT(Hours_Sum[[#This Row],[Pay Due]],"MMMM")</f>
        <v>July</v>
      </c>
    </row>
    <row r="22" spans="2:12" x14ac:dyDescent="0.25">
      <c r="B22" s="39">
        <v>45135</v>
      </c>
      <c r="C22" s="5">
        <f>_xlfn.XLOOKUP(Hours_Sum[[#This Row],[Pay Due]],Dates_Ref[QCH due],Dates_Ref[Start],"",0)</f>
        <v>45117</v>
      </c>
      <c r="D22" s="5">
        <f>Hours_Sum[[#This Row],[PP Start]]+13</f>
        <v>45130</v>
      </c>
      <c r="E22">
        <f>SUM(Hours_Sum[[#This Row],[Reg Hrs]],Hours_Sum[[#This Row],[1.5x OT Hrs]],Hours_Sum[[#This Row],[2x OT Hrs]])</f>
        <v>0</v>
      </c>
      <c r="F22">
        <f>SUMIFS(Shift_Track[Reg
Hrs],Shift_Track[Pay Period],Hours_Sum[[#This Row],[Pay Due]])</f>
        <v>0</v>
      </c>
      <c r="G22">
        <f>SUMIFS(Shift_Track[1.5x OT
Hrs],Shift_Track[Pay Period],Hours_Sum[[#This Row],[Pay Due]])</f>
        <v>0</v>
      </c>
      <c r="H22">
        <f>SUMIFS(Shift_Track[2x OT
Hrs],Shift_Track[Pay Period],Hours_Sum[[#This Row],[Pay Due]])</f>
        <v>0</v>
      </c>
      <c r="I22">
        <f>SUM(Hours_Sum[[#This Row],[Reg Hrs]],1.5*Hours_Sum[[#This Row],[1.5x OT Hrs]],2*Hours_Sum[[#This Row],[2x OT Hrs]])</f>
        <v>0</v>
      </c>
      <c r="J22">
        <f>Hours_Sum[[#This Row],[Tot Hrs
(Converted)]]*22</f>
        <v>0</v>
      </c>
      <c r="K22">
        <f>YEAR(Hours_Sum[[#This Row],[Pay Due]])</f>
        <v>2023</v>
      </c>
      <c r="L22" t="str">
        <f>TEXT(Hours_Sum[[#This Row],[Pay Due]],"MMMM")</f>
        <v>July</v>
      </c>
    </row>
    <row r="23" spans="2:12" x14ac:dyDescent="0.25">
      <c r="B23" s="39">
        <v>45149</v>
      </c>
      <c r="C23" s="5">
        <f>_xlfn.XLOOKUP(Hours_Sum[[#This Row],[Pay Due]],Dates_Ref[QCH due],Dates_Ref[Start],"",0)</f>
        <v>45131</v>
      </c>
      <c r="D23" s="5">
        <f>Hours_Sum[[#This Row],[PP Start]]+13</f>
        <v>45144</v>
      </c>
      <c r="E23">
        <f>SUM(Hours_Sum[[#This Row],[Reg Hrs]],Hours_Sum[[#This Row],[1.5x OT Hrs]],Hours_Sum[[#This Row],[2x OT Hrs]])</f>
        <v>0</v>
      </c>
      <c r="F23">
        <f>SUMIFS(Shift_Track[Reg
Hrs],Shift_Track[Pay Period],Hours_Sum[[#This Row],[Pay Due]])</f>
        <v>0</v>
      </c>
      <c r="G23">
        <f>SUMIFS(Shift_Track[1.5x OT
Hrs],Shift_Track[Pay Period],Hours_Sum[[#This Row],[Pay Due]])</f>
        <v>0</v>
      </c>
      <c r="H23">
        <f>SUMIFS(Shift_Track[2x OT
Hrs],Shift_Track[Pay Period],Hours_Sum[[#This Row],[Pay Due]])</f>
        <v>0</v>
      </c>
      <c r="I23">
        <f>SUM(Hours_Sum[[#This Row],[Reg Hrs]],1.5*Hours_Sum[[#This Row],[1.5x OT Hrs]],2*Hours_Sum[[#This Row],[2x OT Hrs]])</f>
        <v>0</v>
      </c>
      <c r="J23">
        <f>Hours_Sum[[#This Row],[Tot Hrs
(Converted)]]*22</f>
        <v>0</v>
      </c>
      <c r="K23">
        <f>YEAR(Hours_Sum[[#This Row],[Pay Due]])</f>
        <v>2023</v>
      </c>
      <c r="L23" t="str">
        <f>TEXT(Hours_Sum[[#This Row],[Pay Due]],"MMMM")</f>
        <v>August</v>
      </c>
    </row>
    <row r="24" spans="2:12" x14ac:dyDescent="0.25">
      <c r="B24" s="39">
        <v>45163</v>
      </c>
      <c r="C24" s="5">
        <f>_xlfn.XLOOKUP(Hours_Sum[[#This Row],[Pay Due]],Dates_Ref[QCH due],Dates_Ref[Start],"",0)</f>
        <v>45145</v>
      </c>
      <c r="D24" s="5">
        <f>Hours_Sum[[#This Row],[PP Start]]+13</f>
        <v>45158</v>
      </c>
      <c r="E24">
        <f>SUM(Hours_Sum[[#This Row],[Reg Hrs]],Hours_Sum[[#This Row],[1.5x OT Hrs]],Hours_Sum[[#This Row],[2x OT Hrs]])</f>
        <v>0</v>
      </c>
      <c r="F24">
        <f>SUMIFS(Shift_Track[Reg
Hrs],Shift_Track[Pay Period],Hours_Sum[[#This Row],[Pay Due]])</f>
        <v>0</v>
      </c>
      <c r="G24">
        <f>SUMIFS(Shift_Track[1.5x OT
Hrs],Shift_Track[Pay Period],Hours_Sum[[#This Row],[Pay Due]])</f>
        <v>0</v>
      </c>
      <c r="H24">
        <f>SUMIFS(Shift_Track[2x OT
Hrs],Shift_Track[Pay Period],Hours_Sum[[#This Row],[Pay Due]])</f>
        <v>0</v>
      </c>
      <c r="I24">
        <f>SUM(Hours_Sum[[#This Row],[Reg Hrs]],1.5*Hours_Sum[[#This Row],[1.5x OT Hrs]],2*Hours_Sum[[#This Row],[2x OT Hrs]])</f>
        <v>0</v>
      </c>
      <c r="J24">
        <f>Hours_Sum[[#This Row],[Tot Hrs
(Converted)]]*22</f>
        <v>0</v>
      </c>
      <c r="K24">
        <f>YEAR(Hours_Sum[[#This Row],[Pay Due]])</f>
        <v>2023</v>
      </c>
      <c r="L24" t="str">
        <f>TEXT(Hours_Sum[[#This Row],[Pay Due]],"MMMM")</f>
        <v>August</v>
      </c>
    </row>
    <row r="25" spans="2:12" x14ac:dyDescent="0.25">
      <c r="B25" s="39">
        <v>45177</v>
      </c>
      <c r="C25" s="5">
        <f>_xlfn.XLOOKUP(Hours_Sum[[#This Row],[Pay Due]],Dates_Ref[QCH due],Dates_Ref[Start],"",0)</f>
        <v>45159</v>
      </c>
      <c r="D25" s="5">
        <f>Hours_Sum[[#This Row],[PP Start]]+13</f>
        <v>45172</v>
      </c>
      <c r="E25">
        <f>SUM(Hours_Sum[[#This Row],[Reg Hrs]],Hours_Sum[[#This Row],[1.5x OT Hrs]],Hours_Sum[[#This Row],[2x OT Hrs]])</f>
        <v>0</v>
      </c>
      <c r="F25">
        <f>SUMIFS(Shift_Track[Reg
Hrs],Shift_Track[Pay Period],Hours_Sum[[#This Row],[Pay Due]])</f>
        <v>0</v>
      </c>
      <c r="G25">
        <f>SUMIFS(Shift_Track[1.5x OT
Hrs],Shift_Track[Pay Period],Hours_Sum[[#This Row],[Pay Due]])</f>
        <v>0</v>
      </c>
      <c r="H25">
        <f>SUMIFS(Shift_Track[2x OT
Hrs],Shift_Track[Pay Period],Hours_Sum[[#This Row],[Pay Due]])</f>
        <v>0</v>
      </c>
      <c r="I25">
        <f>SUM(Hours_Sum[[#This Row],[Reg Hrs]],1.5*Hours_Sum[[#This Row],[1.5x OT Hrs]],2*Hours_Sum[[#This Row],[2x OT Hrs]])</f>
        <v>0</v>
      </c>
      <c r="J25">
        <f>Hours_Sum[[#This Row],[Tot Hrs
(Converted)]]*22</f>
        <v>0</v>
      </c>
      <c r="K25">
        <f>YEAR(Hours_Sum[[#This Row],[Pay Due]])</f>
        <v>2023</v>
      </c>
      <c r="L25" t="str">
        <f>TEXT(Hours_Sum[[#This Row],[Pay Due]],"MMMM")</f>
        <v>September</v>
      </c>
    </row>
    <row r="26" spans="2:12" x14ac:dyDescent="0.25">
      <c r="B26" s="39">
        <v>45191</v>
      </c>
      <c r="C26" s="5">
        <f>_xlfn.XLOOKUP(Hours_Sum[[#This Row],[Pay Due]],Dates_Ref[QCH due],Dates_Ref[Start],"",0)</f>
        <v>45173</v>
      </c>
      <c r="D26" s="5">
        <f>Hours_Sum[[#This Row],[PP Start]]+13</f>
        <v>45186</v>
      </c>
      <c r="E26">
        <f>SUM(Hours_Sum[[#This Row],[Reg Hrs]],Hours_Sum[[#This Row],[1.5x OT Hrs]],Hours_Sum[[#This Row],[2x OT Hrs]])</f>
        <v>0</v>
      </c>
      <c r="F26">
        <f>SUMIFS(Shift_Track[Reg
Hrs],Shift_Track[Pay Period],Hours_Sum[[#This Row],[Pay Due]])</f>
        <v>0</v>
      </c>
      <c r="G26">
        <f>SUMIFS(Shift_Track[1.5x OT
Hrs],Shift_Track[Pay Period],Hours_Sum[[#This Row],[Pay Due]])</f>
        <v>0</v>
      </c>
      <c r="H26">
        <f>SUMIFS(Shift_Track[2x OT
Hrs],Shift_Track[Pay Period],Hours_Sum[[#This Row],[Pay Due]])</f>
        <v>0</v>
      </c>
      <c r="I26">
        <f>SUM(Hours_Sum[[#This Row],[Reg Hrs]],1.5*Hours_Sum[[#This Row],[1.5x OT Hrs]],2*Hours_Sum[[#This Row],[2x OT Hrs]])</f>
        <v>0</v>
      </c>
      <c r="J26">
        <f>Hours_Sum[[#This Row],[Tot Hrs
(Converted)]]*22</f>
        <v>0</v>
      </c>
      <c r="K26">
        <f>YEAR(Hours_Sum[[#This Row],[Pay Due]])</f>
        <v>2023</v>
      </c>
      <c r="L26" t="str">
        <f>TEXT(Hours_Sum[[#This Row],[Pay Due]],"MMMM")</f>
        <v>September</v>
      </c>
    </row>
    <row r="27" spans="2:12" x14ac:dyDescent="0.25">
      <c r="B27" s="39">
        <v>45205</v>
      </c>
      <c r="C27" s="5">
        <f>_xlfn.XLOOKUP(Hours_Sum[[#This Row],[Pay Due]],Dates_Ref[QCH due],Dates_Ref[Start],"",0)</f>
        <v>45187</v>
      </c>
      <c r="D27" s="5">
        <f>Hours_Sum[[#This Row],[PP Start]]+13</f>
        <v>45200</v>
      </c>
      <c r="E27">
        <f>SUM(Hours_Sum[[#This Row],[Reg Hrs]],Hours_Sum[[#This Row],[1.5x OT Hrs]],Hours_Sum[[#This Row],[2x OT Hrs]])</f>
        <v>0</v>
      </c>
      <c r="F27">
        <f>SUMIFS(Shift_Track[Reg
Hrs],Shift_Track[Pay Period],Hours_Sum[[#This Row],[Pay Due]])</f>
        <v>0</v>
      </c>
      <c r="G27">
        <f>SUMIFS(Shift_Track[1.5x OT
Hrs],Shift_Track[Pay Period],Hours_Sum[[#This Row],[Pay Due]])</f>
        <v>0</v>
      </c>
      <c r="H27">
        <f>SUMIFS(Shift_Track[2x OT
Hrs],Shift_Track[Pay Period],Hours_Sum[[#This Row],[Pay Due]])</f>
        <v>0</v>
      </c>
      <c r="I27">
        <f>SUM(Hours_Sum[[#This Row],[Reg Hrs]],1.5*Hours_Sum[[#This Row],[1.5x OT Hrs]],2*Hours_Sum[[#This Row],[2x OT Hrs]])</f>
        <v>0</v>
      </c>
      <c r="J27">
        <f>Hours_Sum[[#This Row],[Tot Hrs
(Converted)]]*22</f>
        <v>0</v>
      </c>
      <c r="K27">
        <f>YEAR(Hours_Sum[[#This Row],[Pay Due]])</f>
        <v>2023</v>
      </c>
      <c r="L27" t="str">
        <f>TEXT(Hours_Sum[[#This Row],[Pay Due]],"MMMM")</f>
        <v>October</v>
      </c>
    </row>
    <row r="28" spans="2:12" x14ac:dyDescent="0.25">
      <c r="B28" s="39">
        <v>45219</v>
      </c>
      <c r="C28" s="5">
        <f>_xlfn.XLOOKUP(Hours_Sum[[#This Row],[Pay Due]],Dates_Ref[QCH due],Dates_Ref[Start],"",0)</f>
        <v>45201</v>
      </c>
      <c r="D28" s="5">
        <f>Hours_Sum[[#This Row],[PP Start]]+13</f>
        <v>45214</v>
      </c>
      <c r="E28">
        <f>SUM(Hours_Sum[[#This Row],[Reg Hrs]],Hours_Sum[[#This Row],[1.5x OT Hrs]],Hours_Sum[[#This Row],[2x OT Hrs]])</f>
        <v>0</v>
      </c>
      <c r="F28">
        <f>SUMIFS(Shift_Track[Reg
Hrs],Shift_Track[Pay Period],Hours_Sum[[#This Row],[Pay Due]])</f>
        <v>0</v>
      </c>
      <c r="G28">
        <f>SUMIFS(Shift_Track[1.5x OT
Hrs],Shift_Track[Pay Period],Hours_Sum[[#This Row],[Pay Due]])</f>
        <v>0</v>
      </c>
      <c r="H28">
        <f>SUMIFS(Shift_Track[2x OT
Hrs],Shift_Track[Pay Period],Hours_Sum[[#This Row],[Pay Due]])</f>
        <v>0</v>
      </c>
      <c r="I28">
        <f>SUM(Hours_Sum[[#This Row],[Reg Hrs]],1.5*Hours_Sum[[#This Row],[1.5x OT Hrs]],2*Hours_Sum[[#This Row],[2x OT Hrs]])</f>
        <v>0</v>
      </c>
      <c r="J28">
        <f>Hours_Sum[[#This Row],[Tot Hrs
(Converted)]]*22</f>
        <v>0</v>
      </c>
      <c r="K28">
        <f>YEAR(Hours_Sum[[#This Row],[Pay Due]])</f>
        <v>2023</v>
      </c>
      <c r="L28" t="str">
        <f>TEXT(Hours_Sum[[#This Row],[Pay Due]],"MMMM")</f>
        <v>October</v>
      </c>
    </row>
    <row r="29" spans="2:12" x14ac:dyDescent="0.25">
      <c r="B29" s="39">
        <v>45233</v>
      </c>
      <c r="C29" s="5">
        <f>_xlfn.XLOOKUP(Hours_Sum[[#This Row],[Pay Due]],Dates_Ref[QCH due],Dates_Ref[Start],"",0)</f>
        <v>45215</v>
      </c>
      <c r="D29" s="5">
        <f>Hours_Sum[[#This Row],[PP Start]]+13</f>
        <v>45228</v>
      </c>
      <c r="E29">
        <f>SUM(Hours_Sum[[#This Row],[Reg Hrs]],Hours_Sum[[#This Row],[1.5x OT Hrs]],Hours_Sum[[#This Row],[2x OT Hrs]])</f>
        <v>0</v>
      </c>
      <c r="F29">
        <f>SUMIFS(Shift_Track[Reg
Hrs],Shift_Track[Pay Period],Hours_Sum[[#This Row],[Pay Due]])</f>
        <v>0</v>
      </c>
      <c r="G29">
        <f>SUMIFS(Shift_Track[1.5x OT
Hrs],Shift_Track[Pay Period],Hours_Sum[[#This Row],[Pay Due]])</f>
        <v>0</v>
      </c>
      <c r="H29">
        <f>SUMIFS(Shift_Track[2x OT
Hrs],Shift_Track[Pay Period],Hours_Sum[[#This Row],[Pay Due]])</f>
        <v>0</v>
      </c>
      <c r="I29">
        <f>SUM(Hours_Sum[[#This Row],[Reg Hrs]],1.5*Hours_Sum[[#This Row],[1.5x OT Hrs]],2*Hours_Sum[[#This Row],[2x OT Hrs]])</f>
        <v>0</v>
      </c>
      <c r="J29">
        <f>Hours_Sum[[#This Row],[Tot Hrs
(Converted)]]*22</f>
        <v>0</v>
      </c>
      <c r="K29">
        <f>YEAR(Hours_Sum[[#This Row],[Pay Due]])</f>
        <v>2023</v>
      </c>
      <c r="L29" t="str">
        <f>TEXT(Hours_Sum[[#This Row],[Pay Due]],"MMMM")</f>
        <v>November</v>
      </c>
    </row>
    <row r="30" spans="2:12" x14ac:dyDescent="0.25">
      <c r="B30" s="39">
        <v>45247</v>
      </c>
      <c r="C30" s="5">
        <f>_xlfn.XLOOKUP(Hours_Sum[[#This Row],[Pay Due]],Dates_Ref[QCH due],Dates_Ref[Start],"",0)</f>
        <v>45229</v>
      </c>
      <c r="D30" s="5">
        <f>Hours_Sum[[#This Row],[PP Start]]+13</f>
        <v>45242</v>
      </c>
      <c r="E30">
        <f>SUM(Hours_Sum[[#This Row],[Reg Hrs]],Hours_Sum[[#This Row],[1.5x OT Hrs]],Hours_Sum[[#This Row],[2x OT Hrs]])</f>
        <v>0</v>
      </c>
      <c r="F30">
        <f>SUMIFS(Shift_Track[Reg
Hrs],Shift_Track[Pay Period],Hours_Sum[[#This Row],[Pay Due]])</f>
        <v>0</v>
      </c>
      <c r="G30">
        <f>SUMIFS(Shift_Track[1.5x OT
Hrs],Shift_Track[Pay Period],Hours_Sum[[#This Row],[Pay Due]])</f>
        <v>0</v>
      </c>
      <c r="H30">
        <f>SUMIFS(Shift_Track[2x OT
Hrs],Shift_Track[Pay Period],Hours_Sum[[#This Row],[Pay Due]])</f>
        <v>0</v>
      </c>
      <c r="I30">
        <f>SUM(Hours_Sum[[#This Row],[Reg Hrs]],1.5*Hours_Sum[[#This Row],[1.5x OT Hrs]],2*Hours_Sum[[#This Row],[2x OT Hrs]])</f>
        <v>0</v>
      </c>
      <c r="J30">
        <f>Hours_Sum[[#This Row],[Tot Hrs
(Converted)]]*22</f>
        <v>0</v>
      </c>
      <c r="K30">
        <f>YEAR(Hours_Sum[[#This Row],[Pay Due]])</f>
        <v>2023</v>
      </c>
      <c r="L30" t="str">
        <f>TEXT(Hours_Sum[[#This Row],[Pay Due]],"MMMM")</f>
        <v>November</v>
      </c>
    </row>
    <row r="31" spans="2:12" x14ac:dyDescent="0.25">
      <c r="B31" s="39">
        <v>45261</v>
      </c>
      <c r="C31" s="5">
        <f>_xlfn.XLOOKUP(Hours_Sum[[#This Row],[Pay Due]],Dates_Ref[QCH due],Dates_Ref[Start],"",0)</f>
        <v>45243</v>
      </c>
      <c r="D31" s="5">
        <f>Hours_Sum[[#This Row],[PP Start]]+13</f>
        <v>45256</v>
      </c>
      <c r="E31">
        <f>SUM(Hours_Sum[[#This Row],[Reg Hrs]],Hours_Sum[[#This Row],[1.5x OT Hrs]],Hours_Sum[[#This Row],[2x OT Hrs]])</f>
        <v>0</v>
      </c>
      <c r="F31">
        <f>SUMIFS(Shift_Track[Reg
Hrs],Shift_Track[Pay Period],Hours_Sum[[#This Row],[Pay Due]])</f>
        <v>0</v>
      </c>
      <c r="G31">
        <f>SUMIFS(Shift_Track[1.5x OT
Hrs],Shift_Track[Pay Period],Hours_Sum[[#This Row],[Pay Due]])</f>
        <v>0</v>
      </c>
      <c r="H31">
        <f>SUMIFS(Shift_Track[2x OT
Hrs],Shift_Track[Pay Period],Hours_Sum[[#This Row],[Pay Due]])</f>
        <v>0</v>
      </c>
      <c r="I31">
        <f>SUM(Hours_Sum[[#This Row],[Reg Hrs]],1.5*Hours_Sum[[#This Row],[1.5x OT Hrs]],2*Hours_Sum[[#This Row],[2x OT Hrs]])</f>
        <v>0</v>
      </c>
      <c r="J31">
        <f>Hours_Sum[[#This Row],[Tot Hrs
(Converted)]]*22</f>
        <v>0</v>
      </c>
      <c r="K31">
        <f>YEAR(Hours_Sum[[#This Row],[Pay Due]])</f>
        <v>2023</v>
      </c>
      <c r="L31" t="str">
        <f>TEXT(Hours_Sum[[#This Row],[Pay Due]],"MMMM")</f>
        <v>December</v>
      </c>
    </row>
    <row r="32" spans="2:12" x14ac:dyDescent="0.25">
      <c r="B32" s="39">
        <v>45275</v>
      </c>
      <c r="C32" s="5">
        <f>_xlfn.XLOOKUP(Hours_Sum[[#This Row],[Pay Due]],Dates_Ref[QCH due],Dates_Ref[Start],"",0)</f>
        <v>45257</v>
      </c>
      <c r="D32" s="5">
        <f>Hours_Sum[[#This Row],[PP Start]]+13</f>
        <v>45270</v>
      </c>
      <c r="E32">
        <f>SUM(Hours_Sum[[#This Row],[Reg Hrs]],Hours_Sum[[#This Row],[1.5x OT Hrs]],Hours_Sum[[#This Row],[2x OT Hrs]])</f>
        <v>0</v>
      </c>
      <c r="F32">
        <f>SUMIFS(Shift_Track[Reg
Hrs],Shift_Track[Pay Period],Hours_Sum[[#This Row],[Pay Due]])</f>
        <v>0</v>
      </c>
      <c r="G32">
        <f>SUMIFS(Shift_Track[1.5x OT
Hrs],Shift_Track[Pay Period],Hours_Sum[[#This Row],[Pay Due]])</f>
        <v>0</v>
      </c>
      <c r="H32">
        <f>SUMIFS(Shift_Track[2x OT
Hrs],Shift_Track[Pay Period],Hours_Sum[[#This Row],[Pay Due]])</f>
        <v>0</v>
      </c>
      <c r="I32">
        <f>SUM(Hours_Sum[[#This Row],[Reg Hrs]],1.5*Hours_Sum[[#This Row],[1.5x OT Hrs]],2*Hours_Sum[[#This Row],[2x OT Hrs]])</f>
        <v>0</v>
      </c>
      <c r="J32">
        <f>Hours_Sum[[#This Row],[Tot Hrs
(Converted)]]*22</f>
        <v>0</v>
      </c>
      <c r="K32">
        <f>YEAR(Hours_Sum[[#This Row],[Pay Due]])</f>
        <v>2023</v>
      </c>
      <c r="L32" t="str">
        <f>TEXT(Hours_Sum[[#This Row],[Pay Due]],"MMMM")</f>
        <v>December</v>
      </c>
    </row>
    <row r="33" spans="2:12" x14ac:dyDescent="0.25">
      <c r="B33" s="39">
        <v>45289</v>
      </c>
      <c r="C33" s="5">
        <f>_xlfn.XLOOKUP(Hours_Sum[[#This Row],[Pay Due]],Dates_Ref[QCH due],Dates_Ref[Start],"",0)</f>
        <v>45271</v>
      </c>
      <c r="D33" s="5">
        <f>Hours_Sum[[#This Row],[PP Start]]+13</f>
        <v>45284</v>
      </c>
      <c r="E33">
        <f>SUM(Hours_Sum[[#This Row],[Reg Hrs]],Hours_Sum[[#This Row],[1.5x OT Hrs]],Hours_Sum[[#This Row],[2x OT Hrs]])</f>
        <v>0</v>
      </c>
      <c r="F33">
        <f>SUMIFS(Shift_Track[Reg
Hrs],Shift_Track[Pay Period],Hours_Sum[[#This Row],[Pay Due]])</f>
        <v>0</v>
      </c>
      <c r="G33">
        <f>SUMIFS(Shift_Track[1.5x OT
Hrs],Shift_Track[Pay Period],Hours_Sum[[#This Row],[Pay Due]])</f>
        <v>0</v>
      </c>
      <c r="H33">
        <f>SUMIFS(Shift_Track[2x OT
Hrs],Shift_Track[Pay Period],Hours_Sum[[#This Row],[Pay Due]])</f>
        <v>0</v>
      </c>
      <c r="I33">
        <f>SUM(Hours_Sum[[#This Row],[Reg Hrs]],1.5*Hours_Sum[[#This Row],[1.5x OT Hrs]],2*Hours_Sum[[#This Row],[2x OT Hrs]])</f>
        <v>0</v>
      </c>
      <c r="J33">
        <f>Hours_Sum[[#This Row],[Tot Hrs
(Converted)]]*22</f>
        <v>0</v>
      </c>
      <c r="K33">
        <f>YEAR(Hours_Sum[[#This Row],[Pay Due]])</f>
        <v>2023</v>
      </c>
      <c r="L33" t="str">
        <f>TEXT(Hours_Sum[[#This Row],[Pay Due]],"MMMM")</f>
        <v>December</v>
      </c>
    </row>
    <row r="34" spans="2:12" x14ac:dyDescent="0.25">
      <c r="B34" s="39">
        <v>45303</v>
      </c>
      <c r="C34" s="5">
        <f>_xlfn.XLOOKUP(Hours_Sum[[#This Row],[Pay Due]],Dates_Ref[QCH due],Dates_Ref[Start],"",0)</f>
        <v>45285</v>
      </c>
      <c r="D34" s="5">
        <f>Hours_Sum[[#This Row],[PP Start]]+13</f>
        <v>45298</v>
      </c>
      <c r="E34">
        <f>SUM(Hours_Sum[[#This Row],[Reg Hrs]],Hours_Sum[[#This Row],[1.5x OT Hrs]],Hours_Sum[[#This Row],[2x OT Hrs]])</f>
        <v>0</v>
      </c>
      <c r="F34">
        <f>SUMIFS(Shift_Track[Reg
Hrs],Shift_Track[Pay Period],Hours_Sum[[#This Row],[Pay Due]])</f>
        <v>0</v>
      </c>
      <c r="G34">
        <f>SUMIFS(Shift_Track[1.5x OT
Hrs],Shift_Track[Pay Period],Hours_Sum[[#This Row],[Pay Due]])</f>
        <v>0</v>
      </c>
      <c r="H34">
        <f>SUMIFS(Shift_Track[2x OT
Hrs],Shift_Track[Pay Period],Hours_Sum[[#This Row],[Pay Due]])</f>
        <v>0</v>
      </c>
      <c r="I34">
        <f>SUM(Hours_Sum[[#This Row],[Reg Hrs]],1.5*Hours_Sum[[#This Row],[1.5x OT Hrs]],2*Hours_Sum[[#This Row],[2x OT Hrs]])</f>
        <v>0</v>
      </c>
      <c r="J34">
        <f>Hours_Sum[[#This Row],[Tot Hrs
(Converted)]]*22</f>
        <v>0</v>
      </c>
      <c r="K34">
        <f>YEAR(Hours_Sum[[#This Row],[Pay Due]])</f>
        <v>2024</v>
      </c>
      <c r="L34" t="str">
        <f>TEXT(Hours_Sum[[#This Row],[Pay Due]],"MMMM")</f>
        <v>January</v>
      </c>
    </row>
    <row r="35" spans="2:12" x14ac:dyDescent="0.25">
      <c r="B35" s="39">
        <v>45317</v>
      </c>
      <c r="C35" s="5">
        <f>_xlfn.XLOOKUP(Hours_Sum[[#This Row],[Pay Due]],Dates_Ref[QCH due],Dates_Ref[Start],"",0)</f>
        <v>45299</v>
      </c>
      <c r="D35" s="5">
        <f>Hours_Sum[[#This Row],[PP Start]]+13</f>
        <v>45312</v>
      </c>
      <c r="E35">
        <f>SUM(Hours_Sum[[#This Row],[Reg Hrs]],Hours_Sum[[#This Row],[1.5x OT Hrs]],Hours_Sum[[#This Row],[2x OT Hrs]])</f>
        <v>0</v>
      </c>
      <c r="F35">
        <f>SUMIFS(Shift_Track[Reg
Hrs],Shift_Track[Pay Period],Hours_Sum[[#This Row],[Pay Due]])</f>
        <v>0</v>
      </c>
      <c r="G35">
        <f>SUMIFS(Shift_Track[1.5x OT
Hrs],Shift_Track[Pay Period],Hours_Sum[[#This Row],[Pay Due]])</f>
        <v>0</v>
      </c>
      <c r="H35">
        <f>SUMIFS(Shift_Track[2x OT
Hrs],Shift_Track[Pay Period],Hours_Sum[[#This Row],[Pay Due]])</f>
        <v>0</v>
      </c>
      <c r="I35">
        <f>SUM(Hours_Sum[[#This Row],[Reg Hrs]],1.5*Hours_Sum[[#This Row],[1.5x OT Hrs]],2*Hours_Sum[[#This Row],[2x OT Hrs]])</f>
        <v>0</v>
      </c>
      <c r="J35">
        <f>Hours_Sum[[#This Row],[Tot Hrs
(Converted)]]*22</f>
        <v>0</v>
      </c>
      <c r="K35">
        <f>YEAR(Hours_Sum[[#This Row],[Pay Due]])</f>
        <v>2024</v>
      </c>
      <c r="L35" t="str">
        <f>TEXT(Hours_Sum[[#This Row],[Pay Due]],"MMMM")</f>
        <v>January</v>
      </c>
    </row>
    <row r="36" spans="2:12" x14ac:dyDescent="0.25">
      <c r="B36" s="39">
        <v>45331</v>
      </c>
      <c r="C36" s="5">
        <f>_xlfn.XLOOKUP(Hours_Sum[[#This Row],[Pay Due]],Dates_Ref[QCH due],Dates_Ref[Start],"",0)</f>
        <v>45313</v>
      </c>
      <c r="D36" s="5">
        <f>Hours_Sum[[#This Row],[PP Start]]+13</f>
        <v>45326</v>
      </c>
      <c r="E36">
        <f>SUM(Hours_Sum[[#This Row],[Reg Hrs]],Hours_Sum[[#This Row],[1.5x OT Hrs]],Hours_Sum[[#This Row],[2x OT Hrs]])</f>
        <v>0</v>
      </c>
      <c r="F36">
        <f>SUMIFS(Shift_Track[Reg
Hrs],Shift_Track[Pay Period],Hours_Sum[[#This Row],[Pay Due]])</f>
        <v>0</v>
      </c>
      <c r="G36">
        <f>SUMIFS(Shift_Track[1.5x OT
Hrs],Shift_Track[Pay Period],Hours_Sum[[#This Row],[Pay Due]])</f>
        <v>0</v>
      </c>
      <c r="H36">
        <f>SUMIFS(Shift_Track[2x OT
Hrs],Shift_Track[Pay Period],Hours_Sum[[#This Row],[Pay Due]])</f>
        <v>0</v>
      </c>
      <c r="I36">
        <f>SUM(Hours_Sum[[#This Row],[Reg Hrs]],1.5*Hours_Sum[[#This Row],[1.5x OT Hrs]],2*Hours_Sum[[#This Row],[2x OT Hrs]])</f>
        <v>0</v>
      </c>
      <c r="J36">
        <f>Hours_Sum[[#This Row],[Tot Hrs
(Converted)]]*22</f>
        <v>0</v>
      </c>
      <c r="K36">
        <f>YEAR(Hours_Sum[[#This Row],[Pay Due]])</f>
        <v>2024</v>
      </c>
      <c r="L36" t="str">
        <f>TEXT(Hours_Sum[[#This Row],[Pay Due]],"MMMM")</f>
        <v>February</v>
      </c>
    </row>
    <row r="37" spans="2:12" x14ac:dyDescent="0.25">
      <c r="B37" s="39">
        <v>45345</v>
      </c>
      <c r="C37" s="5">
        <f>_xlfn.XLOOKUP(Hours_Sum[[#This Row],[Pay Due]],Dates_Ref[QCH due],Dates_Ref[Start],"",0)</f>
        <v>45327</v>
      </c>
      <c r="D37" s="5">
        <f>Hours_Sum[[#This Row],[PP Start]]+13</f>
        <v>45340</v>
      </c>
      <c r="E37">
        <f>SUM(Hours_Sum[[#This Row],[Reg Hrs]],Hours_Sum[[#This Row],[1.5x OT Hrs]],Hours_Sum[[#This Row],[2x OT Hrs]])</f>
        <v>0</v>
      </c>
      <c r="F37">
        <f>SUMIFS(Shift_Track[Reg
Hrs],Shift_Track[Pay Period],Hours_Sum[[#This Row],[Pay Due]])</f>
        <v>0</v>
      </c>
      <c r="G37">
        <f>SUMIFS(Shift_Track[1.5x OT
Hrs],Shift_Track[Pay Period],Hours_Sum[[#This Row],[Pay Due]])</f>
        <v>0</v>
      </c>
      <c r="H37">
        <f>SUMIFS(Shift_Track[2x OT
Hrs],Shift_Track[Pay Period],Hours_Sum[[#This Row],[Pay Due]])</f>
        <v>0</v>
      </c>
      <c r="I37">
        <f>SUM(Hours_Sum[[#This Row],[Reg Hrs]],1.5*Hours_Sum[[#This Row],[1.5x OT Hrs]],2*Hours_Sum[[#This Row],[2x OT Hrs]])</f>
        <v>0</v>
      </c>
      <c r="J37">
        <f>Hours_Sum[[#This Row],[Tot Hrs
(Converted)]]*22</f>
        <v>0</v>
      </c>
      <c r="K37">
        <f>YEAR(Hours_Sum[[#This Row],[Pay Due]])</f>
        <v>2024</v>
      </c>
      <c r="L37" t="str">
        <f>TEXT(Hours_Sum[[#This Row],[Pay Due]],"MMMM")</f>
        <v>February</v>
      </c>
    </row>
    <row r="38" spans="2:12" x14ac:dyDescent="0.25">
      <c r="B38" s="39">
        <v>45359</v>
      </c>
      <c r="C38" s="5">
        <f>_xlfn.XLOOKUP(Hours_Sum[[#This Row],[Pay Due]],Dates_Ref[QCH due],Dates_Ref[Start],"",0)</f>
        <v>45341</v>
      </c>
      <c r="D38" s="5">
        <f>Hours_Sum[[#This Row],[PP Start]]+13</f>
        <v>45354</v>
      </c>
      <c r="E38">
        <f>SUM(Hours_Sum[[#This Row],[Reg Hrs]],Hours_Sum[[#This Row],[1.5x OT Hrs]],Hours_Sum[[#This Row],[2x OT Hrs]])</f>
        <v>0</v>
      </c>
      <c r="F38">
        <f>SUMIFS(Shift_Track[Reg
Hrs],Shift_Track[Pay Period],Hours_Sum[[#This Row],[Pay Due]])</f>
        <v>0</v>
      </c>
      <c r="G38">
        <f>SUMIFS(Shift_Track[1.5x OT
Hrs],Shift_Track[Pay Period],Hours_Sum[[#This Row],[Pay Due]])</f>
        <v>0</v>
      </c>
      <c r="H38">
        <f>SUMIFS(Shift_Track[2x OT
Hrs],Shift_Track[Pay Period],Hours_Sum[[#This Row],[Pay Due]])</f>
        <v>0</v>
      </c>
      <c r="I38">
        <f>SUM(Hours_Sum[[#This Row],[Reg Hrs]],1.5*Hours_Sum[[#This Row],[1.5x OT Hrs]],2*Hours_Sum[[#This Row],[2x OT Hrs]])</f>
        <v>0</v>
      </c>
      <c r="J38">
        <f>Hours_Sum[[#This Row],[Tot Hrs
(Converted)]]*22</f>
        <v>0</v>
      </c>
      <c r="K38">
        <f>YEAR(Hours_Sum[[#This Row],[Pay Due]])</f>
        <v>2024</v>
      </c>
      <c r="L38" t="str">
        <f>TEXT(Hours_Sum[[#This Row],[Pay Due]],"MMMM")</f>
        <v>March</v>
      </c>
    </row>
    <row r="39" spans="2:12" x14ac:dyDescent="0.25">
      <c r="B39" s="39">
        <v>45373</v>
      </c>
      <c r="C39" s="5">
        <f>_xlfn.XLOOKUP(Hours_Sum[[#This Row],[Pay Due]],Dates_Ref[QCH due],Dates_Ref[Start],"",0)</f>
        <v>45355</v>
      </c>
      <c r="D39" s="5">
        <f>Hours_Sum[[#This Row],[PP Start]]+13</f>
        <v>45368</v>
      </c>
      <c r="E39">
        <f>SUM(Hours_Sum[[#This Row],[Reg Hrs]],Hours_Sum[[#This Row],[1.5x OT Hrs]],Hours_Sum[[#This Row],[2x OT Hrs]])</f>
        <v>0</v>
      </c>
      <c r="F39">
        <f>SUMIFS(Shift_Track[Reg
Hrs],Shift_Track[Pay Period],Hours_Sum[[#This Row],[Pay Due]])</f>
        <v>0</v>
      </c>
      <c r="G39">
        <f>SUMIFS(Shift_Track[1.5x OT
Hrs],Shift_Track[Pay Period],Hours_Sum[[#This Row],[Pay Due]])</f>
        <v>0</v>
      </c>
      <c r="H39">
        <f>SUMIFS(Shift_Track[2x OT
Hrs],Shift_Track[Pay Period],Hours_Sum[[#This Row],[Pay Due]])</f>
        <v>0</v>
      </c>
      <c r="I39">
        <f>SUM(Hours_Sum[[#This Row],[Reg Hrs]],1.5*Hours_Sum[[#This Row],[1.5x OT Hrs]],2*Hours_Sum[[#This Row],[2x OT Hrs]])</f>
        <v>0</v>
      </c>
      <c r="J39">
        <f>Hours_Sum[[#This Row],[Tot Hrs
(Converted)]]*22</f>
        <v>0</v>
      </c>
      <c r="K39">
        <f>YEAR(Hours_Sum[[#This Row],[Pay Due]])</f>
        <v>2024</v>
      </c>
      <c r="L39" t="str">
        <f>TEXT(Hours_Sum[[#This Row],[Pay Due]],"MMMM")</f>
        <v>March</v>
      </c>
    </row>
    <row r="40" spans="2:12" x14ac:dyDescent="0.25">
      <c r="B40" s="39">
        <v>45387</v>
      </c>
      <c r="C40" s="5">
        <f>_xlfn.XLOOKUP(Hours_Sum[[#This Row],[Pay Due]],Dates_Ref[QCH due],Dates_Ref[Start],"",0)</f>
        <v>45369</v>
      </c>
      <c r="D40" s="5">
        <f>Hours_Sum[[#This Row],[PP Start]]+13</f>
        <v>45382</v>
      </c>
      <c r="E40">
        <f>SUM(Hours_Sum[[#This Row],[Reg Hrs]],Hours_Sum[[#This Row],[1.5x OT Hrs]],Hours_Sum[[#This Row],[2x OT Hrs]])</f>
        <v>0</v>
      </c>
      <c r="F40">
        <f>SUMIFS(Shift_Track[Reg
Hrs],Shift_Track[Pay Period],Hours_Sum[[#This Row],[Pay Due]])</f>
        <v>0</v>
      </c>
      <c r="G40">
        <f>SUMIFS(Shift_Track[1.5x OT
Hrs],Shift_Track[Pay Period],Hours_Sum[[#This Row],[Pay Due]])</f>
        <v>0</v>
      </c>
      <c r="H40">
        <f>SUMIFS(Shift_Track[2x OT
Hrs],Shift_Track[Pay Period],Hours_Sum[[#This Row],[Pay Due]])</f>
        <v>0</v>
      </c>
      <c r="I40">
        <f>SUM(Hours_Sum[[#This Row],[Reg Hrs]],1.5*Hours_Sum[[#This Row],[1.5x OT Hrs]],2*Hours_Sum[[#This Row],[2x OT Hrs]])</f>
        <v>0</v>
      </c>
      <c r="J40">
        <f>Hours_Sum[[#This Row],[Tot Hrs
(Converted)]]*22</f>
        <v>0</v>
      </c>
      <c r="K40">
        <f>YEAR(Hours_Sum[[#This Row],[Pay Due]])</f>
        <v>2024</v>
      </c>
      <c r="L40" t="str">
        <f>TEXT(Hours_Sum[[#This Row],[Pay Due]],"MMMM")</f>
        <v>April</v>
      </c>
    </row>
    <row r="41" spans="2:12" x14ac:dyDescent="0.25">
      <c r="B41" s="39">
        <v>45401</v>
      </c>
      <c r="C41" s="5">
        <f>_xlfn.XLOOKUP(Hours_Sum[[#This Row],[Pay Due]],Dates_Ref[QCH due],Dates_Ref[Start],"",0)</f>
        <v>45383</v>
      </c>
      <c r="D41" s="5">
        <f>Hours_Sum[[#This Row],[PP Start]]+13</f>
        <v>45396</v>
      </c>
      <c r="E41">
        <f>SUM(Hours_Sum[[#This Row],[Reg Hrs]],Hours_Sum[[#This Row],[1.5x OT Hrs]],Hours_Sum[[#This Row],[2x OT Hrs]])</f>
        <v>0</v>
      </c>
      <c r="F41">
        <f>SUMIFS(Shift_Track[Reg
Hrs],Shift_Track[Pay Period],Hours_Sum[[#This Row],[Pay Due]])</f>
        <v>0</v>
      </c>
      <c r="G41">
        <f>SUMIFS(Shift_Track[1.5x OT
Hrs],Shift_Track[Pay Period],Hours_Sum[[#This Row],[Pay Due]])</f>
        <v>0</v>
      </c>
      <c r="H41">
        <f>SUMIFS(Shift_Track[2x OT
Hrs],Shift_Track[Pay Period],Hours_Sum[[#This Row],[Pay Due]])</f>
        <v>0</v>
      </c>
      <c r="I41">
        <f>SUM(Hours_Sum[[#This Row],[Reg Hrs]],1.5*Hours_Sum[[#This Row],[1.5x OT Hrs]],2*Hours_Sum[[#This Row],[2x OT Hrs]])</f>
        <v>0</v>
      </c>
      <c r="J41">
        <f>Hours_Sum[[#This Row],[Tot Hrs
(Converted)]]*22</f>
        <v>0</v>
      </c>
      <c r="K41">
        <f>YEAR(Hours_Sum[[#This Row],[Pay Due]])</f>
        <v>2024</v>
      </c>
      <c r="L41" t="str">
        <f>TEXT(Hours_Sum[[#This Row],[Pay Due]],"MMMM")</f>
        <v>April</v>
      </c>
    </row>
    <row r="42" spans="2:12" x14ac:dyDescent="0.25">
      <c r="B42" s="39">
        <v>45415</v>
      </c>
      <c r="C42" s="5">
        <f>_xlfn.XLOOKUP(Hours_Sum[[#This Row],[Pay Due]],Dates_Ref[QCH due],Dates_Ref[Start],"",0)</f>
        <v>45397</v>
      </c>
      <c r="D42" s="5">
        <f>Hours_Sum[[#This Row],[PP Start]]+13</f>
        <v>45410</v>
      </c>
      <c r="E42">
        <f>SUM(Hours_Sum[[#This Row],[Reg Hrs]],Hours_Sum[[#This Row],[1.5x OT Hrs]],Hours_Sum[[#This Row],[2x OT Hrs]])</f>
        <v>0</v>
      </c>
      <c r="F42">
        <f>SUMIFS(Shift_Track[Reg
Hrs],Shift_Track[Pay Period],Hours_Sum[[#This Row],[Pay Due]])</f>
        <v>0</v>
      </c>
      <c r="G42">
        <f>SUMIFS(Shift_Track[1.5x OT
Hrs],Shift_Track[Pay Period],Hours_Sum[[#This Row],[Pay Due]])</f>
        <v>0</v>
      </c>
      <c r="H42">
        <f>SUMIFS(Shift_Track[2x OT
Hrs],Shift_Track[Pay Period],Hours_Sum[[#This Row],[Pay Due]])</f>
        <v>0</v>
      </c>
      <c r="I42">
        <f>SUM(Hours_Sum[[#This Row],[Reg Hrs]],1.5*Hours_Sum[[#This Row],[1.5x OT Hrs]],2*Hours_Sum[[#This Row],[2x OT Hrs]])</f>
        <v>0</v>
      </c>
      <c r="J42">
        <f>Hours_Sum[[#This Row],[Tot Hrs
(Converted)]]*22</f>
        <v>0</v>
      </c>
      <c r="K42">
        <f>YEAR(Hours_Sum[[#This Row],[Pay Due]])</f>
        <v>2024</v>
      </c>
      <c r="L42" t="str">
        <f>TEXT(Hours_Sum[[#This Row],[Pay Due]],"MMMM")</f>
        <v>May</v>
      </c>
    </row>
    <row r="43" spans="2:12" x14ac:dyDescent="0.25">
      <c r="B43" s="39">
        <v>45429</v>
      </c>
      <c r="C43" s="5">
        <f>_xlfn.XLOOKUP(Hours_Sum[[#This Row],[Pay Due]],Dates_Ref[QCH due],Dates_Ref[Start],"",0)</f>
        <v>45411</v>
      </c>
      <c r="D43" s="5">
        <f>Hours_Sum[[#This Row],[PP Start]]+13</f>
        <v>45424</v>
      </c>
      <c r="E43">
        <f>SUM(Hours_Sum[[#This Row],[Reg Hrs]],Hours_Sum[[#This Row],[1.5x OT Hrs]],Hours_Sum[[#This Row],[2x OT Hrs]])</f>
        <v>0</v>
      </c>
      <c r="F43">
        <f>SUMIFS(Shift_Track[Reg
Hrs],Shift_Track[Pay Period],Hours_Sum[[#This Row],[Pay Due]])</f>
        <v>0</v>
      </c>
      <c r="G43">
        <f>SUMIFS(Shift_Track[1.5x OT
Hrs],Shift_Track[Pay Period],Hours_Sum[[#This Row],[Pay Due]])</f>
        <v>0</v>
      </c>
      <c r="H43">
        <f>SUMIFS(Shift_Track[2x OT
Hrs],Shift_Track[Pay Period],Hours_Sum[[#This Row],[Pay Due]])</f>
        <v>0</v>
      </c>
      <c r="I43">
        <f>SUM(Hours_Sum[[#This Row],[Reg Hrs]],1.5*Hours_Sum[[#This Row],[1.5x OT Hrs]],2*Hours_Sum[[#This Row],[2x OT Hrs]])</f>
        <v>0</v>
      </c>
      <c r="J43">
        <f>Hours_Sum[[#This Row],[Tot Hrs
(Converted)]]*22</f>
        <v>0</v>
      </c>
      <c r="K43">
        <f>YEAR(Hours_Sum[[#This Row],[Pay Due]])</f>
        <v>2024</v>
      </c>
      <c r="L43" t="str">
        <f>TEXT(Hours_Sum[[#This Row],[Pay Due]],"MMMM")</f>
        <v>May</v>
      </c>
    </row>
    <row r="44" spans="2:12" x14ac:dyDescent="0.25">
      <c r="B44" s="39">
        <v>45443</v>
      </c>
      <c r="C44" s="5">
        <f>_xlfn.XLOOKUP(Hours_Sum[[#This Row],[Pay Due]],Dates_Ref[QCH due],Dates_Ref[Start],"",0)</f>
        <v>45425</v>
      </c>
      <c r="D44" s="5">
        <f>Hours_Sum[[#This Row],[PP Start]]+13</f>
        <v>45438</v>
      </c>
      <c r="E44">
        <f>SUM(Hours_Sum[[#This Row],[Reg Hrs]],Hours_Sum[[#This Row],[1.5x OT Hrs]],Hours_Sum[[#This Row],[2x OT Hrs]])</f>
        <v>0</v>
      </c>
      <c r="F44">
        <f>SUMIFS(Shift_Track[Reg
Hrs],Shift_Track[Pay Period],Hours_Sum[[#This Row],[Pay Due]])</f>
        <v>0</v>
      </c>
      <c r="G44">
        <f>SUMIFS(Shift_Track[1.5x OT
Hrs],Shift_Track[Pay Period],Hours_Sum[[#This Row],[Pay Due]])</f>
        <v>0</v>
      </c>
      <c r="H44">
        <f>SUMIFS(Shift_Track[2x OT
Hrs],Shift_Track[Pay Period],Hours_Sum[[#This Row],[Pay Due]])</f>
        <v>0</v>
      </c>
      <c r="I44">
        <f>SUM(Hours_Sum[[#This Row],[Reg Hrs]],1.5*Hours_Sum[[#This Row],[1.5x OT Hrs]],2*Hours_Sum[[#This Row],[2x OT Hrs]])</f>
        <v>0</v>
      </c>
      <c r="J44">
        <f>Hours_Sum[[#This Row],[Tot Hrs
(Converted)]]*22</f>
        <v>0</v>
      </c>
      <c r="K44">
        <f>YEAR(Hours_Sum[[#This Row],[Pay Due]])</f>
        <v>2024</v>
      </c>
      <c r="L44" t="str">
        <f>TEXT(Hours_Sum[[#This Row],[Pay Due]],"MMMM")</f>
        <v>May</v>
      </c>
    </row>
    <row r="45" spans="2:12" x14ac:dyDescent="0.25">
      <c r="B45" s="39">
        <v>45457</v>
      </c>
      <c r="C45" s="5">
        <f>_xlfn.XLOOKUP(Hours_Sum[[#This Row],[Pay Due]],Dates_Ref[QCH due],Dates_Ref[Start],"",0)</f>
        <v>45439</v>
      </c>
      <c r="D45" s="5">
        <f>Hours_Sum[[#This Row],[PP Start]]+13</f>
        <v>45452</v>
      </c>
      <c r="E45">
        <f>SUM(Hours_Sum[[#This Row],[Reg Hrs]],Hours_Sum[[#This Row],[1.5x OT Hrs]],Hours_Sum[[#This Row],[2x OT Hrs]])</f>
        <v>0</v>
      </c>
      <c r="F45">
        <f>SUMIFS(Shift_Track[Reg
Hrs],Shift_Track[Pay Period],Hours_Sum[[#This Row],[Pay Due]])</f>
        <v>0</v>
      </c>
      <c r="G45">
        <f>SUMIFS(Shift_Track[1.5x OT
Hrs],Shift_Track[Pay Period],Hours_Sum[[#This Row],[Pay Due]])</f>
        <v>0</v>
      </c>
      <c r="H45">
        <f>SUMIFS(Shift_Track[2x OT
Hrs],Shift_Track[Pay Period],Hours_Sum[[#This Row],[Pay Due]])</f>
        <v>0</v>
      </c>
      <c r="I45">
        <f>SUM(Hours_Sum[[#This Row],[Reg Hrs]],1.5*Hours_Sum[[#This Row],[1.5x OT Hrs]],2*Hours_Sum[[#This Row],[2x OT Hrs]])</f>
        <v>0</v>
      </c>
      <c r="J45">
        <f>Hours_Sum[[#This Row],[Tot Hrs
(Converted)]]*22</f>
        <v>0</v>
      </c>
      <c r="K45">
        <f>YEAR(Hours_Sum[[#This Row],[Pay Due]])</f>
        <v>2024</v>
      </c>
      <c r="L45" t="str">
        <f>TEXT(Hours_Sum[[#This Row],[Pay Due]],"MMMM")</f>
        <v>June</v>
      </c>
    </row>
    <row r="46" spans="2:12" x14ac:dyDescent="0.25">
      <c r="B46" s="39">
        <v>45471</v>
      </c>
      <c r="C46" s="5">
        <f>_xlfn.XLOOKUP(Hours_Sum[[#This Row],[Pay Due]],Dates_Ref[QCH due],Dates_Ref[Start],"",0)</f>
        <v>45453</v>
      </c>
      <c r="D46" s="5">
        <f>Hours_Sum[[#This Row],[PP Start]]+13</f>
        <v>45466</v>
      </c>
      <c r="E46">
        <f>SUM(Hours_Sum[[#This Row],[Reg Hrs]],Hours_Sum[[#This Row],[1.5x OT Hrs]],Hours_Sum[[#This Row],[2x OT Hrs]])</f>
        <v>0</v>
      </c>
      <c r="F46">
        <f>SUMIFS(Shift_Track[Reg
Hrs],Shift_Track[Pay Period],Hours_Sum[[#This Row],[Pay Due]])</f>
        <v>0</v>
      </c>
      <c r="G46">
        <f>SUMIFS(Shift_Track[1.5x OT
Hrs],Shift_Track[Pay Period],Hours_Sum[[#This Row],[Pay Due]])</f>
        <v>0</v>
      </c>
      <c r="H46">
        <f>SUMIFS(Shift_Track[2x OT
Hrs],Shift_Track[Pay Period],Hours_Sum[[#This Row],[Pay Due]])</f>
        <v>0</v>
      </c>
      <c r="I46">
        <f>SUM(Hours_Sum[[#This Row],[Reg Hrs]],1.5*Hours_Sum[[#This Row],[1.5x OT Hrs]],2*Hours_Sum[[#This Row],[2x OT Hrs]])</f>
        <v>0</v>
      </c>
      <c r="J46">
        <f>Hours_Sum[[#This Row],[Tot Hrs
(Converted)]]*22</f>
        <v>0</v>
      </c>
      <c r="K46">
        <f>YEAR(Hours_Sum[[#This Row],[Pay Due]])</f>
        <v>2024</v>
      </c>
      <c r="L46" t="str">
        <f>TEXT(Hours_Sum[[#This Row],[Pay Due]],"MMMM")</f>
        <v>June</v>
      </c>
    </row>
    <row r="47" spans="2:12" x14ac:dyDescent="0.25">
      <c r="B47" s="39">
        <v>45485</v>
      </c>
      <c r="C47" s="5">
        <f>_xlfn.XLOOKUP(Hours_Sum[[#This Row],[Pay Due]],Dates_Ref[QCH due],Dates_Ref[Start],"",0)</f>
        <v>45467</v>
      </c>
      <c r="D47" s="5">
        <f>Hours_Sum[[#This Row],[PP Start]]+13</f>
        <v>45480</v>
      </c>
      <c r="E47">
        <f>SUM(Hours_Sum[[#This Row],[Reg Hrs]],Hours_Sum[[#This Row],[1.5x OT Hrs]],Hours_Sum[[#This Row],[2x OT Hrs]])</f>
        <v>0</v>
      </c>
      <c r="F47">
        <f>SUMIFS(Shift_Track[Reg
Hrs],Shift_Track[Pay Period],Hours_Sum[[#This Row],[Pay Due]])</f>
        <v>0</v>
      </c>
      <c r="G47">
        <f>SUMIFS(Shift_Track[1.5x OT
Hrs],Shift_Track[Pay Period],Hours_Sum[[#This Row],[Pay Due]])</f>
        <v>0</v>
      </c>
      <c r="H47">
        <f>SUMIFS(Shift_Track[2x OT
Hrs],Shift_Track[Pay Period],Hours_Sum[[#This Row],[Pay Due]])</f>
        <v>0</v>
      </c>
      <c r="I47">
        <f>SUM(Hours_Sum[[#This Row],[Reg Hrs]],1.5*Hours_Sum[[#This Row],[1.5x OT Hrs]],2*Hours_Sum[[#This Row],[2x OT Hrs]])</f>
        <v>0</v>
      </c>
      <c r="J47">
        <f>Hours_Sum[[#This Row],[Tot Hrs
(Converted)]]*22</f>
        <v>0</v>
      </c>
      <c r="K47">
        <f>YEAR(Hours_Sum[[#This Row],[Pay Due]])</f>
        <v>2024</v>
      </c>
      <c r="L47" t="str">
        <f>TEXT(Hours_Sum[[#This Row],[Pay Due]],"MMMM")</f>
        <v>July</v>
      </c>
    </row>
    <row r="48" spans="2:12" x14ac:dyDescent="0.25">
      <c r="B48" s="39">
        <v>45499</v>
      </c>
      <c r="C48" s="5">
        <f>_xlfn.XLOOKUP(Hours_Sum[[#This Row],[Pay Due]],Dates_Ref[QCH due],Dates_Ref[Start],"",0)</f>
        <v>45481</v>
      </c>
      <c r="D48" s="5">
        <f>Hours_Sum[[#This Row],[PP Start]]+13</f>
        <v>45494</v>
      </c>
      <c r="E48">
        <f>SUM(Hours_Sum[[#This Row],[Reg Hrs]],Hours_Sum[[#This Row],[1.5x OT Hrs]],Hours_Sum[[#This Row],[2x OT Hrs]])</f>
        <v>0</v>
      </c>
      <c r="F48">
        <f>SUMIFS(Shift_Track[Reg
Hrs],Shift_Track[Pay Period],Hours_Sum[[#This Row],[Pay Due]])</f>
        <v>0</v>
      </c>
      <c r="G48">
        <f>SUMIFS(Shift_Track[1.5x OT
Hrs],Shift_Track[Pay Period],Hours_Sum[[#This Row],[Pay Due]])</f>
        <v>0</v>
      </c>
      <c r="H48">
        <f>SUMIFS(Shift_Track[2x OT
Hrs],Shift_Track[Pay Period],Hours_Sum[[#This Row],[Pay Due]])</f>
        <v>0</v>
      </c>
      <c r="I48">
        <f>SUM(Hours_Sum[[#This Row],[Reg Hrs]],1.5*Hours_Sum[[#This Row],[1.5x OT Hrs]],2*Hours_Sum[[#This Row],[2x OT Hrs]])</f>
        <v>0</v>
      </c>
      <c r="J48">
        <f>Hours_Sum[[#This Row],[Tot Hrs
(Converted)]]*22</f>
        <v>0</v>
      </c>
      <c r="K48">
        <f>YEAR(Hours_Sum[[#This Row],[Pay Due]])</f>
        <v>2024</v>
      </c>
      <c r="L48" t="str">
        <f>TEXT(Hours_Sum[[#This Row],[Pay Due]],"MMMM")</f>
        <v>July</v>
      </c>
    </row>
    <row r="49" spans="2:12" x14ac:dyDescent="0.25">
      <c r="B49" s="39">
        <v>45513</v>
      </c>
      <c r="C49" s="5">
        <f>_xlfn.XLOOKUP(Hours_Sum[[#This Row],[Pay Due]],Dates_Ref[QCH due],Dates_Ref[Start],"",0)</f>
        <v>45495</v>
      </c>
      <c r="D49" s="5">
        <f>Hours_Sum[[#This Row],[PP Start]]+13</f>
        <v>45508</v>
      </c>
      <c r="E49">
        <f>SUM(Hours_Sum[[#This Row],[Reg Hrs]],Hours_Sum[[#This Row],[1.5x OT Hrs]],Hours_Sum[[#This Row],[2x OT Hrs]])</f>
        <v>0</v>
      </c>
      <c r="F49">
        <f>SUMIFS(Shift_Track[Reg
Hrs],Shift_Track[Pay Period],Hours_Sum[[#This Row],[Pay Due]])</f>
        <v>0</v>
      </c>
      <c r="G49">
        <f>SUMIFS(Shift_Track[1.5x OT
Hrs],Shift_Track[Pay Period],Hours_Sum[[#This Row],[Pay Due]])</f>
        <v>0</v>
      </c>
      <c r="H49">
        <f>SUMIFS(Shift_Track[2x OT
Hrs],Shift_Track[Pay Period],Hours_Sum[[#This Row],[Pay Due]])</f>
        <v>0</v>
      </c>
      <c r="I49">
        <f>SUM(Hours_Sum[[#This Row],[Reg Hrs]],1.5*Hours_Sum[[#This Row],[1.5x OT Hrs]],2*Hours_Sum[[#This Row],[2x OT Hrs]])</f>
        <v>0</v>
      </c>
      <c r="J49">
        <f>Hours_Sum[[#This Row],[Tot Hrs
(Converted)]]*22</f>
        <v>0</v>
      </c>
      <c r="K49">
        <f>YEAR(Hours_Sum[[#This Row],[Pay Due]])</f>
        <v>2024</v>
      </c>
      <c r="L49" t="str">
        <f>TEXT(Hours_Sum[[#This Row],[Pay Due]],"MMMM")</f>
        <v>August</v>
      </c>
    </row>
    <row r="50" spans="2:12" x14ac:dyDescent="0.25">
      <c r="B50" s="39">
        <v>45527</v>
      </c>
      <c r="C50" s="5">
        <f>_xlfn.XLOOKUP(Hours_Sum[[#This Row],[Pay Due]],Dates_Ref[QCH due],Dates_Ref[Start],"",0)</f>
        <v>45509</v>
      </c>
      <c r="D50" s="5">
        <f>Hours_Sum[[#This Row],[PP Start]]+13</f>
        <v>45522</v>
      </c>
      <c r="E50">
        <f>SUM(Hours_Sum[[#This Row],[Reg Hrs]],Hours_Sum[[#This Row],[1.5x OT Hrs]],Hours_Sum[[#This Row],[2x OT Hrs]])</f>
        <v>0</v>
      </c>
      <c r="F50">
        <f>SUMIFS(Shift_Track[Reg
Hrs],Shift_Track[Pay Period],Hours_Sum[[#This Row],[Pay Due]])</f>
        <v>0</v>
      </c>
      <c r="G50">
        <f>SUMIFS(Shift_Track[1.5x OT
Hrs],Shift_Track[Pay Period],Hours_Sum[[#This Row],[Pay Due]])</f>
        <v>0</v>
      </c>
      <c r="H50">
        <f>SUMIFS(Shift_Track[2x OT
Hrs],Shift_Track[Pay Period],Hours_Sum[[#This Row],[Pay Due]])</f>
        <v>0</v>
      </c>
      <c r="I50">
        <f>SUM(Hours_Sum[[#This Row],[Reg Hrs]],1.5*Hours_Sum[[#This Row],[1.5x OT Hrs]],2*Hours_Sum[[#This Row],[2x OT Hrs]])</f>
        <v>0</v>
      </c>
      <c r="J50">
        <f>Hours_Sum[[#This Row],[Tot Hrs
(Converted)]]*22</f>
        <v>0</v>
      </c>
      <c r="K50">
        <f>YEAR(Hours_Sum[[#This Row],[Pay Due]])</f>
        <v>2024</v>
      </c>
      <c r="L50" t="str">
        <f>TEXT(Hours_Sum[[#This Row],[Pay Due]],"MMMM")</f>
        <v>August</v>
      </c>
    </row>
    <row r="51" spans="2:12" x14ac:dyDescent="0.25">
      <c r="B51" s="39">
        <v>45541</v>
      </c>
      <c r="C51" s="5">
        <f>_xlfn.XLOOKUP(Hours_Sum[[#This Row],[Pay Due]],Dates_Ref[QCH due],Dates_Ref[Start],"",0)</f>
        <v>45523</v>
      </c>
      <c r="D51" s="5">
        <f>Hours_Sum[[#This Row],[PP Start]]+13</f>
        <v>45536</v>
      </c>
      <c r="E51">
        <f>SUM(Hours_Sum[[#This Row],[Reg Hrs]],Hours_Sum[[#This Row],[1.5x OT Hrs]],Hours_Sum[[#This Row],[2x OT Hrs]])</f>
        <v>0</v>
      </c>
      <c r="F51">
        <f>SUMIFS(Shift_Track[Reg
Hrs],Shift_Track[Pay Period],Hours_Sum[[#This Row],[Pay Due]])</f>
        <v>0</v>
      </c>
      <c r="G51">
        <f>SUMIFS(Shift_Track[1.5x OT
Hrs],Shift_Track[Pay Period],Hours_Sum[[#This Row],[Pay Due]])</f>
        <v>0</v>
      </c>
      <c r="H51">
        <f>SUMIFS(Shift_Track[2x OT
Hrs],Shift_Track[Pay Period],Hours_Sum[[#This Row],[Pay Due]])</f>
        <v>0</v>
      </c>
      <c r="I51">
        <f>SUM(Hours_Sum[[#This Row],[Reg Hrs]],1.5*Hours_Sum[[#This Row],[1.5x OT Hrs]],2*Hours_Sum[[#This Row],[2x OT Hrs]])</f>
        <v>0</v>
      </c>
      <c r="J51">
        <f>Hours_Sum[[#This Row],[Tot Hrs
(Converted)]]*22</f>
        <v>0</v>
      </c>
      <c r="K51">
        <f>YEAR(Hours_Sum[[#This Row],[Pay Due]])</f>
        <v>2024</v>
      </c>
      <c r="L51" t="str">
        <f>TEXT(Hours_Sum[[#This Row],[Pay Due]],"MMMM")</f>
        <v>September</v>
      </c>
    </row>
    <row r="52" spans="2:12" x14ac:dyDescent="0.25">
      <c r="B52" s="39">
        <v>45555</v>
      </c>
      <c r="C52" s="5">
        <f>_xlfn.XLOOKUP(Hours_Sum[[#This Row],[Pay Due]],Dates_Ref[QCH due],Dates_Ref[Start],"",0)</f>
        <v>45537</v>
      </c>
      <c r="D52" s="5">
        <f>Hours_Sum[[#This Row],[PP Start]]+13</f>
        <v>45550</v>
      </c>
      <c r="E52">
        <f>SUM(Hours_Sum[[#This Row],[Reg Hrs]],Hours_Sum[[#This Row],[1.5x OT Hrs]],Hours_Sum[[#This Row],[2x OT Hrs]])</f>
        <v>0</v>
      </c>
      <c r="F52">
        <f>SUMIFS(Shift_Track[Reg
Hrs],Shift_Track[Pay Period],Hours_Sum[[#This Row],[Pay Due]])</f>
        <v>0</v>
      </c>
      <c r="G52">
        <f>SUMIFS(Shift_Track[1.5x OT
Hrs],Shift_Track[Pay Period],Hours_Sum[[#This Row],[Pay Due]])</f>
        <v>0</v>
      </c>
      <c r="H52">
        <f>SUMIFS(Shift_Track[2x OT
Hrs],Shift_Track[Pay Period],Hours_Sum[[#This Row],[Pay Due]])</f>
        <v>0</v>
      </c>
      <c r="I52">
        <f>SUM(Hours_Sum[[#This Row],[Reg Hrs]],1.5*Hours_Sum[[#This Row],[1.5x OT Hrs]],2*Hours_Sum[[#This Row],[2x OT Hrs]])</f>
        <v>0</v>
      </c>
      <c r="J52">
        <f>Hours_Sum[[#This Row],[Tot Hrs
(Converted)]]*22</f>
        <v>0</v>
      </c>
      <c r="K52">
        <f>YEAR(Hours_Sum[[#This Row],[Pay Due]])</f>
        <v>2024</v>
      </c>
      <c r="L52" t="str">
        <f>TEXT(Hours_Sum[[#This Row],[Pay Due]],"MMMM")</f>
        <v>September</v>
      </c>
    </row>
    <row r="53" spans="2:12" x14ac:dyDescent="0.25">
      <c r="B53" s="39">
        <v>45569</v>
      </c>
      <c r="C53" s="5">
        <f>_xlfn.XLOOKUP(Hours_Sum[[#This Row],[Pay Due]],Dates_Ref[QCH due],Dates_Ref[Start],"",0)</f>
        <v>45551</v>
      </c>
      <c r="D53" s="5">
        <f>Hours_Sum[[#This Row],[PP Start]]+13</f>
        <v>45564</v>
      </c>
      <c r="E53">
        <f>SUM(Hours_Sum[[#This Row],[Reg Hrs]],Hours_Sum[[#This Row],[1.5x OT Hrs]],Hours_Sum[[#This Row],[2x OT Hrs]])</f>
        <v>0</v>
      </c>
      <c r="F53">
        <f>SUMIFS(Shift_Track[Reg
Hrs],Shift_Track[Pay Period],Hours_Sum[[#This Row],[Pay Due]])</f>
        <v>0</v>
      </c>
      <c r="G53">
        <f>SUMIFS(Shift_Track[1.5x OT
Hrs],Shift_Track[Pay Period],Hours_Sum[[#This Row],[Pay Due]])</f>
        <v>0</v>
      </c>
      <c r="H53">
        <f>SUMIFS(Shift_Track[2x OT
Hrs],Shift_Track[Pay Period],Hours_Sum[[#This Row],[Pay Due]])</f>
        <v>0</v>
      </c>
      <c r="I53">
        <f>SUM(Hours_Sum[[#This Row],[Reg Hrs]],1.5*Hours_Sum[[#This Row],[1.5x OT Hrs]],2*Hours_Sum[[#This Row],[2x OT Hrs]])</f>
        <v>0</v>
      </c>
      <c r="J53">
        <f>Hours_Sum[[#This Row],[Tot Hrs
(Converted)]]*22</f>
        <v>0</v>
      </c>
      <c r="K53">
        <f>YEAR(Hours_Sum[[#This Row],[Pay Due]])</f>
        <v>2024</v>
      </c>
      <c r="L53" t="str">
        <f>TEXT(Hours_Sum[[#This Row],[Pay Due]],"MMMM")</f>
        <v>October</v>
      </c>
    </row>
    <row r="54" spans="2:12" x14ac:dyDescent="0.25">
      <c r="B54" s="39">
        <v>45583</v>
      </c>
      <c r="C54" s="5">
        <f>_xlfn.XLOOKUP(Hours_Sum[[#This Row],[Pay Due]],Dates_Ref[QCH due],Dates_Ref[Start],"",0)</f>
        <v>45565</v>
      </c>
      <c r="D54" s="5">
        <f>Hours_Sum[[#This Row],[PP Start]]+13</f>
        <v>45578</v>
      </c>
      <c r="E54">
        <f>SUM(Hours_Sum[[#This Row],[Reg Hrs]],Hours_Sum[[#This Row],[1.5x OT Hrs]],Hours_Sum[[#This Row],[2x OT Hrs]])</f>
        <v>0</v>
      </c>
      <c r="F54">
        <f>SUMIFS(Shift_Track[Reg
Hrs],Shift_Track[Pay Period],Hours_Sum[[#This Row],[Pay Due]])</f>
        <v>0</v>
      </c>
      <c r="G54">
        <f>SUMIFS(Shift_Track[1.5x OT
Hrs],Shift_Track[Pay Period],Hours_Sum[[#This Row],[Pay Due]])</f>
        <v>0</v>
      </c>
      <c r="H54">
        <f>SUMIFS(Shift_Track[2x OT
Hrs],Shift_Track[Pay Period],Hours_Sum[[#This Row],[Pay Due]])</f>
        <v>0</v>
      </c>
      <c r="I54">
        <f>SUM(Hours_Sum[[#This Row],[Reg Hrs]],1.5*Hours_Sum[[#This Row],[1.5x OT Hrs]],2*Hours_Sum[[#This Row],[2x OT Hrs]])</f>
        <v>0</v>
      </c>
      <c r="J54">
        <f>Hours_Sum[[#This Row],[Tot Hrs
(Converted)]]*22</f>
        <v>0</v>
      </c>
      <c r="K54">
        <f>YEAR(Hours_Sum[[#This Row],[Pay Due]])</f>
        <v>2024</v>
      </c>
      <c r="L54" t="str">
        <f>TEXT(Hours_Sum[[#This Row],[Pay Due]],"MMMM")</f>
        <v>October</v>
      </c>
    </row>
    <row r="55" spans="2:12" x14ac:dyDescent="0.25">
      <c r="B55" s="39">
        <v>45597</v>
      </c>
      <c r="C55" s="5">
        <f>_xlfn.XLOOKUP(Hours_Sum[[#This Row],[Pay Due]],Dates_Ref[QCH due],Dates_Ref[Start],"",0)</f>
        <v>45579</v>
      </c>
      <c r="D55" s="5">
        <f>Hours_Sum[[#This Row],[PP Start]]+13</f>
        <v>45592</v>
      </c>
      <c r="E55">
        <f>SUM(Hours_Sum[[#This Row],[Reg Hrs]],Hours_Sum[[#This Row],[1.5x OT Hrs]],Hours_Sum[[#This Row],[2x OT Hrs]])</f>
        <v>0</v>
      </c>
      <c r="F55">
        <f>SUMIFS(Shift_Track[Reg
Hrs],Shift_Track[Pay Period],Hours_Sum[[#This Row],[Pay Due]])</f>
        <v>0</v>
      </c>
      <c r="G55">
        <f>SUMIFS(Shift_Track[1.5x OT
Hrs],Shift_Track[Pay Period],Hours_Sum[[#This Row],[Pay Due]])</f>
        <v>0</v>
      </c>
      <c r="H55">
        <f>SUMIFS(Shift_Track[2x OT
Hrs],Shift_Track[Pay Period],Hours_Sum[[#This Row],[Pay Due]])</f>
        <v>0</v>
      </c>
      <c r="I55">
        <f>SUM(Hours_Sum[[#This Row],[Reg Hrs]],1.5*Hours_Sum[[#This Row],[1.5x OT Hrs]],2*Hours_Sum[[#This Row],[2x OT Hrs]])</f>
        <v>0</v>
      </c>
      <c r="J55">
        <f>Hours_Sum[[#This Row],[Tot Hrs
(Converted)]]*22</f>
        <v>0</v>
      </c>
      <c r="K55">
        <f>YEAR(Hours_Sum[[#This Row],[Pay Due]])</f>
        <v>2024</v>
      </c>
      <c r="L55" t="str">
        <f>TEXT(Hours_Sum[[#This Row],[Pay Due]],"MMMM")</f>
        <v>November</v>
      </c>
    </row>
    <row r="56" spans="2:12" x14ac:dyDescent="0.25">
      <c r="B56" s="39">
        <v>45611</v>
      </c>
      <c r="C56" s="5">
        <f>_xlfn.XLOOKUP(Hours_Sum[[#This Row],[Pay Due]],Dates_Ref[QCH due],Dates_Ref[Start],"",0)</f>
        <v>45593</v>
      </c>
      <c r="D56" s="5">
        <f>Hours_Sum[[#This Row],[PP Start]]+13</f>
        <v>45606</v>
      </c>
      <c r="E56">
        <f>SUM(Hours_Sum[[#This Row],[Reg Hrs]],Hours_Sum[[#This Row],[1.5x OT Hrs]],Hours_Sum[[#This Row],[2x OT Hrs]])</f>
        <v>0</v>
      </c>
      <c r="F56">
        <f>SUMIFS(Shift_Track[Reg
Hrs],Shift_Track[Pay Period],Hours_Sum[[#This Row],[Pay Due]])</f>
        <v>0</v>
      </c>
      <c r="G56">
        <f>SUMIFS(Shift_Track[1.5x OT
Hrs],Shift_Track[Pay Period],Hours_Sum[[#This Row],[Pay Due]])</f>
        <v>0</v>
      </c>
      <c r="H56">
        <f>SUMIFS(Shift_Track[2x OT
Hrs],Shift_Track[Pay Period],Hours_Sum[[#This Row],[Pay Due]])</f>
        <v>0</v>
      </c>
      <c r="I56">
        <f>SUM(Hours_Sum[[#This Row],[Reg Hrs]],1.5*Hours_Sum[[#This Row],[1.5x OT Hrs]],2*Hours_Sum[[#This Row],[2x OT Hrs]])</f>
        <v>0</v>
      </c>
      <c r="J56">
        <f>Hours_Sum[[#This Row],[Tot Hrs
(Converted)]]*22</f>
        <v>0</v>
      </c>
      <c r="K56">
        <f>YEAR(Hours_Sum[[#This Row],[Pay Due]])</f>
        <v>2024</v>
      </c>
      <c r="L56" t="str">
        <f>TEXT(Hours_Sum[[#This Row],[Pay Due]],"MMMM")</f>
        <v>November</v>
      </c>
    </row>
    <row r="57" spans="2:12" x14ac:dyDescent="0.25">
      <c r="B57" s="39">
        <v>45625</v>
      </c>
      <c r="C57" s="5">
        <f>_xlfn.XLOOKUP(Hours_Sum[[#This Row],[Pay Due]],Dates_Ref[QCH due],Dates_Ref[Start],"",0)</f>
        <v>45607</v>
      </c>
      <c r="D57" s="5">
        <f>Hours_Sum[[#This Row],[PP Start]]+13</f>
        <v>45620</v>
      </c>
      <c r="E57">
        <f>SUM(Hours_Sum[[#This Row],[Reg Hrs]],Hours_Sum[[#This Row],[1.5x OT Hrs]],Hours_Sum[[#This Row],[2x OT Hrs]])</f>
        <v>0</v>
      </c>
      <c r="F57">
        <f>SUMIFS(Shift_Track[Reg
Hrs],Shift_Track[Pay Period],Hours_Sum[[#This Row],[Pay Due]])</f>
        <v>0</v>
      </c>
      <c r="G57">
        <f>SUMIFS(Shift_Track[1.5x OT
Hrs],Shift_Track[Pay Period],Hours_Sum[[#This Row],[Pay Due]])</f>
        <v>0</v>
      </c>
      <c r="H57">
        <f>SUMIFS(Shift_Track[2x OT
Hrs],Shift_Track[Pay Period],Hours_Sum[[#This Row],[Pay Due]])</f>
        <v>0</v>
      </c>
      <c r="I57">
        <f>SUM(Hours_Sum[[#This Row],[Reg Hrs]],1.5*Hours_Sum[[#This Row],[1.5x OT Hrs]],2*Hours_Sum[[#This Row],[2x OT Hrs]])</f>
        <v>0</v>
      </c>
      <c r="J57">
        <f>Hours_Sum[[#This Row],[Tot Hrs
(Converted)]]*22</f>
        <v>0</v>
      </c>
      <c r="K57">
        <f>YEAR(Hours_Sum[[#This Row],[Pay Due]])</f>
        <v>2024</v>
      </c>
      <c r="L57" t="str">
        <f>TEXT(Hours_Sum[[#This Row],[Pay Due]],"MMMM")</f>
        <v>November</v>
      </c>
    </row>
    <row r="58" spans="2:12" x14ac:dyDescent="0.25">
      <c r="B58" s="39">
        <v>45639</v>
      </c>
      <c r="C58" s="5">
        <f>_xlfn.XLOOKUP(Hours_Sum[[#This Row],[Pay Due]],Dates_Ref[QCH due],Dates_Ref[Start],"",0)</f>
        <v>45621</v>
      </c>
      <c r="D58" s="5">
        <f>Hours_Sum[[#This Row],[PP Start]]+13</f>
        <v>45634</v>
      </c>
      <c r="E58">
        <f>SUM(Hours_Sum[[#This Row],[Reg Hrs]],Hours_Sum[[#This Row],[1.5x OT Hrs]],Hours_Sum[[#This Row],[2x OT Hrs]])</f>
        <v>0</v>
      </c>
      <c r="F58">
        <f>SUMIFS(Shift_Track[Reg
Hrs],Shift_Track[Pay Period],Hours_Sum[[#This Row],[Pay Due]])</f>
        <v>0</v>
      </c>
      <c r="G58">
        <f>SUMIFS(Shift_Track[1.5x OT
Hrs],Shift_Track[Pay Period],Hours_Sum[[#This Row],[Pay Due]])</f>
        <v>0</v>
      </c>
      <c r="H58">
        <f>SUMIFS(Shift_Track[2x OT
Hrs],Shift_Track[Pay Period],Hours_Sum[[#This Row],[Pay Due]])</f>
        <v>0</v>
      </c>
      <c r="I58">
        <f>SUM(Hours_Sum[[#This Row],[Reg Hrs]],1.5*Hours_Sum[[#This Row],[1.5x OT Hrs]],2*Hours_Sum[[#This Row],[2x OT Hrs]])</f>
        <v>0</v>
      </c>
      <c r="J58">
        <f>Hours_Sum[[#This Row],[Tot Hrs
(Converted)]]*22</f>
        <v>0</v>
      </c>
      <c r="K58">
        <f>YEAR(Hours_Sum[[#This Row],[Pay Due]])</f>
        <v>2024</v>
      </c>
      <c r="L58" t="str">
        <f>TEXT(Hours_Sum[[#This Row],[Pay Due]],"MMMM")</f>
        <v>December</v>
      </c>
    </row>
    <row r="59" spans="2:12" x14ac:dyDescent="0.25">
      <c r="B59" s="39">
        <v>45653</v>
      </c>
      <c r="C59" s="5">
        <f>_xlfn.XLOOKUP(Hours_Sum[[#This Row],[Pay Due]],Dates_Ref[QCH due],Dates_Ref[Start],"",0)</f>
        <v>45635</v>
      </c>
      <c r="D59" s="5">
        <f>Hours_Sum[[#This Row],[PP Start]]+13</f>
        <v>45648</v>
      </c>
      <c r="E59">
        <f>SUM(Hours_Sum[[#This Row],[Reg Hrs]],Hours_Sum[[#This Row],[1.5x OT Hrs]],Hours_Sum[[#This Row],[2x OT Hrs]])</f>
        <v>0</v>
      </c>
      <c r="F59">
        <f>SUMIFS(Shift_Track[Reg
Hrs],Shift_Track[Pay Period],Hours_Sum[[#This Row],[Pay Due]])</f>
        <v>0</v>
      </c>
      <c r="G59">
        <f>SUMIFS(Shift_Track[1.5x OT
Hrs],Shift_Track[Pay Period],Hours_Sum[[#This Row],[Pay Due]])</f>
        <v>0</v>
      </c>
      <c r="H59">
        <f>SUMIFS(Shift_Track[2x OT
Hrs],Shift_Track[Pay Period],Hours_Sum[[#This Row],[Pay Due]])</f>
        <v>0</v>
      </c>
      <c r="I59">
        <f>SUM(Hours_Sum[[#This Row],[Reg Hrs]],1.5*Hours_Sum[[#This Row],[1.5x OT Hrs]],2*Hours_Sum[[#This Row],[2x OT Hrs]])</f>
        <v>0</v>
      </c>
      <c r="J59">
        <f>Hours_Sum[[#This Row],[Tot Hrs
(Converted)]]*22</f>
        <v>0</v>
      </c>
      <c r="K59">
        <f>YEAR(Hours_Sum[[#This Row],[Pay Due]])</f>
        <v>2024</v>
      </c>
      <c r="L59" t="str">
        <f>TEXT(Hours_Sum[[#This Row],[Pay Due]],"MMMM")</f>
        <v>December</v>
      </c>
    </row>
    <row r="60" spans="2:12" x14ac:dyDescent="0.25">
      <c r="B60" s="39">
        <v>45667</v>
      </c>
      <c r="C60" s="5">
        <f>_xlfn.XLOOKUP(Hours_Sum[[#This Row],[Pay Due]],Dates_Ref[QCH due],Dates_Ref[Start],"",0)</f>
        <v>45649</v>
      </c>
      <c r="D60" s="5">
        <f>Hours_Sum[[#This Row],[PP Start]]+13</f>
        <v>45662</v>
      </c>
      <c r="E60">
        <f>SUM(Hours_Sum[[#This Row],[Reg Hrs]],Hours_Sum[[#This Row],[1.5x OT Hrs]],Hours_Sum[[#This Row],[2x OT Hrs]])</f>
        <v>0</v>
      </c>
      <c r="F60">
        <f>SUMIFS(Shift_Track[Reg
Hrs],Shift_Track[Pay Period],Hours_Sum[[#This Row],[Pay Due]])</f>
        <v>0</v>
      </c>
      <c r="G60">
        <f>SUMIFS(Shift_Track[1.5x OT
Hrs],Shift_Track[Pay Period],Hours_Sum[[#This Row],[Pay Due]])</f>
        <v>0</v>
      </c>
      <c r="H60">
        <f>SUMIFS(Shift_Track[2x OT
Hrs],Shift_Track[Pay Period],Hours_Sum[[#This Row],[Pay Due]])</f>
        <v>0</v>
      </c>
      <c r="I60">
        <f>SUM(Hours_Sum[[#This Row],[Reg Hrs]],1.5*Hours_Sum[[#This Row],[1.5x OT Hrs]],2*Hours_Sum[[#This Row],[2x OT Hrs]])</f>
        <v>0</v>
      </c>
      <c r="J60">
        <f>Hours_Sum[[#This Row],[Tot Hrs
(Converted)]]*22</f>
        <v>0</v>
      </c>
      <c r="K60">
        <f>YEAR(Hours_Sum[[#This Row],[Pay Due]])</f>
        <v>2025</v>
      </c>
      <c r="L60" t="str">
        <f>TEXT(Hours_Sum[[#This Row],[Pay Due]],"MMMM")</f>
        <v>January</v>
      </c>
    </row>
    <row r="61" spans="2:12" x14ac:dyDescent="0.25">
      <c r="B61" s="39">
        <v>45681</v>
      </c>
      <c r="C61" s="5">
        <f>_xlfn.XLOOKUP(Hours_Sum[[#This Row],[Pay Due]],Dates_Ref[QCH due],Dates_Ref[Start],"",0)</f>
        <v>45663</v>
      </c>
      <c r="D61" s="5">
        <f>Hours_Sum[[#This Row],[PP Start]]+13</f>
        <v>45676</v>
      </c>
      <c r="E61">
        <f>SUM(Hours_Sum[[#This Row],[Reg Hrs]],Hours_Sum[[#This Row],[1.5x OT Hrs]],Hours_Sum[[#This Row],[2x OT Hrs]])</f>
        <v>0</v>
      </c>
      <c r="F61">
        <f>SUMIFS(Shift_Track[Reg
Hrs],Shift_Track[Pay Period],Hours_Sum[[#This Row],[Pay Due]])</f>
        <v>0</v>
      </c>
      <c r="G61">
        <f>SUMIFS(Shift_Track[1.5x OT
Hrs],Shift_Track[Pay Period],Hours_Sum[[#This Row],[Pay Due]])</f>
        <v>0</v>
      </c>
      <c r="H61">
        <f>SUMIFS(Shift_Track[2x OT
Hrs],Shift_Track[Pay Period],Hours_Sum[[#This Row],[Pay Due]])</f>
        <v>0</v>
      </c>
      <c r="I61">
        <f>SUM(Hours_Sum[[#This Row],[Reg Hrs]],1.5*Hours_Sum[[#This Row],[1.5x OT Hrs]],2*Hours_Sum[[#This Row],[2x OT Hrs]])</f>
        <v>0</v>
      </c>
      <c r="J61">
        <f>Hours_Sum[[#This Row],[Tot Hrs
(Converted)]]*22</f>
        <v>0</v>
      </c>
      <c r="K61">
        <f>YEAR(Hours_Sum[[#This Row],[Pay Due]])</f>
        <v>2025</v>
      </c>
      <c r="L61" t="str">
        <f>TEXT(Hours_Sum[[#This Row],[Pay Due]],"MMMM")</f>
        <v>January</v>
      </c>
    </row>
    <row r="62" spans="2:12" x14ac:dyDescent="0.25">
      <c r="B62" s="39">
        <v>45695</v>
      </c>
      <c r="C62" s="5">
        <f>_xlfn.XLOOKUP(Hours_Sum[[#This Row],[Pay Due]],Dates_Ref[QCH due],Dates_Ref[Start],"",0)</f>
        <v>45677</v>
      </c>
      <c r="D62" s="5">
        <f>Hours_Sum[[#This Row],[PP Start]]+13</f>
        <v>45690</v>
      </c>
      <c r="E62">
        <f>SUM(Hours_Sum[[#This Row],[Reg Hrs]],Hours_Sum[[#This Row],[1.5x OT Hrs]],Hours_Sum[[#This Row],[2x OT Hrs]])</f>
        <v>0</v>
      </c>
      <c r="F62">
        <f>SUMIFS(Shift_Track[Reg
Hrs],Shift_Track[Pay Period],Hours_Sum[[#This Row],[Pay Due]])</f>
        <v>0</v>
      </c>
      <c r="G62">
        <f>SUMIFS(Shift_Track[1.5x OT
Hrs],Shift_Track[Pay Period],Hours_Sum[[#This Row],[Pay Due]])</f>
        <v>0</v>
      </c>
      <c r="H62">
        <f>SUMIFS(Shift_Track[2x OT
Hrs],Shift_Track[Pay Period],Hours_Sum[[#This Row],[Pay Due]])</f>
        <v>0</v>
      </c>
      <c r="I62">
        <f>SUM(Hours_Sum[[#This Row],[Reg Hrs]],1.5*Hours_Sum[[#This Row],[1.5x OT Hrs]],2*Hours_Sum[[#This Row],[2x OT Hrs]])</f>
        <v>0</v>
      </c>
      <c r="J62">
        <f>Hours_Sum[[#This Row],[Tot Hrs
(Converted)]]*22</f>
        <v>0</v>
      </c>
      <c r="K62">
        <f>YEAR(Hours_Sum[[#This Row],[Pay Due]])</f>
        <v>2025</v>
      </c>
      <c r="L62" t="str">
        <f>TEXT(Hours_Sum[[#This Row],[Pay Due]],"MMMM")</f>
        <v>February</v>
      </c>
    </row>
    <row r="63" spans="2:12" x14ac:dyDescent="0.25">
      <c r="B63" s="39">
        <v>45709</v>
      </c>
      <c r="C63" s="5">
        <f>_xlfn.XLOOKUP(Hours_Sum[[#This Row],[Pay Due]],Dates_Ref[QCH due],Dates_Ref[Start],"",0)</f>
        <v>45691</v>
      </c>
      <c r="D63" s="5">
        <f>Hours_Sum[[#This Row],[PP Start]]+13</f>
        <v>45704</v>
      </c>
      <c r="E63">
        <f>SUM(Hours_Sum[[#This Row],[Reg Hrs]],Hours_Sum[[#This Row],[1.5x OT Hrs]],Hours_Sum[[#This Row],[2x OT Hrs]])</f>
        <v>0</v>
      </c>
      <c r="F63">
        <f>SUMIFS(Shift_Track[Reg
Hrs],Shift_Track[Pay Period],Hours_Sum[[#This Row],[Pay Due]])</f>
        <v>0</v>
      </c>
      <c r="G63">
        <f>SUMIFS(Shift_Track[1.5x OT
Hrs],Shift_Track[Pay Period],Hours_Sum[[#This Row],[Pay Due]])</f>
        <v>0</v>
      </c>
      <c r="H63">
        <f>SUMIFS(Shift_Track[2x OT
Hrs],Shift_Track[Pay Period],Hours_Sum[[#This Row],[Pay Due]])</f>
        <v>0</v>
      </c>
      <c r="I63">
        <f>SUM(Hours_Sum[[#This Row],[Reg Hrs]],1.5*Hours_Sum[[#This Row],[1.5x OT Hrs]],2*Hours_Sum[[#This Row],[2x OT Hrs]])</f>
        <v>0</v>
      </c>
      <c r="J63">
        <f>Hours_Sum[[#This Row],[Tot Hrs
(Converted)]]*22</f>
        <v>0</v>
      </c>
      <c r="K63">
        <f>YEAR(Hours_Sum[[#This Row],[Pay Due]])</f>
        <v>2025</v>
      </c>
      <c r="L63" t="str">
        <f>TEXT(Hours_Sum[[#This Row],[Pay Due]],"MMMM")</f>
        <v>February</v>
      </c>
    </row>
    <row r="64" spans="2:12" x14ac:dyDescent="0.25">
      <c r="B64" s="39">
        <v>45723</v>
      </c>
      <c r="C64" s="5">
        <f>_xlfn.XLOOKUP(Hours_Sum[[#This Row],[Pay Due]],Dates_Ref[QCH due],Dates_Ref[Start],"",0)</f>
        <v>45705</v>
      </c>
      <c r="D64" s="5">
        <f>Hours_Sum[[#This Row],[PP Start]]+13</f>
        <v>45718</v>
      </c>
      <c r="E64">
        <f>SUM(Hours_Sum[[#This Row],[Reg Hrs]],Hours_Sum[[#This Row],[1.5x OT Hrs]],Hours_Sum[[#This Row],[2x OT Hrs]])</f>
        <v>0</v>
      </c>
      <c r="F64">
        <f>SUMIFS(Shift_Track[Reg
Hrs],Shift_Track[Pay Period],Hours_Sum[[#This Row],[Pay Due]])</f>
        <v>0</v>
      </c>
      <c r="G64">
        <f>SUMIFS(Shift_Track[1.5x OT
Hrs],Shift_Track[Pay Period],Hours_Sum[[#This Row],[Pay Due]])</f>
        <v>0</v>
      </c>
      <c r="H64">
        <f>SUMIFS(Shift_Track[2x OT
Hrs],Shift_Track[Pay Period],Hours_Sum[[#This Row],[Pay Due]])</f>
        <v>0</v>
      </c>
      <c r="I64">
        <f>SUM(Hours_Sum[[#This Row],[Reg Hrs]],1.5*Hours_Sum[[#This Row],[1.5x OT Hrs]],2*Hours_Sum[[#This Row],[2x OT Hrs]])</f>
        <v>0</v>
      </c>
      <c r="J64">
        <f>Hours_Sum[[#This Row],[Tot Hrs
(Converted)]]*22</f>
        <v>0</v>
      </c>
      <c r="K64">
        <f>YEAR(Hours_Sum[[#This Row],[Pay Due]])</f>
        <v>2025</v>
      </c>
      <c r="L64" t="str">
        <f>TEXT(Hours_Sum[[#This Row],[Pay Due]],"MMMM")</f>
        <v>March</v>
      </c>
    </row>
    <row r="65" spans="2:12" x14ac:dyDescent="0.25">
      <c r="B65" s="39">
        <v>45737</v>
      </c>
      <c r="C65" s="5">
        <f>_xlfn.XLOOKUP(Hours_Sum[[#This Row],[Pay Due]],Dates_Ref[QCH due],Dates_Ref[Start],"",0)</f>
        <v>45719</v>
      </c>
      <c r="D65" s="5">
        <f>Hours_Sum[[#This Row],[PP Start]]+13</f>
        <v>45732</v>
      </c>
      <c r="E65">
        <f>SUM(Hours_Sum[[#This Row],[Reg Hrs]],Hours_Sum[[#This Row],[1.5x OT Hrs]],Hours_Sum[[#This Row],[2x OT Hrs]])</f>
        <v>0</v>
      </c>
      <c r="F65">
        <f>SUMIFS(Shift_Track[Reg
Hrs],Shift_Track[Pay Period],Hours_Sum[[#This Row],[Pay Due]])</f>
        <v>0</v>
      </c>
      <c r="G65">
        <f>SUMIFS(Shift_Track[1.5x OT
Hrs],Shift_Track[Pay Period],Hours_Sum[[#This Row],[Pay Due]])</f>
        <v>0</v>
      </c>
      <c r="H65">
        <f>SUMIFS(Shift_Track[2x OT
Hrs],Shift_Track[Pay Period],Hours_Sum[[#This Row],[Pay Due]])</f>
        <v>0</v>
      </c>
      <c r="I65">
        <f>SUM(Hours_Sum[[#This Row],[Reg Hrs]],1.5*Hours_Sum[[#This Row],[1.5x OT Hrs]],2*Hours_Sum[[#This Row],[2x OT Hrs]])</f>
        <v>0</v>
      </c>
      <c r="J65">
        <f>Hours_Sum[[#This Row],[Tot Hrs
(Converted)]]*22</f>
        <v>0</v>
      </c>
      <c r="K65">
        <f>YEAR(Hours_Sum[[#This Row],[Pay Due]])</f>
        <v>2025</v>
      </c>
      <c r="L65" t="str">
        <f>TEXT(Hours_Sum[[#This Row],[Pay Due]],"MMMM")</f>
        <v>March</v>
      </c>
    </row>
    <row r="66" spans="2:12" x14ac:dyDescent="0.25">
      <c r="B66" s="39">
        <v>45751</v>
      </c>
      <c r="C66" s="5">
        <f>_xlfn.XLOOKUP(Hours_Sum[[#This Row],[Pay Due]],Dates_Ref[QCH due],Dates_Ref[Start],"",0)</f>
        <v>45733</v>
      </c>
      <c r="D66" s="5">
        <f>Hours_Sum[[#This Row],[PP Start]]+13</f>
        <v>45746</v>
      </c>
      <c r="E66">
        <f>SUM(Hours_Sum[[#This Row],[Reg Hrs]],Hours_Sum[[#This Row],[1.5x OT Hrs]],Hours_Sum[[#This Row],[2x OT Hrs]])</f>
        <v>0</v>
      </c>
      <c r="F66">
        <f>SUMIFS(Shift_Track[Reg
Hrs],Shift_Track[Pay Period],Hours_Sum[[#This Row],[Pay Due]])</f>
        <v>0</v>
      </c>
      <c r="G66">
        <f>SUMIFS(Shift_Track[1.5x OT
Hrs],Shift_Track[Pay Period],Hours_Sum[[#This Row],[Pay Due]])</f>
        <v>0</v>
      </c>
      <c r="H66">
        <f>SUMIFS(Shift_Track[2x OT
Hrs],Shift_Track[Pay Period],Hours_Sum[[#This Row],[Pay Due]])</f>
        <v>0</v>
      </c>
      <c r="I66">
        <f>SUM(Hours_Sum[[#This Row],[Reg Hrs]],1.5*Hours_Sum[[#This Row],[1.5x OT Hrs]],2*Hours_Sum[[#This Row],[2x OT Hrs]])</f>
        <v>0</v>
      </c>
      <c r="J66">
        <f>Hours_Sum[[#This Row],[Tot Hrs
(Converted)]]*22</f>
        <v>0</v>
      </c>
      <c r="K66">
        <f>YEAR(Hours_Sum[[#This Row],[Pay Due]])</f>
        <v>2025</v>
      </c>
      <c r="L66" t="str">
        <f>TEXT(Hours_Sum[[#This Row],[Pay Due]],"MMMM")</f>
        <v>April</v>
      </c>
    </row>
    <row r="67" spans="2:12" x14ac:dyDescent="0.25">
      <c r="B67" s="39">
        <v>45765</v>
      </c>
      <c r="C67" s="5">
        <f>_xlfn.XLOOKUP(Hours_Sum[[#This Row],[Pay Due]],Dates_Ref[QCH due],Dates_Ref[Start],"",0)</f>
        <v>45747</v>
      </c>
      <c r="D67" s="5">
        <f>Hours_Sum[[#This Row],[PP Start]]+13</f>
        <v>45760</v>
      </c>
      <c r="E67">
        <f>SUM(Hours_Sum[[#This Row],[Reg Hrs]],Hours_Sum[[#This Row],[1.5x OT Hrs]],Hours_Sum[[#This Row],[2x OT Hrs]])</f>
        <v>0</v>
      </c>
      <c r="F67">
        <f>SUMIFS(Shift_Track[Reg
Hrs],Shift_Track[Pay Period],Hours_Sum[[#This Row],[Pay Due]])</f>
        <v>0</v>
      </c>
      <c r="G67">
        <f>SUMIFS(Shift_Track[1.5x OT
Hrs],Shift_Track[Pay Period],Hours_Sum[[#This Row],[Pay Due]])</f>
        <v>0</v>
      </c>
      <c r="H67">
        <f>SUMIFS(Shift_Track[2x OT
Hrs],Shift_Track[Pay Period],Hours_Sum[[#This Row],[Pay Due]])</f>
        <v>0</v>
      </c>
      <c r="I67">
        <f>SUM(Hours_Sum[[#This Row],[Reg Hrs]],1.5*Hours_Sum[[#This Row],[1.5x OT Hrs]],2*Hours_Sum[[#This Row],[2x OT Hrs]])</f>
        <v>0</v>
      </c>
      <c r="J67">
        <f>Hours_Sum[[#This Row],[Tot Hrs
(Converted)]]*22</f>
        <v>0</v>
      </c>
      <c r="K67">
        <f>YEAR(Hours_Sum[[#This Row],[Pay Due]])</f>
        <v>2025</v>
      </c>
      <c r="L67" t="str">
        <f>TEXT(Hours_Sum[[#This Row],[Pay Due]],"MMMM")</f>
        <v>April</v>
      </c>
    </row>
    <row r="68" spans="2:12" x14ac:dyDescent="0.25">
      <c r="B68" s="39">
        <v>45779</v>
      </c>
      <c r="C68" s="5">
        <f>_xlfn.XLOOKUP(Hours_Sum[[#This Row],[Pay Due]],Dates_Ref[QCH due],Dates_Ref[Start],"",0)</f>
        <v>45761</v>
      </c>
      <c r="D68" s="5">
        <f>Hours_Sum[[#This Row],[PP Start]]+13</f>
        <v>45774</v>
      </c>
      <c r="E68">
        <f>SUM(Hours_Sum[[#This Row],[Reg Hrs]],Hours_Sum[[#This Row],[1.5x OT Hrs]],Hours_Sum[[#This Row],[2x OT Hrs]])</f>
        <v>0</v>
      </c>
      <c r="F68">
        <f>SUMIFS(Shift_Track[Reg
Hrs],Shift_Track[Pay Period],Hours_Sum[[#This Row],[Pay Due]])</f>
        <v>0</v>
      </c>
      <c r="G68">
        <f>SUMIFS(Shift_Track[1.5x OT
Hrs],Shift_Track[Pay Period],Hours_Sum[[#This Row],[Pay Due]])</f>
        <v>0</v>
      </c>
      <c r="H68">
        <f>SUMIFS(Shift_Track[2x OT
Hrs],Shift_Track[Pay Period],Hours_Sum[[#This Row],[Pay Due]])</f>
        <v>0</v>
      </c>
      <c r="I68">
        <f>SUM(Hours_Sum[[#This Row],[Reg Hrs]],1.5*Hours_Sum[[#This Row],[1.5x OT Hrs]],2*Hours_Sum[[#This Row],[2x OT Hrs]])</f>
        <v>0</v>
      </c>
      <c r="J68">
        <f>Hours_Sum[[#This Row],[Tot Hrs
(Converted)]]*22</f>
        <v>0</v>
      </c>
      <c r="K68">
        <f>YEAR(Hours_Sum[[#This Row],[Pay Due]])</f>
        <v>2025</v>
      </c>
      <c r="L68" t="str">
        <f>TEXT(Hours_Sum[[#This Row],[Pay Due]],"MMMM")</f>
        <v>May</v>
      </c>
    </row>
    <row r="69" spans="2:12" x14ac:dyDescent="0.25">
      <c r="B69" s="39">
        <v>45793</v>
      </c>
      <c r="C69" s="5">
        <f>_xlfn.XLOOKUP(Hours_Sum[[#This Row],[Pay Due]],Dates_Ref[QCH due],Dates_Ref[Start],"",0)</f>
        <v>45775</v>
      </c>
      <c r="D69" s="5">
        <f>Hours_Sum[[#This Row],[PP Start]]+13</f>
        <v>45788</v>
      </c>
      <c r="E69">
        <f>SUM(Hours_Sum[[#This Row],[Reg Hrs]],Hours_Sum[[#This Row],[1.5x OT Hrs]],Hours_Sum[[#This Row],[2x OT Hrs]])</f>
        <v>0</v>
      </c>
      <c r="F69">
        <f>SUMIFS(Shift_Track[Reg
Hrs],Shift_Track[Pay Period],Hours_Sum[[#This Row],[Pay Due]])</f>
        <v>0</v>
      </c>
      <c r="G69">
        <f>SUMIFS(Shift_Track[1.5x OT
Hrs],Shift_Track[Pay Period],Hours_Sum[[#This Row],[Pay Due]])</f>
        <v>0</v>
      </c>
      <c r="H69">
        <f>SUMIFS(Shift_Track[2x OT
Hrs],Shift_Track[Pay Period],Hours_Sum[[#This Row],[Pay Due]])</f>
        <v>0</v>
      </c>
      <c r="I69">
        <f>SUM(Hours_Sum[[#This Row],[Reg Hrs]],1.5*Hours_Sum[[#This Row],[1.5x OT Hrs]],2*Hours_Sum[[#This Row],[2x OT Hrs]])</f>
        <v>0</v>
      </c>
      <c r="J69">
        <f>Hours_Sum[[#This Row],[Tot Hrs
(Converted)]]*22</f>
        <v>0</v>
      </c>
      <c r="K69">
        <f>YEAR(Hours_Sum[[#This Row],[Pay Due]])</f>
        <v>2025</v>
      </c>
      <c r="L69" t="str">
        <f>TEXT(Hours_Sum[[#This Row],[Pay Due]],"MMMM")</f>
        <v>May</v>
      </c>
    </row>
    <row r="70" spans="2:12" x14ac:dyDescent="0.25">
      <c r="B70" s="39">
        <v>45807</v>
      </c>
      <c r="C70" s="5">
        <f>_xlfn.XLOOKUP(Hours_Sum[[#This Row],[Pay Due]],Dates_Ref[QCH due],Dates_Ref[Start],"",0)</f>
        <v>45789</v>
      </c>
      <c r="D70" s="5">
        <f>Hours_Sum[[#This Row],[PP Start]]+13</f>
        <v>45802</v>
      </c>
      <c r="E70">
        <f>SUM(Hours_Sum[[#This Row],[Reg Hrs]],Hours_Sum[[#This Row],[1.5x OT Hrs]],Hours_Sum[[#This Row],[2x OT Hrs]])</f>
        <v>0</v>
      </c>
      <c r="F70">
        <f>SUMIFS(Shift_Track[Reg
Hrs],Shift_Track[Pay Period],Hours_Sum[[#This Row],[Pay Due]])</f>
        <v>0</v>
      </c>
      <c r="G70">
        <f>SUMIFS(Shift_Track[1.5x OT
Hrs],Shift_Track[Pay Period],Hours_Sum[[#This Row],[Pay Due]])</f>
        <v>0</v>
      </c>
      <c r="H70">
        <f>SUMIFS(Shift_Track[2x OT
Hrs],Shift_Track[Pay Period],Hours_Sum[[#This Row],[Pay Due]])</f>
        <v>0</v>
      </c>
      <c r="I70">
        <f>SUM(Hours_Sum[[#This Row],[Reg Hrs]],1.5*Hours_Sum[[#This Row],[1.5x OT Hrs]],2*Hours_Sum[[#This Row],[2x OT Hrs]])</f>
        <v>0</v>
      </c>
      <c r="J70">
        <f>Hours_Sum[[#This Row],[Tot Hrs
(Converted)]]*22</f>
        <v>0</v>
      </c>
      <c r="K70">
        <f>YEAR(Hours_Sum[[#This Row],[Pay Due]])</f>
        <v>2025</v>
      </c>
      <c r="L70" t="str">
        <f>TEXT(Hours_Sum[[#This Row],[Pay Due]],"MMMM")</f>
        <v>May</v>
      </c>
    </row>
    <row r="71" spans="2:12" x14ac:dyDescent="0.25">
      <c r="B71" s="39">
        <v>45821</v>
      </c>
      <c r="C71" s="5">
        <f>_xlfn.XLOOKUP(Hours_Sum[[#This Row],[Pay Due]],Dates_Ref[QCH due],Dates_Ref[Start],"",0)</f>
        <v>45803</v>
      </c>
      <c r="D71" s="5">
        <f>Hours_Sum[[#This Row],[PP Start]]+13</f>
        <v>45816</v>
      </c>
      <c r="E71">
        <f>SUM(Hours_Sum[[#This Row],[Reg Hrs]],Hours_Sum[[#This Row],[1.5x OT Hrs]],Hours_Sum[[#This Row],[2x OT Hrs]])</f>
        <v>0</v>
      </c>
      <c r="F71">
        <f>SUMIFS(Shift_Track[Reg
Hrs],Shift_Track[Pay Period],Hours_Sum[[#This Row],[Pay Due]])</f>
        <v>0</v>
      </c>
      <c r="G71">
        <f>SUMIFS(Shift_Track[1.5x OT
Hrs],Shift_Track[Pay Period],Hours_Sum[[#This Row],[Pay Due]])</f>
        <v>0</v>
      </c>
      <c r="H71">
        <f>SUMIFS(Shift_Track[2x OT
Hrs],Shift_Track[Pay Period],Hours_Sum[[#This Row],[Pay Due]])</f>
        <v>0</v>
      </c>
      <c r="I71">
        <f>SUM(Hours_Sum[[#This Row],[Reg Hrs]],1.5*Hours_Sum[[#This Row],[1.5x OT Hrs]],2*Hours_Sum[[#This Row],[2x OT Hrs]])</f>
        <v>0</v>
      </c>
      <c r="J71">
        <f>Hours_Sum[[#This Row],[Tot Hrs
(Converted)]]*22</f>
        <v>0</v>
      </c>
      <c r="K71">
        <f>YEAR(Hours_Sum[[#This Row],[Pay Due]])</f>
        <v>2025</v>
      </c>
      <c r="L71" t="str">
        <f>TEXT(Hours_Sum[[#This Row],[Pay Due]],"MMMM")</f>
        <v>June</v>
      </c>
    </row>
    <row r="72" spans="2:12" x14ac:dyDescent="0.25">
      <c r="B72" s="39">
        <v>45835</v>
      </c>
      <c r="C72" s="5">
        <f>_xlfn.XLOOKUP(Hours_Sum[[#This Row],[Pay Due]],Dates_Ref[QCH due],Dates_Ref[Start],"",0)</f>
        <v>45817</v>
      </c>
      <c r="D72" s="5">
        <f>Hours_Sum[[#This Row],[PP Start]]+13</f>
        <v>45830</v>
      </c>
      <c r="E72">
        <f>SUM(Hours_Sum[[#This Row],[Reg Hrs]],Hours_Sum[[#This Row],[1.5x OT Hrs]],Hours_Sum[[#This Row],[2x OT Hrs]])</f>
        <v>0</v>
      </c>
      <c r="F72">
        <f>SUMIFS(Shift_Track[Reg
Hrs],Shift_Track[Pay Period],Hours_Sum[[#This Row],[Pay Due]])</f>
        <v>0</v>
      </c>
      <c r="G72">
        <f>SUMIFS(Shift_Track[1.5x OT
Hrs],Shift_Track[Pay Period],Hours_Sum[[#This Row],[Pay Due]])</f>
        <v>0</v>
      </c>
      <c r="H72">
        <f>SUMIFS(Shift_Track[2x OT
Hrs],Shift_Track[Pay Period],Hours_Sum[[#This Row],[Pay Due]])</f>
        <v>0</v>
      </c>
      <c r="I72">
        <f>SUM(Hours_Sum[[#This Row],[Reg Hrs]],1.5*Hours_Sum[[#This Row],[1.5x OT Hrs]],2*Hours_Sum[[#This Row],[2x OT Hrs]])</f>
        <v>0</v>
      </c>
      <c r="J72">
        <f>Hours_Sum[[#This Row],[Tot Hrs
(Converted)]]*22</f>
        <v>0</v>
      </c>
      <c r="K72">
        <f>YEAR(Hours_Sum[[#This Row],[Pay Due]])</f>
        <v>2025</v>
      </c>
      <c r="L72" t="str">
        <f>TEXT(Hours_Sum[[#This Row],[Pay Due]],"MMMM")</f>
        <v>June</v>
      </c>
    </row>
    <row r="73" spans="2:12" x14ac:dyDescent="0.25">
      <c r="B73" s="39">
        <v>45849</v>
      </c>
      <c r="C73" s="5">
        <f>_xlfn.XLOOKUP(Hours_Sum[[#This Row],[Pay Due]],Dates_Ref[QCH due],Dates_Ref[Start],"",0)</f>
        <v>45831</v>
      </c>
      <c r="D73" s="5">
        <f>Hours_Sum[[#This Row],[PP Start]]+13</f>
        <v>45844</v>
      </c>
      <c r="E73">
        <f>SUM(Hours_Sum[[#This Row],[Reg Hrs]],Hours_Sum[[#This Row],[1.5x OT Hrs]],Hours_Sum[[#This Row],[2x OT Hrs]])</f>
        <v>0</v>
      </c>
      <c r="F73">
        <f>SUMIFS(Shift_Track[Reg
Hrs],Shift_Track[Pay Period],Hours_Sum[[#This Row],[Pay Due]])</f>
        <v>0</v>
      </c>
      <c r="G73">
        <f>SUMIFS(Shift_Track[1.5x OT
Hrs],Shift_Track[Pay Period],Hours_Sum[[#This Row],[Pay Due]])</f>
        <v>0</v>
      </c>
      <c r="H73">
        <f>SUMIFS(Shift_Track[2x OT
Hrs],Shift_Track[Pay Period],Hours_Sum[[#This Row],[Pay Due]])</f>
        <v>0</v>
      </c>
      <c r="I73">
        <f>SUM(Hours_Sum[[#This Row],[Reg Hrs]],1.5*Hours_Sum[[#This Row],[1.5x OT Hrs]],2*Hours_Sum[[#This Row],[2x OT Hrs]])</f>
        <v>0</v>
      </c>
      <c r="J73">
        <f>Hours_Sum[[#This Row],[Tot Hrs
(Converted)]]*22</f>
        <v>0</v>
      </c>
      <c r="K73">
        <f>YEAR(Hours_Sum[[#This Row],[Pay Due]])</f>
        <v>2025</v>
      </c>
      <c r="L73" t="str">
        <f>TEXT(Hours_Sum[[#This Row],[Pay Due]],"MMMM")</f>
        <v>July</v>
      </c>
    </row>
    <row r="74" spans="2:12" x14ac:dyDescent="0.25">
      <c r="B74" s="39">
        <v>45863</v>
      </c>
      <c r="C74" s="5">
        <f>_xlfn.XLOOKUP(Hours_Sum[[#This Row],[Pay Due]],Dates_Ref[QCH due],Dates_Ref[Start],"",0)</f>
        <v>45845</v>
      </c>
      <c r="D74" s="5">
        <f>Hours_Sum[[#This Row],[PP Start]]+13</f>
        <v>45858</v>
      </c>
      <c r="E74">
        <f>SUM(Hours_Sum[[#This Row],[Reg Hrs]],Hours_Sum[[#This Row],[1.5x OT Hrs]],Hours_Sum[[#This Row],[2x OT Hrs]])</f>
        <v>0</v>
      </c>
      <c r="F74">
        <f>SUMIFS(Shift_Track[Reg
Hrs],Shift_Track[Pay Period],Hours_Sum[[#This Row],[Pay Due]])</f>
        <v>0</v>
      </c>
      <c r="G74">
        <f>SUMIFS(Shift_Track[1.5x OT
Hrs],Shift_Track[Pay Period],Hours_Sum[[#This Row],[Pay Due]])</f>
        <v>0</v>
      </c>
      <c r="H74">
        <f>SUMIFS(Shift_Track[2x OT
Hrs],Shift_Track[Pay Period],Hours_Sum[[#This Row],[Pay Due]])</f>
        <v>0</v>
      </c>
      <c r="I74">
        <f>SUM(Hours_Sum[[#This Row],[Reg Hrs]],1.5*Hours_Sum[[#This Row],[1.5x OT Hrs]],2*Hours_Sum[[#This Row],[2x OT Hrs]])</f>
        <v>0</v>
      </c>
      <c r="J74">
        <f>Hours_Sum[[#This Row],[Tot Hrs
(Converted)]]*22</f>
        <v>0</v>
      </c>
      <c r="K74">
        <f>YEAR(Hours_Sum[[#This Row],[Pay Due]])</f>
        <v>2025</v>
      </c>
      <c r="L74" t="str">
        <f>TEXT(Hours_Sum[[#This Row],[Pay Due]],"MMMM")</f>
        <v>July</v>
      </c>
    </row>
    <row r="75" spans="2:12" x14ac:dyDescent="0.25">
      <c r="B75" s="39">
        <v>45877</v>
      </c>
      <c r="C75" s="5">
        <f>_xlfn.XLOOKUP(Hours_Sum[[#This Row],[Pay Due]],Dates_Ref[QCH due],Dates_Ref[Start],"",0)</f>
        <v>45859</v>
      </c>
      <c r="D75" s="5">
        <f>Hours_Sum[[#This Row],[PP Start]]+13</f>
        <v>45872</v>
      </c>
      <c r="E75">
        <f>SUM(Hours_Sum[[#This Row],[Reg Hrs]],Hours_Sum[[#This Row],[1.5x OT Hrs]],Hours_Sum[[#This Row],[2x OT Hrs]])</f>
        <v>0</v>
      </c>
      <c r="F75">
        <f>SUMIFS(Shift_Track[Reg
Hrs],Shift_Track[Pay Period],Hours_Sum[[#This Row],[Pay Due]])</f>
        <v>0</v>
      </c>
      <c r="G75">
        <f>SUMIFS(Shift_Track[1.5x OT
Hrs],Shift_Track[Pay Period],Hours_Sum[[#This Row],[Pay Due]])</f>
        <v>0</v>
      </c>
      <c r="H75">
        <f>SUMIFS(Shift_Track[2x OT
Hrs],Shift_Track[Pay Period],Hours_Sum[[#This Row],[Pay Due]])</f>
        <v>0</v>
      </c>
      <c r="I75">
        <f>SUM(Hours_Sum[[#This Row],[Reg Hrs]],1.5*Hours_Sum[[#This Row],[1.5x OT Hrs]],2*Hours_Sum[[#This Row],[2x OT Hrs]])</f>
        <v>0</v>
      </c>
      <c r="J75">
        <f>Hours_Sum[[#This Row],[Tot Hrs
(Converted)]]*22</f>
        <v>0</v>
      </c>
      <c r="K75">
        <f>YEAR(Hours_Sum[[#This Row],[Pay Due]])</f>
        <v>2025</v>
      </c>
      <c r="L75" t="str">
        <f>TEXT(Hours_Sum[[#This Row],[Pay Due]],"MMMM")</f>
        <v>August</v>
      </c>
    </row>
    <row r="76" spans="2:12" x14ac:dyDescent="0.25">
      <c r="B76" s="39">
        <v>45891</v>
      </c>
      <c r="C76" s="5">
        <f>_xlfn.XLOOKUP(Hours_Sum[[#This Row],[Pay Due]],Dates_Ref[QCH due],Dates_Ref[Start],"",0)</f>
        <v>45873</v>
      </c>
      <c r="D76" s="5">
        <f>Hours_Sum[[#This Row],[PP Start]]+13</f>
        <v>45886</v>
      </c>
      <c r="E76">
        <f>SUM(Hours_Sum[[#This Row],[Reg Hrs]],Hours_Sum[[#This Row],[1.5x OT Hrs]],Hours_Sum[[#This Row],[2x OT Hrs]])</f>
        <v>0</v>
      </c>
      <c r="F76">
        <f>SUMIFS(Shift_Track[Reg
Hrs],Shift_Track[Pay Period],Hours_Sum[[#This Row],[Pay Due]])</f>
        <v>0</v>
      </c>
      <c r="G76">
        <f>SUMIFS(Shift_Track[1.5x OT
Hrs],Shift_Track[Pay Period],Hours_Sum[[#This Row],[Pay Due]])</f>
        <v>0</v>
      </c>
      <c r="H76">
        <f>SUMIFS(Shift_Track[2x OT
Hrs],Shift_Track[Pay Period],Hours_Sum[[#This Row],[Pay Due]])</f>
        <v>0</v>
      </c>
      <c r="I76">
        <f>SUM(Hours_Sum[[#This Row],[Reg Hrs]],1.5*Hours_Sum[[#This Row],[1.5x OT Hrs]],2*Hours_Sum[[#This Row],[2x OT Hrs]])</f>
        <v>0</v>
      </c>
      <c r="J76">
        <f>Hours_Sum[[#This Row],[Tot Hrs
(Converted)]]*22</f>
        <v>0</v>
      </c>
      <c r="K76">
        <f>YEAR(Hours_Sum[[#This Row],[Pay Due]])</f>
        <v>2025</v>
      </c>
      <c r="L76" t="str">
        <f>TEXT(Hours_Sum[[#This Row],[Pay Due]],"MMMM")</f>
        <v>August</v>
      </c>
    </row>
    <row r="77" spans="2:12" x14ac:dyDescent="0.25">
      <c r="B77" s="39">
        <v>45905</v>
      </c>
      <c r="C77" s="5">
        <f>_xlfn.XLOOKUP(Hours_Sum[[#This Row],[Pay Due]],Dates_Ref[QCH due],Dates_Ref[Start],"",0)</f>
        <v>45887</v>
      </c>
      <c r="D77" s="5">
        <f>Hours_Sum[[#This Row],[PP Start]]+13</f>
        <v>45900</v>
      </c>
      <c r="E77">
        <f>SUM(Hours_Sum[[#This Row],[Reg Hrs]],Hours_Sum[[#This Row],[1.5x OT Hrs]],Hours_Sum[[#This Row],[2x OT Hrs]])</f>
        <v>0</v>
      </c>
      <c r="F77">
        <f>SUMIFS(Shift_Track[Reg
Hrs],Shift_Track[Pay Period],Hours_Sum[[#This Row],[Pay Due]])</f>
        <v>0</v>
      </c>
      <c r="G77">
        <f>SUMIFS(Shift_Track[1.5x OT
Hrs],Shift_Track[Pay Period],Hours_Sum[[#This Row],[Pay Due]])</f>
        <v>0</v>
      </c>
      <c r="H77">
        <f>SUMIFS(Shift_Track[2x OT
Hrs],Shift_Track[Pay Period],Hours_Sum[[#This Row],[Pay Due]])</f>
        <v>0</v>
      </c>
      <c r="I77">
        <f>SUM(Hours_Sum[[#This Row],[Reg Hrs]],1.5*Hours_Sum[[#This Row],[1.5x OT Hrs]],2*Hours_Sum[[#This Row],[2x OT Hrs]])</f>
        <v>0</v>
      </c>
      <c r="J77">
        <f>Hours_Sum[[#This Row],[Tot Hrs
(Converted)]]*22</f>
        <v>0</v>
      </c>
      <c r="K77">
        <f>YEAR(Hours_Sum[[#This Row],[Pay Due]])</f>
        <v>2025</v>
      </c>
      <c r="L77" t="str">
        <f>TEXT(Hours_Sum[[#This Row],[Pay Due]],"MMMM")</f>
        <v>September</v>
      </c>
    </row>
    <row r="78" spans="2:12" x14ac:dyDescent="0.25">
      <c r="B78" s="39">
        <v>45919</v>
      </c>
      <c r="C78" s="5">
        <f>_xlfn.XLOOKUP(Hours_Sum[[#This Row],[Pay Due]],Dates_Ref[QCH due],Dates_Ref[Start],"",0)</f>
        <v>45901</v>
      </c>
      <c r="D78" s="5">
        <f>Hours_Sum[[#This Row],[PP Start]]+13</f>
        <v>45914</v>
      </c>
      <c r="E78">
        <f>SUM(Hours_Sum[[#This Row],[Reg Hrs]],Hours_Sum[[#This Row],[1.5x OT Hrs]],Hours_Sum[[#This Row],[2x OT Hrs]])</f>
        <v>0</v>
      </c>
      <c r="F78">
        <f>SUMIFS(Shift_Track[Reg
Hrs],Shift_Track[Pay Period],Hours_Sum[[#This Row],[Pay Due]])</f>
        <v>0</v>
      </c>
      <c r="G78">
        <f>SUMIFS(Shift_Track[1.5x OT
Hrs],Shift_Track[Pay Period],Hours_Sum[[#This Row],[Pay Due]])</f>
        <v>0</v>
      </c>
      <c r="H78">
        <f>SUMIFS(Shift_Track[2x OT
Hrs],Shift_Track[Pay Period],Hours_Sum[[#This Row],[Pay Due]])</f>
        <v>0</v>
      </c>
      <c r="I78">
        <f>SUM(Hours_Sum[[#This Row],[Reg Hrs]],1.5*Hours_Sum[[#This Row],[1.5x OT Hrs]],2*Hours_Sum[[#This Row],[2x OT Hrs]])</f>
        <v>0</v>
      </c>
      <c r="J78">
        <f>Hours_Sum[[#This Row],[Tot Hrs
(Converted)]]*22</f>
        <v>0</v>
      </c>
      <c r="K78">
        <f>YEAR(Hours_Sum[[#This Row],[Pay Due]])</f>
        <v>2025</v>
      </c>
      <c r="L78" t="str">
        <f>TEXT(Hours_Sum[[#This Row],[Pay Due]],"MMMM")</f>
        <v>September</v>
      </c>
    </row>
    <row r="79" spans="2:12" x14ac:dyDescent="0.25">
      <c r="B79" s="39">
        <v>45933</v>
      </c>
      <c r="C79" s="5">
        <f>_xlfn.XLOOKUP(Hours_Sum[[#This Row],[Pay Due]],Dates_Ref[QCH due],Dates_Ref[Start],"",0)</f>
        <v>45915</v>
      </c>
      <c r="D79" s="5">
        <f>Hours_Sum[[#This Row],[PP Start]]+13</f>
        <v>45928</v>
      </c>
      <c r="E79">
        <f>SUM(Hours_Sum[[#This Row],[Reg Hrs]],Hours_Sum[[#This Row],[1.5x OT Hrs]],Hours_Sum[[#This Row],[2x OT Hrs]])</f>
        <v>0</v>
      </c>
      <c r="F79">
        <f>SUMIFS(Shift_Track[Reg
Hrs],Shift_Track[Pay Period],Hours_Sum[[#This Row],[Pay Due]])</f>
        <v>0</v>
      </c>
      <c r="G79">
        <f>SUMIFS(Shift_Track[1.5x OT
Hrs],Shift_Track[Pay Period],Hours_Sum[[#This Row],[Pay Due]])</f>
        <v>0</v>
      </c>
      <c r="H79">
        <f>SUMIFS(Shift_Track[2x OT
Hrs],Shift_Track[Pay Period],Hours_Sum[[#This Row],[Pay Due]])</f>
        <v>0</v>
      </c>
      <c r="I79">
        <f>SUM(Hours_Sum[[#This Row],[Reg Hrs]],1.5*Hours_Sum[[#This Row],[1.5x OT Hrs]],2*Hours_Sum[[#This Row],[2x OT Hrs]])</f>
        <v>0</v>
      </c>
      <c r="J79">
        <f>Hours_Sum[[#This Row],[Tot Hrs
(Converted)]]*22</f>
        <v>0</v>
      </c>
      <c r="K79">
        <f>YEAR(Hours_Sum[[#This Row],[Pay Due]])</f>
        <v>2025</v>
      </c>
      <c r="L79" t="str">
        <f>TEXT(Hours_Sum[[#This Row],[Pay Due]],"MMMM")</f>
        <v>October</v>
      </c>
    </row>
    <row r="80" spans="2:12" x14ac:dyDescent="0.25">
      <c r="B80" s="39">
        <v>45947</v>
      </c>
      <c r="C80" s="5">
        <f>_xlfn.XLOOKUP(Hours_Sum[[#This Row],[Pay Due]],Dates_Ref[QCH due],Dates_Ref[Start],"",0)</f>
        <v>45929</v>
      </c>
      <c r="D80" s="5">
        <f>Hours_Sum[[#This Row],[PP Start]]+13</f>
        <v>45942</v>
      </c>
      <c r="E80">
        <f>SUM(Hours_Sum[[#This Row],[Reg Hrs]],Hours_Sum[[#This Row],[1.5x OT Hrs]],Hours_Sum[[#This Row],[2x OT Hrs]])</f>
        <v>0</v>
      </c>
      <c r="F80">
        <f>SUMIFS(Shift_Track[Reg
Hrs],Shift_Track[Pay Period],Hours_Sum[[#This Row],[Pay Due]])</f>
        <v>0</v>
      </c>
      <c r="G80">
        <f>SUMIFS(Shift_Track[1.5x OT
Hrs],Shift_Track[Pay Period],Hours_Sum[[#This Row],[Pay Due]])</f>
        <v>0</v>
      </c>
      <c r="H80">
        <f>SUMIFS(Shift_Track[2x OT
Hrs],Shift_Track[Pay Period],Hours_Sum[[#This Row],[Pay Due]])</f>
        <v>0</v>
      </c>
      <c r="I80">
        <f>SUM(Hours_Sum[[#This Row],[Reg Hrs]],1.5*Hours_Sum[[#This Row],[1.5x OT Hrs]],2*Hours_Sum[[#This Row],[2x OT Hrs]])</f>
        <v>0</v>
      </c>
      <c r="J80">
        <f>Hours_Sum[[#This Row],[Tot Hrs
(Converted)]]*22</f>
        <v>0</v>
      </c>
      <c r="K80">
        <f>YEAR(Hours_Sum[[#This Row],[Pay Due]])</f>
        <v>2025</v>
      </c>
      <c r="L80" t="str">
        <f>TEXT(Hours_Sum[[#This Row],[Pay Due]],"MMMM")</f>
        <v>October</v>
      </c>
    </row>
    <row r="81" spans="2:12" x14ac:dyDescent="0.25">
      <c r="B81" s="39">
        <v>45961</v>
      </c>
      <c r="C81" s="5">
        <f>_xlfn.XLOOKUP(Hours_Sum[[#This Row],[Pay Due]],Dates_Ref[QCH due],Dates_Ref[Start],"",0)</f>
        <v>45943</v>
      </c>
      <c r="D81" s="5">
        <f>Hours_Sum[[#This Row],[PP Start]]+13</f>
        <v>45956</v>
      </c>
      <c r="E81">
        <f>SUM(Hours_Sum[[#This Row],[Reg Hrs]],Hours_Sum[[#This Row],[1.5x OT Hrs]],Hours_Sum[[#This Row],[2x OT Hrs]])</f>
        <v>0</v>
      </c>
      <c r="F81">
        <f>SUMIFS(Shift_Track[Reg
Hrs],Shift_Track[Pay Period],Hours_Sum[[#This Row],[Pay Due]])</f>
        <v>0</v>
      </c>
      <c r="G81">
        <f>SUMIFS(Shift_Track[1.5x OT
Hrs],Shift_Track[Pay Period],Hours_Sum[[#This Row],[Pay Due]])</f>
        <v>0</v>
      </c>
      <c r="H81">
        <f>SUMIFS(Shift_Track[2x OT
Hrs],Shift_Track[Pay Period],Hours_Sum[[#This Row],[Pay Due]])</f>
        <v>0</v>
      </c>
      <c r="I81">
        <f>SUM(Hours_Sum[[#This Row],[Reg Hrs]],1.5*Hours_Sum[[#This Row],[1.5x OT Hrs]],2*Hours_Sum[[#This Row],[2x OT Hrs]])</f>
        <v>0</v>
      </c>
      <c r="J81">
        <f>Hours_Sum[[#This Row],[Tot Hrs
(Converted)]]*22</f>
        <v>0</v>
      </c>
      <c r="K81">
        <f>YEAR(Hours_Sum[[#This Row],[Pay Due]])</f>
        <v>2025</v>
      </c>
      <c r="L81" t="str">
        <f>TEXT(Hours_Sum[[#This Row],[Pay Due]],"MMMM")</f>
        <v>October</v>
      </c>
    </row>
    <row r="82" spans="2:12" x14ac:dyDescent="0.25">
      <c r="B82" s="39">
        <v>45975</v>
      </c>
      <c r="C82" s="5">
        <f>_xlfn.XLOOKUP(Hours_Sum[[#This Row],[Pay Due]],Dates_Ref[QCH due],Dates_Ref[Start],"",0)</f>
        <v>45957</v>
      </c>
      <c r="D82" s="5">
        <f>Hours_Sum[[#This Row],[PP Start]]+13</f>
        <v>45970</v>
      </c>
      <c r="E82">
        <f>SUM(Hours_Sum[[#This Row],[Reg Hrs]],Hours_Sum[[#This Row],[1.5x OT Hrs]],Hours_Sum[[#This Row],[2x OT Hrs]])</f>
        <v>0</v>
      </c>
      <c r="F82">
        <f>SUMIFS(Shift_Track[Reg
Hrs],Shift_Track[Pay Period],Hours_Sum[[#This Row],[Pay Due]])</f>
        <v>0</v>
      </c>
      <c r="G82">
        <f>SUMIFS(Shift_Track[1.5x OT
Hrs],Shift_Track[Pay Period],Hours_Sum[[#This Row],[Pay Due]])</f>
        <v>0</v>
      </c>
      <c r="H82">
        <f>SUMIFS(Shift_Track[2x OT
Hrs],Shift_Track[Pay Period],Hours_Sum[[#This Row],[Pay Due]])</f>
        <v>0</v>
      </c>
      <c r="I82">
        <f>SUM(Hours_Sum[[#This Row],[Reg Hrs]],1.5*Hours_Sum[[#This Row],[1.5x OT Hrs]],2*Hours_Sum[[#This Row],[2x OT Hrs]])</f>
        <v>0</v>
      </c>
      <c r="J82">
        <f>Hours_Sum[[#This Row],[Tot Hrs
(Converted)]]*22</f>
        <v>0</v>
      </c>
      <c r="K82">
        <f>YEAR(Hours_Sum[[#This Row],[Pay Due]])</f>
        <v>2025</v>
      </c>
      <c r="L82" t="str">
        <f>TEXT(Hours_Sum[[#This Row],[Pay Due]],"MMMM")</f>
        <v>November</v>
      </c>
    </row>
    <row r="83" spans="2:12" x14ac:dyDescent="0.25">
      <c r="B83" s="39">
        <v>45989</v>
      </c>
      <c r="C83" s="5">
        <f>_xlfn.XLOOKUP(Hours_Sum[[#This Row],[Pay Due]],Dates_Ref[QCH due],Dates_Ref[Start],"",0)</f>
        <v>45971</v>
      </c>
      <c r="D83" s="5">
        <f>Hours_Sum[[#This Row],[PP Start]]+13</f>
        <v>45984</v>
      </c>
      <c r="E83">
        <f>SUM(Hours_Sum[[#This Row],[Reg Hrs]],Hours_Sum[[#This Row],[1.5x OT Hrs]],Hours_Sum[[#This Row],[2x OT Hrs]])</f>
        <v>0</v>
      </c>
      <c r="F83">
        <f>SUMIFS(Shift_Track[Reg
Hrs],Shift_Track[Pay Period],Hours_Sum[[#This Row],[Pay Due]])</f>
        <v>0</v>
      </c>
      <c r="G83">
        <f>SUMIFS(Shift_Track[1.5x OT
Hrs],Shift_Track[Pay Period],Hours_Sum[[#This Row],[Pay Due]])</f>
        <v>0</v>
      </c>
      <c r="H83">
        <f>SUMIFS(Shift_Track[2x OT
Hrs],Shift_Track[Pay Period],Hours_Sum[[#This Row],[Pay Due]])</f>
        <v>0</v>
      </c>
      <c r="I83">
        <f>SUM(Hours_Sum[[#This Row],[Reg Hrs]],1.5*Hours_Sum[[#This Row],[1.5x OT Hrs]],2*Hours_Sum[[#This Row],[2x OT Hrs]])</f>
        <v>0</v>
      </c>
      <c r="J83">
        <f>Hours_Sum[[#This Row],[Tot Hrs
(Converted)]]*22</f>
        <v>0</v>
      </c>
      <c r="K83">
        <f>YEAR(Hours_Sum[[#This Row],[Pay Due]])</f>
        <v>2025</v>
      </c>
      <c r="L83" t="str">
        <f>TEXT(Hours_Sum[[#This Row],[Pay Due]],"MMMM")</f>
        <v>November</v>
      </c>
    </row>
    <row r="84" spans="2:12" x14ac:dyDescent="0.25">
      <c r="B84" s="39">
        <v>46003</v>
      </c>
      <c r="C84" s="5">
        <f>_xlfn.XLOOKUP(Hours_Sum[[#This Row],[Pay Due]],Dates_Ref[QCH due],Dates_Ref[Start],"",0)</f>
        <v>45985</v>
      </c>
      <c r="D84" s="5">
        <f>Hours_Sum[[#This Row],[PP Start]]+13</f>
        <v>45998</v>
      </c>
      <c r="E84">
        <f>SUM(Hours_Sum[[#This Row],[Reg Hrs]],Hours_Sum[[#This Row],[1.5x OT Hrs]],Hours_Sum[[#This Row],[2x OT Hrs]])</f>
        <v>0</v>
      </c>
      <c r="F84">
        <f>SUMIFS(Shift_Track[Reg
Hrs],Shift_Track[Pay Period],Hours_Sum[[#This Row],[Pay Due]])</f>
        <v>0</v>
      </c>
      <c r="G84">
        <f>SUMIFS(Shift_Track[1.5x OT
Hrs],Shift_Track[Pay Period],Hours_Sum[[#This Row],[Pay Due]])</f>
        <v>0</v>
      </c>
      <c r="H84">
        <f>SUMIFS(Shift_Track[2x OT
Hrs],Shift_Track[Pay Period],Hours_Sum[[#This Row],[Pay Due]])</f>
        <v>0</v>
      </c>
      <c r="I84">
        <f>SUM(Hours_Sum[[#This Row],[Reg Hrs]],1.5*Hours_Sum[[#This Row],[1.5x OT Hrs]],2*Hours_Sum[[#This Row],[2x OT Hrs]])</f>
        <v>0</v>
      </c>
      <c r="J84">
        <f>Hours_Sum[[#This Row],[Tot Hrs
(Converted)]]*22</f>
        <v>0</v>
      </c>
      <c r="K84">
        <f>YEAR(Hours_Sum[[#This Row],[Pay Due]])</f>
        <v>2025</v>
      </c>
      <c r="L84" t="str">
        <f>TEXT(Hours_Sum[[#This Row],[Pay Due]],"MMMM")</f>
        <v>December</v>
      </c>
    </row>
    <row r="85" spans="2:12" x14ac:dyDescent="0.25">
      <c r="B85" s="39">
        <v>46017</v>
      </c>
      <c r="C85" s="5">
        <f>_xlfn.XLOOKUP(Hours_Sum[[#This Row],[Pay Due]],Dates_Ref[QCH due],Dates_Ref[Start],"",0)</f>
        <v>45999</v>
      </c>
      <c r="D85" s="5">
        <f>Hours_Sum[[#This Row],[PP Start]]+13</f>
        <v>46012</v>
      </c>
      <c r="E85">
        <f>SUM(Hours_Sum[[#This Row],[Reg Hrs]],Hours_Sum[[#This Row],[1.5x OT Hrs]],Hours_Sum[[#This Row],[2x OT Hrs]])</f>
        <v>0</v>
      </c>
      <c r="F85">
        <f>SUMIFS(Shift_Track[Reg
Hrs],Shift_Track[Pay Period],Hours_Sum[[#This Row],[Pay Due]])</f>
        <v>0</v>
      </c>
      <c r="G85">
        <f>SUMIFS(Shift_Track[1.5x OT
Hrs],Shift_Track[Pay Period],Hours_Sum[[#This Row],[Pay Due]])</f>
        <v>0</v>
      </c>
      <c r="H85">
        <f>SUMIFS(Shift_Track[2x OT
Hrs],Shift_Track[Pay Period],Hours_Sum[[#This Row],[Pay Due]])</f>
        <v>0</v>
      </c>
      <c r="I85">
        <f>SUM(Hours_Sum[[#This Row],[Reg Hrs]],1.5*Hours_Sum[[#This Row],[1.5x OT Hrs]],2*Hours_Sum[[#This Row],[2x OT Hrs]])</f>
        <v>0</v>
      </c>
      <c r="J85">
        <f>Hours_Sum[[#This Row],[Tot Hrs
(Converted)]]*22</f>
        <v>0</v>
      </c>
      <c r="K85">
        <f>YEAR(Hours_Sum[[#This Row],[Pay Due]])</f>
        <v>2025</v>
      </c>
      <c r="L85" t="str">
        <f>TEXT(Hours_Sum[[#This Row],[Pay Due]],"MMMM")</f>
        <v>December</v>
      </c>
    </row>
    <row r="86" spans="2:12" x14ac:dyDescent="0.25">
      <c r="B86" s="39">
        <v>46031</v>
      </c>
      <c r="C86" s="5">
        <f>_xlfn.XLOOKUP(Hours_Sum[[#This Row],[Pay Due]],Dates_Ref[QCH due],Dates_Ref[Start],"",0)</f>
        <v>46013</v>
      </c>
      <c r="D86" s="5">
        <f>Hours_Sum[[#This Row],[PP Start]]+13</f>
        <v>46026</v>
      </c>
      <c r="E86">
        <f>SUM(Hours_Sum[[#This Row],[Reg Hrs]],Hours_Sum[[#This Row],[1.5x OT Hrs]],Hours_Sum[[#This Row],[2x OT Hrs]])</f>
        <v>0</v>
      </c>
      <c r="F86">
        <f>SUMIFS(Shift_Track[Reg
Hrs],Shift_Track[Pay Period],Hours_Sum[[#This Row],[Pay Due]])</f>
        <v>0</v>
      </c>
      <c r="G86">
        <f>SUMIFS(Shift_Track[1.5x OT
Hrs],Shift_Track[Pay Period],Hours_Sum[[#This Row],[Pay Due]])</f>
        <v>0</v>
      </c>
      <c r="H86">
        <f>SUMIFS(Shift_Track[2x OT
Hrs],Shift_Track[Pay Period],Hours_Sum[[#This Row],[Pay Due]])</f>
        <v>0</v>
      </c>
      <c r="I86">
        <f>SUM(Hours_Sum[[#This Row],[Reg Hrs]],1.5*Hours_Sum[[#This Row],[1.5x OT Hrs]],2*Hours_Sum[[#This Row],[2x OT Hrs]])</f>
        <v>0</v>
      </c>
      <c r="J86">
        <f>Hours_Sum[[#This Row],[Tot Hrs
(Converted)]]*22</f>
        <v>0</v>
      </c>
      <c r="K86">
        <f>YEAR(Hours_Sum[[#This Row],[Pay Due]])</f>
        <v>2026</v>
      </c>
      <c r="L86" t="str">
        <f>TEXT(Hours_Sum[[#This Row],[Pay Due]],"MMMM")</f>
        <v>January</v>
      </c>
    </row>
    <row r="87" spans="2:12" x14ac:dyDescent="0.25">
      <c r="B87" s="39">
        <v>46045</v>
      </c>
      <c r="C87" s="5">
        <f>_xlfn.XLOOKUP(Hours_Sum[[#This Row],[Pay Due]],Dates_Ref[QCH due],Dates_Ref[Start],"",0)</f>
        <v>46027</v>
      </c>
      <c r="D87" s="5">
        <f>Hours_Sum[[#This Row],[PP Start]]+13</f>
        <v>46040</v>
      </c>
      <c r="E87">
        <f>SUM(Hours_Sum[[#This Row],[Reg Hrs]],Hours_Sum[[#This Row],[1.5x OT Hrs]],Hours_Sum[[#This Row],[2x OT Hrs]])</f>
        <v>0</v>
      </c>
      <c r="F87">
        <f>SUMIFS(Shift_Track[Reg
Hrs],Shift_Track[Pay Period],Hours_Sum[[#This Row],[Pay Due]])</f>
        <v>0</v>
      </c>
      <c r="G87">
        <f>SUMIFS(Shift_Track[1.5x OT
Hrs],Shift_Track[Pay Period],Hours_Sum[[#This Row],[Pay Due]])</f>
        <v>0</v>
      </c>
      <c r="H87">
        <f>SUMIFS(Shift_Track[2x OT
Hrs],Shift_Track[Pay Period],Hours_Sum[[#This Row],[Pay Due]])</f>
        <v>0</v>
      </c>
      <c r="I87">
        <f>SUM(Hours_Sum[[#This Row],[Reg Hrs]],1.5*Hours_Sum[[#This Row],[1.5x OT Hrs]],2*Hours_Sum[[#This Row],[2x OT Hrs]])</f>
        <v>0</v>
      </c>
      <c r="J87">
        <f>Hours_Sum[[#This Row],[Tot Hrs
(Converted)]]*22</f>
        <v>0</v>
      </c>
      <c r="K87">
        <f>YEAR(Hours_Sum[[#This Row],[Pay Due]])</f>
        <v>2026</v>
      </c>
      <c r="L87" t="str">
        <f>TEXT(Hours_Sum[[#This Row],[Pay Due]],"MMMM")</f>
        <v>January</v>
      </c>
    </row>
    <row r="88" spans="2:12" x14ac:dyDescent="0.25">
      <c r="B88" s="39">
        <v>46059</v>
      </c>
      <c r="C88" s="5">
        <f>_xlfn.XLOOKUP(Hours_Sum[[#This Row],[Pay Due]],Dates_Ref[QCH due],Dates_Ref[Start],"",0)</f>
        <v>46041</v>
      </c>
      <c r="D88" s="5">
        <f>Hours_Sum[[#This Row],[PP Start]]+13</f>
        <v>46054</v>
      </c>
      <c r="E88">
        <f>SUM(Hours_Sum[[#This Row],[Reg Hrs]],Hours_Sum[[#This Row],[1.5x OT Hrs]],Hours_Sum[[#This Row],[2x OT Hrs]])</f>
        <v>0</v>
      </c>
      <c r="F88">
        <f>SUMIFS(Shift_Track[Reg
Hrs],Shift_Track[Pay Period],Hours_Sum[[#This Row],[Pay Due]])</f>
        <v>0</v>
      </c>
      <c r="G88">
        <f>SUMIFS(Shift_Track[1.5x OT
Hrs],Shift_Track[Pay Period],Hours_Sum[[#This Row],[Pay Due]])</f>
        <v>0</v>
      </c>
      <c r="H88">
        <f>SUMIFS(Shift_Track[2x OT
Hrs],Shift_Track[Pay Period],Hours_Sum[[#This Row],[Pay Due]])</f>
        <v>0</v>
      </c>
      <c r="I88">
        <f>SUM(Hours_Sum[[#This Row],[Reg Hrs]],1.5*Hours_Sum[[#This Row],[1.5x OT Hrs]],2*Hours_Sum[[#This Row],[2x OT Hrs]])</f>
        <v>0</v>
      </c>
      <c r="J88">
        <f>Hours_Sum[[#This Row],[Tot Hrs
(Converted)]]*22</f>
        <v>0</v>
      </c>
      <c r="K88">
        <f>YEAR(Hours_Sum[[#This Row],[Pay Due]])</f>
        <v>2026</v>
      </c>
      <c r="L88" t="str">
        <f>TEXT(Hours_Sum[[#This Row],[Pay Due]],"MMMM")</f>
        <v>February</v>
      </c>
    </row>
    <row r="89" spans="2:12" x14ac:dyDescent="0.25">
      <c r="B89" s="39">
        <v>46073</v>
      </c>
      <c r="C89" s="5">
        <f>_xlfn.XLOOKUP(Hours_Sum[[#This Row],[Pay Due]],Dates_Ref[QCH due],Dates_Ref[Start],"",0)</f>
        <v>46055</v>
      </c>
      <c r="D89" s="5">
        <f>Hours_Sum[[#This Row],[PP Start]]+13</f>
        <v>46068</v>
      </c>
      <c r="E89">
        <f>SUM(Hours_Sum[[#This Row],[Reg Hrs]],Hours_Sum[[#This Row],[1.5x OT Hrs]],Hours_Sum[[#This Row],[2x OT Hrs]])</f>
        <v>0</v>
      </c>
      <c r="F89">
        <f>SUMIFS(Shift_Track[Reg
Hrs],Shift_Track[Pay Period],Hours_Sum[[#This Row],[Pay Due]])</f>
        <v>0</v>
      </c>
      <c r="G89">
        <f>SUMIFS(Shift_Track[1.5x OT
Hrs],Shift_Track[Pay Period],Hours_Sum[[#This Row],[Pay Due]])</f>
        <v>0</v>
      </c>
      <c r="H89">
        <f>SUMIFS(Shift_Track[2x OT
Hrs],Shift_Track[Pay Period],Hours_Sum[[#This Row],[Pay Due]])</f>
        <v>0</v>
      </c>
      <c r="I89">
        <f>SUM(Hours_Sum[[#This Row],[Reg Hrs]],1.5*Hours_Sum[[#This Row],[1.5x OT Hrs]],2*Hours_Sum[[#This Row],[2x OT Hrs]])</f>
        <v>0</v>
      </c>
      <c r="J89">
        <f>Hours_Sum[[#This Row],[Tot Hrs
(Converted)]]*22</f>
        <v>0</v>
      </c>
      <c r="K89">
        <f>YEAR(Hours_Sum[[#This Row],[Pay Due]])</f>
        <v>2026</v>
      </c>
      <c r="L89" t="str">
        <f>TEXT(Hours_Sum[[#This Row],[Pay Due]],"MMMM")</f>
        <v>February</v>
      </c>
    </row>
    <row r="90" spans="2:12" x14ac:dyDescent="0.25">
      <c r="B90" s="39">
        <v>46087</v>
      </c>
      <c r="C90" s="5">
        <f>_xlfn.XLOOKUP(Hours_Sum[[#This Row],[Pay Due]],Dates_Ref[QCH due],Dates_Ref[Start],"",0)</f>
        <v>46069</v>
      </c>
      <c r="D90" s="5">
        <f>Hours_Sum[[#This Row],[PP Start]]+13</f>
        <v>46082</v>
      </c>
      <c r="E90">
        <f>SUM(Hours_Sum[[#This Row],[Reg Hrs]],Hours_Sum[[#This Row],[1.5x OT Hrs]],Hours_Sum[[#This Row],[2x OT Hrs]])</f>
        <v>0</v>
      </c>
      <c r="F90">
        <f>SUMIFS(Shift_Track[Reg
Hrs],Shift_Track[Pay Period],Hours_Sum[[#This Row],[Pay Due]])</f>
        <v>0</v>
      </c>
      <c r="G90">
        <f>SUMIFS(Shift_Track[1.5x OT
Hrs],Shift_Track[Pay Period],Hours_Sum[[#This Row],[Pay Due]])</f>
        <v>0</v>
      </c>
      <c r="H90">
        <f>SUMIFS(Shift_Track[2x OT
Hrs],Shift_Track[Pay Period],Hours_Sum[[#This Row],[Pay Due]])</f>
        <v>0</v>
      </c>
      <c r="I90">
        <f>SUM(Hours_Sum[[#This Row],[Reg Hrs]],1.5*Hours_Sum[[#This Row],[1.5x OT Hrs]],2*Hours_Sum[[#This Row],[2x OT Hrs]])</f>
        <v>0</v>
      </c>
      <c r="J90">
        <f>Hours_Sum[[#This Row],[Tot Hrs
(Converted)]]*22</f>
        <v>0</v>
      </c>
      <c r="K90">
        <f>YEAR(Hours_Sum[[#This Row],[Pay Due]])</f>
        <v>2026</v>
      </c>
      <c r="L90" t="str">
        <f>TEXT(Hours_Sum[[#This Row],[Pay Due]],"MMMM")</f>
        <v>March</v>
      </c>
    </row>
    <row r="91" spans="2:12" x14ac:dyDescent="0.25">
      <c r="B91" s="39">
        <v>46101</v>
      </c>
      <c r="C91" s="5">
        <f>_xlfn.XLOOKUP(Hours_Sum[[#This Row],[Pay Due]],Dates_Ref[QCH due],Dates_Ref[Start],"",0)</f>
        <v>46083</v>
      </c>
      <c r="D91" s="5">
        <f>Hours_Sum[[#This Row],[PP Start]]+13</f>
        <v>46096</v>
      </c>
      <c r="E91">
        <f>SUM(Hours_Sum[[#This Row],[Reg Hrs]],Hours_Sum[[#This Row],[1.5x OT Hrs]],Hours_Sum[[#This Row],[2x OT Hrs]])</f>
        <v>0</v>
      </c>
      <c r="F91">
        <f>SUMIFS(Shift_Track[Reg
Hrs],Shift_Track[Pay Period],Hours_Sum[[#This Row],[Pay Due]])</f>
        <v>0</v>
      </c>
      <c r="G91">
        <f>SUMIFS(Shift_Track[1.5x OT
Hrs],Shift_Track[Pay Period],Hours_Sum[[#This Row],[Pay Due]])</f>
        <v>0</v>
      </c>
      <c r="H91">
        <f>SUMIFS(Shift_Track[2x OT
Hrs],Shift_Track[Pay Period],Hours_Sum[[#This Row],[Pay Due]])</f>
        <v>0</v>
      </c>
      <c r="I91">
        <f>SUM(Hours_Sum[[#This Row],[Reg Hrs]],1.5*Hours_Sum[[#This Row],[1.5x OT Hrs]],2*Hours_Sum[[#This Row],[2x OT Hrs]])</f>
        <v>0</v>
      </c>
      <c r="J91">
        <f>Hours_Sum[[#This Row],[Tot Hrs
(Converted)]]*22</f>
        <v>0</v>
      </c>
      <c r="K91">
        <f>YEAR(Hours_Sum[[#This Row],[Pay Due]])</f>
        <v>2026</v>
      </c>
      <c r="L91" t="str">
        <f>TEXT(Hours_Sum[[#This Row],[Pay Due]],"MMMM")</f>
        <v>March</v>
      </c>
    </row>
    <row r="92" spans="2:12" x14ac:dyDescent="0.25">
      <c r="B92" s="39">
        <v>46115</v>
      </c>
      <c r="C92" s="5">
        <f>_xlfn.XLOOKUP(Hours_Sum[[#This Row],[Pay Due]],Dates_Ref[QCH due],Dates_Ref[Start],"",0)</f>
        <v>46097</v>
      </c>
      <c r="D92" s="5">
        <f>Hours_Sum[[#This Row],[PP Start]]+13</f>
        <v>46110</v>
      </c>
      <c r="E92">
        <f>SUM(Hours_Sum[[#This Row],[Reg Hrs]],Hours_Sum[[#This Row],[1.5x OT Hrs]],Hours_Sum[[#This Row],[2x OT Hrs]])</f>
        <v>0</v>
      </c>
      <c r="F92">
        <f>SUMIFS(Shift_Track[Reg
Hrs],Shift_Track[Pay Period],Hours_Sum[[#This Row],[Pay Due]])</f>
        <v>0</v>
      </c>
      <c r="G92">
        <f>SUMIFS(Shift_Track[1.5x OT
Hrs],Shift_Track[Pay Period],Hours_Sum[[#This Row],[Pay Due]])</f>
        <v>0</v>
      </c>
      <c r="H92">
        <f>SUMIFS(Shift_Track[2x OT
Hrs],Shift_Track[Pay Period],Hours_Sum[[#This Row],[Pay Due]])</f>
        <v>0</v>
      </c>
      <c r="I92">
        <f>SUM(Hours_Sum[[#This Row],[Reg Hrs]],1.5*Hours_Sum[[#This Row],[1.5x OT Hrs]],2*Hours_Sum[[#This Row],[2x OT Hrs]])</f>
        <v>0</v>
      </c>
      <c r="J92">
        <f>Hours_Sum[[#This Row],[Tot Hrs
(Converted)]]*22</f>
        <v>0</v>
      </c>
      <c r="K92">
        <f>YEAR(Hours_Sum[[#This Row],[Pay Due]])</f>
        <v>2026</v>
      </c>
      <c r="L92" t="str">
        <f>TEXT(Hours_Sum[[#This Row],[Pay Due]],"MMMM")</f>
        <v>April</v>
      </c>
    </row>
    <row r="93" spans="2:12" x14ac:dyDescent="0.25">
      <c r="B93" s="39">
        <v>46129</v>
      </c>
      <c r="C93" s="5">
        <f>_xlfn.XLOOKUP(Hours_Sum[[#This Row],[Pay Due]],Dates_Ref[QCH due],Dates_Ref[Start],"",0)</f>
        <v>46111</v>
      </c>
      <c r="D93" s="5">
        <f>Hours_Sum[[#This Row],[PP Start]]+13</f>
        <v>46124</v>
      </c>
      <c r="E93">
        <f>SUM(Hours_Sum[[#This Row],[Reg Hrs]],Hours_Sum[[#This Row],[1.5x OT Hrs]],Hours_Sum[[#This Row],[2x OT Hrs]])</f>
        <v>0</v>
      </c>
      <c r="F93">
        <f>SUMIFS(Shift_Track[Reg
Hrs],Shift_Track[Pay Period],Hours_Sum[[#This Row],[Pay Due]])</f>
        <v>0</v>
      </c>
      <c r="G93">
        <f>SUMIFS(Shift_Track[1.5x OT
Hrs],Shift_Track[Pay Period],Hours_Sum[[#This Row],[Pay Due]])</f>
        <v>0</v>
      </c>
      <c r="H93">
        <f>SUMIFS(Shift_Track[2x OT
Hrs],Shift_Track[Pay Period],Hours_Sum[[#This Row],[Pay Due]])</f>
        <v>0</v>
      </c>
      <c r="I93">
        <f>SUM(Hours_Sum[[#This Row],[Reg Hrs]],1.5*Hours_Sum[[#This Row],[1.5x OT Hrs]],2*Hours_Sum[[#This Row],[2x OT Hrs]])</f>
        <v>0</v>
      </c>
      <c r="J93">
        <f>Hours_Sum[[#This Row],[Tot Hrs
(Converted)]]*22</f>
        <v>0</v>
      </c>
      <c r="K93">
        <f>YEAR(Hours_Sum[[#This Row],[Pay Due]])</f>
        <v>2026</v>
      </c>
      <c r="L93" t="str">
        <f>TEXT(Hours_Sum[[#This Row],[Pay Due]],"MMMM")</f>
        <v>April</v>
      </c>
    </row>
    <row r="94" spans="2:12" x14ac:dyDescent="0.25">
      <c r="B94" s="39">
        <v>46143</v>
      </c>
      <c r="C94" s="5">
        <f>_xlfn.XLOOKUP(Hours_Sum[[#This Row],[Pay Due]],Dates_Ref[QCH due],Dates_Ref[Start],"",0)</f>
        <v>46125</v>
      </c>
      <c r="D94" s="5">
        <f>Hours_Sum[[#This Row],[PP Start]]+13</f>
        <v>46138</v>
      </c>
      <c r="E94">
        <f>SUM(Hours_Sum[[#This Row],[Reg Hrs]],Hours_Sum[[#This Row],[1.5x OT Hrs]],Hours_Sum[[#This Row],[2x OT Hrs]])</f>
        <v>0</v>
      </c>
      <c r="F94">
        <f>SUMIFS(Shift_Track[Reg
Hrs],Shift_Track[Pay Period],Hours_Sum[[#This Row],[Pay Due]])</f>
        <v>0</v>
      </c>
      <c r="G94">
        <f>SUMIFS(Shift_Track[1.5x OT
Hrs],Shift_Track[Pay Period],Hours_Sum[[#This Row],[Pay Due]])</f>
        <v>0</v>
      </c>
      <c r="H94">
        <f>SUMIFS(Shift_Track[2x OT
Hrs],Shift_Track[Pay Period],Hours_Sum[[#This Row],[Pay Due]])</f>
        <v>0</v>
      </c>
      <c r="I94">
        <f>SUM(Hours_Sum[[#This Row],[Reg Hrs]],1.5*Hours_Sum[[#This Row],[1.5x OT Hrs]],2*Hours_Sum[[#This Row],[2x OT Hrs]])</f>
        <v>0</v>
      </c>
      <c r="J94">
        <f>Hours_Sum[[#This Row],[Tot Hrs
(Converted)]]*22</f>
        <v>0</v>
      </c>
      <c r="K94">
        <f>YEAR(Hours_Sum[[#This Row],[Pay Due]])</f>
        <v>2026</v>
      </c>
      <c r="L94" t="str">
        <f>TEXT(Hours_Sum[[#This Row],[Pay Due]],"MMMM")</f>
        <v>May</v>
      </c>
    </row>
    <row r="95" spans="2:12" x14ac:dyDescent="0.25">
      <c r="B95" s="39">
        <v>46157</v>
      </c>
      <c r="C95" s="5">
        <f>_xlfn.XLOOKUP(Hours_Sum[[#This Row],[Pay Due]],Dates_Ref[QCH due],Dates_Ref[Start],"",0)</f>
        <v>46139</v>
      </c>
      <c r="D95" s="5">
        <f>Hours_Sum[[#This Row],[PP Start]]+13</f>
        <v>46152</v>
      </c>
      <c r="E95">
        <f>SUM(Hours_Sum[[#This Row],[Reg Hrs]],Hours_Sum[[#This Row],[1.5x OT Hrs]],Hours_Sum[[#This Row],[2x OT Hrs]])</f>
        <v>0</v>
      </c>
      <c r="F95">
        <f>SUMIFS(Shift_Track[Reg
Hrs],Shift_Track[Pay Period],Hours_Sum[[#This Row],[Pay Due]])</f>
        <v>0</v>
      </c>
      <c r="G95">
        <f>SUMIFS(Shift_Track[1.5x OT
Hrs],Shift_Track[Pay Period],Hours_Sum[[#This Row],[Pay Due]])</f>
        <v>0</v>
      </c>
      <c r="H95">
        <f>SUMIFS(Shift_Track[2x OT
Hrs],Shift_Track[Pay Period],Hours_Sum[[#This Row],[Pay Due]])</f>
        <v>0</v>
      </c>
      <c r="I95">
        <f>SUM(Hours_Sum[[#This Row],[Reg Hrs]],1.5*Hours_Sum[[#This Row],[1.5x OT Hrs]],2*Hours_Sum[[#This Row],[2x OT Hrs]])</f>
        <v>0</v>
      </c>
      <c r="J95">
        <f>Hours_Sum[[#This Row],[Tot Hrs
(Converted)]]*22</f>
        <v>0</v>
      </c>
      <c r="K95">
        <f>YEAR(Hours_Sum[[#This Row],[Pay Due]])</f>
        <v>2026</v>
      </c>
      <c r="L95" t="str">
        <f>TEXT(Hours_Sum[[#This Row],[Pay Due]],"MMMM")</f>
        <v>May</v>
      </c>
    </row>
    <row r="96" spans="2:12" x14ac:dyDescent="0.25">
      <c r="B96" s="39">
        <v>46171</v>
      </c>
      <c r="C96" s="5">
        <f>_xlfn.XLOOKUP(Hours_Sum[[#This Row],[Pay Due]],Dates_Ref[QCH due],Dates_Ref[Start],"",0)</f>
        <v>46153</v>
      </c>
      <c r="D96" s="5">
        <f>Hours_Sum[[#This Row],[PP Start]]+13</f>
        <v>46166</v>
      </c>
      <c r="E96">
        <f>SUM(Hours_Sum[[#This Row],[Reg Hrs]],Hours_Sum[[#This Row],[1.5x OT Hrs]],Hours_Sum[[#This Row],[2x OT Hrs]])</f>
        <v>0</v>
      </c>
      <c r="F96">
        <f>SUMIFS(Shift_Track[Reg
Hrs],Shift_Track[Pay Period],Hours_Sum[[#This Row],[Pay Due]])</f>
        <v>0</v>
      </c>
      <c r="G96">
        <f>SUMIFS(Shift_Track[1.5x OT
Hrs],Shift_Track[Pay Period],Hours_Sum[[#This Row],[Pay Due]])</f>
        <v>0</v>
      </c>
      <c r="H96">
        <f>SUMIFS(Shift_Track[2x OT
Hrs],Shift_Track[Pay Period],Hours_Sum[[#This Row],[Pay Due]])</f>
        <v>0</v>
      </c>
      <c r="I96">
        <f>SUM(Hours_Sum[[#This Row],[Reg Hrs]],1.5*Hours_Sum[[#This Row],[1.5x OT Hrs]],2*Hours_Sum[[#This Row],[2x OT Hrs]])</f>
        <v>0</v>
      </c>
      <c r="J96">
        <f>Hours_Sum[[#This Row],[Tot Hrs
(Converted)]]*22</f>
        <v>0</v>
      </c>
      <c r="K96">
        <f>YEAR(Hours_Sum[[#This Row],[Pay Due]])</f>
        <v>2026</v>
      </c>
      <c r="L96" t="str">
        <f>TEXT(Hours_Sum[[#This Row],[Pay Due]],"MMMM")</f>
        <v>May</v>
      </c>
    </row>
    <row r="97" spans="2:12" x14ac:dyDescent="0.25">
      <c r="B97" s="39">
        <v>46185</v>
      </c>
      <c r="C97" s="5">
        <f>_xlfn.XLOOKUP(Hours_Sum[[#This Row],[Pay Due]],Dates_Ref[QCH due],Dates_Ref[Start],"",0)</f>
        <v>46167</v>
      </c>
      <c r="D97" s="5">
        <f>Hours_Sum[[#This Row],[PP Start]]+13</f>
        <v>46180</v>
      </c>
      <c r="E97">
        <f>SUM(Hours_Sum[[#This Row],[Reg Hrs]],Hours_Sum[[#This Row],[1.5x OT Hrs]],Hours_Sum[[#This Row],[2x OT Hrs]])</f>
        <v>0</v>
      </c>
      <c r="F97">
        <f>SUMIFS(Shift_Track[Reg
Hrs],Shift_Track[Pay Period],Hours_Sum[[#This Row],[Pay Due]])</f>
        <v>0</v>
      </c>
      <c r="G97">
        <f>SUMIFS(Shift_Track[1.5x OT
Hrs],Shift_Track[Pay Period],Hours_Sum[[#This Row],[Pay Due]])</f>
        <v>0</v>
      </c>
      <c r="H97">
        <f>SUMIFS(Shift_Track[2x OT
Hrs],Shift_Track[Pay Period],Hours_Sum[[#This Row],[Pay Due]])</f>
        <v>0</v>
      </c>
      <c r="I97">
        <f>SUM(Hours_Sum[[#This Row],[Reg Hrs]],1.5*Hours_Sum[[#This Row],[1.5x OT Hrs]],2*Hours_Sum[[#This Row],[2x OT Hrs]])</f>
        <v>0</v>
      </c>
      <c r="J97">
        <f>Hours_Sum[[#This Row],[Tot Hrs
(Converted)]]*22</f>
        <v>0</v>
      </c>
      <c r="K97">
        <f>YEAR(Hours_Sum[[#This Row],[Pay Due]])</f>
        <v>2026</v>
      </c>
      <c r="L97" t="str">
        <f>TEXT(Hours_Sum[[#This Row],[Pay Due]],"MMMM")</f>
        <v>June</v>
      </c>
    </row>
    <row r="98" spans="2:12" x14ac:dyDescent="0.25">
      <c r="B98" s="39">
        <v>46199</v>
      </c>
      <c r="C98" s="5">
        <f>_xlfn.XLOOKUP(Hours_Sum[[#This Row],[Pay Due]],Dates_Ref[QCH due],Dates_Ref[Start],"",0)</f>
        <v>46181</v>
      </c>
      <c r="D98" s="5">
        <f>Hours_Sum[[#This Row],[PP Start]]+13</f>
        <v>46194</v>
      </c>
      <c r="E98">
        <f>SUM(Hours_Sum[[#This Row],[Reg Hrs]],Hours_Sum[[#This Row],[1.5x OT Hrs]],Hours_Sum[[#This Row],[2x OT Hrs]])</f>
        <v>0</v>
      </c>
      <c r="F98">
        <f>SUMIFS(Shift_Track[Reg
Hrs],Shift_Track[Pay Period],Hours_Sum[[#This Row],[Pay Due]])</f>
        <v>0</v>
      </c>
      <c r="G98">
        <f>SUMIFS(Shift_Track[1.5x OT
Hrs],Shift_Track[Pay Period],Hours_Sum[[#This Row],[Pay Due]])</f>
        <v>0</v>
      </c>
      <c r="H98">
        <f>SUMIFS(Shift_Track[2x OT
Hrs],Shift_Track[Pay Period],Hours_Sum[[#This Row],[Pay Due]])</f>
        <v>0</v>
      </c>
      <c r="I98">
        <f>SUM(Hours_Sum[[#This Row],[Reg Hrs]],1.5*Hours_Sum[[#This Row],[1.5x OT Hrs]],2*Hours_Sum[[#This Row],[2x OT Hrs]])</f>
        <v>0</v>
      </c>
      <c r="J98">
        <f>Hours_Sum[[#This Row],[Tot Hrs
(Converted)]]*22</f>
        <v>0</v>
      </c>
      <c r="K98">
        <f>YEAR(Hours_Sum[[#This Row],[Pay Due]])</f>
        <v>2026</v>
      </c>
      <c r="L98" t="str">
        <f>TEXT(Hours_Sum[[#This Row],[Pay Due]],"MMMM")</f>
        <v>June</v>
      </c>
    </row>
    <row r="99" spans="2:12" x14ac:dyDescent="0.25">
      <c r="B99" s="39">
        <v>46213</v>
      </c>
      <c r="C99" s="5">
        <f>_xlfn.XLOOKUP(Hours_Sum[[#This Row],[Pay Due]],Dates_Ref[QCH due],Dates_Ref[Start],"",0)</f>
        <v>46195</v>
      </c>
      <c r="D99" s="5">
        <f>Hours_Sum[[#This Row],[PP Start]]+13</f>
        <v>46208</v>
      </c>
      <c r="E99">
        <f>SUM(Hours_Sum[[#This Row],[Reg Hrs]],Hours_Sum[[#This Row],[1.5x OT Hrs]],Hours_Sum[[#This Row],[2x OT Hrs]])</f>
        <v>0</v>
      </c>
      <c r="F99">
        <f>SUMIFS(Shift_Track[Reg
Hrs],Shift_Track[Pay Period],Hours_Sum[[#This Row],[Pay Due]])</f>
        <v>0</v>
      </c>
      <c r="G99">
        <f>SUMIFS(Shift_Track[1.5x OT
Hrs],Shift_Track[Pay Period],Hours_Sum[[#This Row],[Pay Due]])</f>
        <v>0</v>
      </c>
      <c r="H99">
        <f>SUMIFS(Shift_Track[2x OT
Hrs],Shift_Track[Pay Period],Hours_Sum[[#This Row],[Pay Due]])</f>
        <v>0</v>
      </c>
      <c r="I99">
        <f>SUM(Hours_Sum[[#This Row],[Reg Hrs]],1.5*Hours_Sum[[#This Row],[1.5x OT Hrs]],2*Hours_Sum[[#This Row],[2x OT Hrs]])</f>
        <v>0</v>
      </c>
      <c r="J99">
        <f>Hours_Sum[[#This Row],[Tot Hrs
(Converted)]]*22</f>
        <v>0</v>
      </c>
      <c r="K99">
        <f>YEAR(Hours_Sum[[#This Row],[Pay Due]])</f>
        <v>2026</v>
      </c>
      <c r="L99" t="str">
        <f>TEXT(Hours_Sum[[#This Row],[Pay Due]],"MMMM")</f>
        <v>July</v>
      </c>
    </row>
    <row r="100" spans="2:12" x14ac:dyDescent="0.25">
      <c r="B100" s="39">
        <v>46227</v>
      </c>
      <c r="C100" s="5">
        <f>_xlfn.XLOOKUP(Hours_Sum[[#This Row],[Pay Due]],Dates_Ref[QCH due],Dates_Ref[Start],"",0)</f>
        <v>46209</v>
      </c>
      <c r="D100" s="5">
        <f>Hours_Sum[[#This Row],[PP Start]]+13</f>
        <v>46222</v>
      </c>
      <c r="E100">
        <f>SUM(Hours_Sum[[#This Row],[Reg Hrs]],Hours_Sum[[#This Row],[1.5x OT Hrs]],Hours_Sum[[#This Row],[2x OT Hrs]])</f>
        <v>0</v>
      </c>
      <c r="F100">
        <f>SUMIFS(Shift_Track[Reg
Hrs],Shift_Track[Pay Period],Hours_Sum[[#This Row],[Pay Due]])</f>
        <v>0</v>
      </c>
      <c r="G100">
        <f>SUMIFS(Shift_Track[1.5x OT
Hrs],Shift_Track[Pay Period],Hours_Sum[[#This Row],[Pay Due]])</f>
        <v>0</v>
      </c>
      <c r="H100">
        <f>SUMIFS(Shift_Track[2x OT
Hrs],Shift_Track[Pay Period],Hours_Sum[[#This Row],[Pay Due]])</f>
        <v>0</v>
      </c>
      <c r="I100">
        <f>SUM(Hours_Sum[[#This Row],[Reg Hrs]],1.5*Hours_Sum[[#This Row],[1.5x OT Hrs]],2*Hours_Sum[[#This Row],[2x OT Hrs]])</f>
        <v>0</v>
      </c>
      <c r="J100">
        <f>Hours_Sum[[#This Row],[Tot Hrs
(Converted)]]*22</f>
        <v>0</v>
      </c>
      <c r="K100">
        <f>YEAR(Hours_Sum[[#This Row],[Pay Due]])</f>
        <v>2026</v>
      </c>
      <c r="L100" t="str">
        <f>TEXT(Hours_Sum[[#This Row],[Pay Due]],"MMMM")</f>
        <v>July</v>
      </c>
    </row>
    <row r="101" spans="2:12" x14ac:dyDescent="0.25">
      <c r="B101" s="39">
        <v>46241</v>
      </c>
      <c r="C101" s="5">
        <f>_xlfn.XLOOKUP(Hours_Sum[[#This Row],[Pay Due]],Dates_Ref[QCH due],Dates_Ref[Start],"",0)</f>
        <v>46223</v>
      </c>
      <c r="D101" s="5">
        <f>Hours_Sum[[#This Row],[PP Start]]+13</f>
        <v>46236</v>
      </c>
      <c r="E101">
        <f>SUM(Hours_Sum[[#This Row],[Reg Hrs]],Hours_Sum[[#This Row],[1.5x OT Hrs]],Hours_Sum[[#This Row],[2x OT Hrs]])</f>
        <v>0</v>
      </c>
      <c r="F101">
        <f>SUMIFS(Shift_Track[Reg
Hrs],Shift_Track[Pay Period],Hours_Sum[[#This Row],[Pay Due]])</f>
        <v>0</v>
      </c>
      <c r="G101">
        <f>SUMIFS(Shift_Track[1.5x OT
Hrs],Shift_Track[Pay Period],Hours_Sum[[#This Row],[Pay Due]])</f>
        <v>0</v>
      </c>
      <c r="H101">
        <f>SUMIFS(Shift_Track[2x OT
Hrs],Shift_Track[Pay Period],Hours_Sum[[#This Row],[Pay Due]])</f>
        <v>0</v>
      </c>
      <c r="I101">
        <f>SUM(Hours_Sum[[#This Row],[Reg Hrs]],1.5*Hours_Sum[[#This Row],[1.5x OT Hrs]],2*Hours_Sum[[#This Row],[2x OT Hrs]])</f>
        <v>0</v>
      </c>
      <c r="J101">
        <f>Hours_Sum[[#This Row],[Tot Hrs
(Converted)]]*22</f>
        <v>0</v>
      </c>
      <c r="K101">
        <f>YEAR(Hours_Sum[[#This Row],[Pay Due]])</f>
        <v>2026</v>
      </c>
      <c r="L101" t="str">
        <f>TEXT(Hours_Sum[[#This Row],[Pay Due]],"MMMM")</f>
        <v>August</v>
      </c>
    </row>
    <row r="102" spans="2:12" x14ac:dyDescent="0.25">
      <c r="B102" s="39">
        <v>46255</v>
      </c>
      <c r="C102" s="5">
        <f>_xlfn.XLOOKUP(Hours_Sum[[#This Row],[Pay Due]],Dates_Ref[QCH due],Dates_Ref[Start],"",0)</f>
        <v>46237</v>
      </c>
      <c r="D102" s="5">
        <f>Hours_Sum[[#This Row],[PP Start]]+13</f>
        <v>46250</v>
      </c>
      <c r="E102">
        <f>SUM(Hours_Sum[[#This Row],[Reg Hrs]],Hours_Sum[[#This Row],[1.5x OT Hrs]],Hours_Sum[[#This Row],[2x OT Hrs]])</f>
        <v>0</v>
      </c>
      <c r="F102">
        <f>SUMIFS(Shift_Track[Reg
Hrs],Shift_Track[Pay Period],Hours_Sum[[#This Row],[Pay Due]])</f>
        <v>0</v>
      </c>
      <c r="G102">
        <f>SUMIFS(Shift_Track[1.5x OT
Hrs],Shift_Track[Pay Period],Hours_Sum[[#This Row],[Pay Due]])</f>
        <v>0</v>
      </c>
      <c r="H102">
        <f>SUMIFS(Shift_Track[2x OT
Hrs],Shift_Track[Pay Period],Hours_Sum[[#This Row],[Pay Due]])</f>
        <v>0</v>
      </c>
      <c r="I102">
        <f>SUM(Hours_Sum[[#This Row],[Reg Hrs]],1.5*Hours_Sum[[#This Row],[1.5x OT Hrs]],2*Hours_Sum[[#This Row],[2x OT Hrs]])</f>
        <v>0</v>
      </c>
      <c r="J102">
        <f>Hours_Sum[[#This Row],[Tot Hrs
(Converted)]]*22</f>
        <v>0</v>
      </c>
      <c r="K102">
        <f>YEAR(Hours_Sum[[#This Row],[Pay Due]])</f>
        <v>2026</v>
      </c>
      <c r="L102" t="str">
        <f>TEXT(Hours_Sum[[#This Row],[Pay Due]],"MMMM")</f>
        <v>August</v>
      </c>
    </row>
    <row r="103" spans="2:12" x14ac:dyDescent="0.25">
      <c r="B103" s="39">
        <v>46269</v>
      </c>
      <c r="C103" s="5">
        <f>_xlfn.XLOOKUP(Hours_Sum[[#This Row],[Pay Due]],Dates_Ref[QCH due],Dates_Ref[Start],"",0)</f>
        <v>46251</v>
      </c>
      <c r="D103" s="5">
        <f>Hours_Sum[[#This Row],[PP Start]]+13</f>
        <v>46264</v>
      </c>
      <c r="E103">
        <f>SUM(Hours_Sum[[#This Row],[Reg Hrs]],Hours_Sum[[#This Row],[1.5x OT Hrs]],Hours_Sum[[#This Row],[2x OT Hrs]])</f>
        <v>0</v>
      </c>
      <c r="F103">
        <f>SUMIFS(Shift_Track[Reg
Hrs],Shift_Track[Pay Period],Hours_Sum[[#This Row],[Pay Due]])</f>
        <v>0</v>
      </c>
      <c r="G103">
        <f>SUMIFS(Shift_Track[1.5x OT
Hrs],Shift_Track[Pay Period],Hours_Sum[[#This Row],[Pay Due]])</f>
        <v>0</v>
      </c>
      <c r="H103">
        <f>SUMIFS(Shift_Track[2x OT
Hrs],Shift_Track[Pay Period],Hours_Sum[[#This Row],[Pay Due]])</f>
        <v>0</v>
      </c>
      <c r="I103">
        <f>SUM(Hours_Sum[[#This Row],[Reg Hrs]],1.5*Hours_Sum[[#This Row],[1.5x OT Hrs]],2*Hours_Sum[[#This Row],[2x OT Hrs]])</f>
        <v>0</v>
      </c>
      <c r="J103">
        <f>Hours_Sum[[#This Row],[Tot Hrs
(Converted)]]*22</f>
        <v>0</v>
      </c>
      <c r="K103">
        <f>YEAR(Hours_Sum[[#This Row],[Pay Due]])</f>
        <v>2026</v>
      </c>
      <c r="L103" t="str">
        <f>TEXT(Hours_Sum[[#This Row],[Pay Due]],"MMMM")</f>
        <v>September</v>
      </c>
    </row>
    <row r="104" spans="2:12" x14ac:dyDescent="0.25">
      <c r="B104" s="39">
        <v>46283</v>
      </c>
      <c r="C104" s="5">
        <f>_xlfn.XLOOKUP(Hours_Sum[[#This Row],[Pay Due]],Dates_Ref[QCH due],Dates_Ref[Start],"",0)</f>
        <v>46265</v>
      </c>
      <c r="D104" s="5">
        <f>Hours_Sum[[#This Row],[PP Start]]+13</f>
        <v>46278</v>
      </c>
      <c r="E104">
        <f>SUM(Hours_Sum[[#This Row],[Reg Hrs]],Hours_Sum[[#This Row],[1.5x OT Hrs]],Hours_Sum[[#This Row],[2x OT Hrs]])</f>
        <v>0</v>
      </c>
      <c r="F104">
        <f>SUMIFS(Shift_Track[Reg
Hrs],Shift_Track[Pay Period],Hours_Sum[[#This Row],[Pay Due]])</f>
        <v>0</v>
      </c>
      <c r="G104">
        <f>SUMIFS(Shift_Track[1.5x OT
Hrs],Shift_Track[Pay Period],Hours_Sum[[#This Row],[Pay Due]])</f>
        <v>0</v>
      </c>
      <c r="H104">
        <f>SUMIFS(Shift_Track[2x OT
Hrs],Shift_Track[Pay Period],Hours_Sum[[#This Row],[Pay Due]])</f>
        <v>0</v>
      </c>
      <c r="I104">
        <f>SUM(Hours_Sum[[#This Row],[Reg Hrs]],1.5*Hours_Sum[[#This Row],[1.5x OT Hrs]],2*Hours_Sum[[#This Row],[2x OT Hrs]])</f>
        <v>0</v>
      </c>
      <c r="J104">
        <f>Hours_Sum[[#This Row],[Tot Hrs
(Converted)]]*22</f>
        <v>0</v>
      </c>
      <c r="K104">
        <f>YEAR(Hours_Sum[[#This Row],[Pay Due]])</f>
        <v>2026</v>
      </c>
      <c r="L104" t="str">
        <f>TEXT(Hours_Sum[[#This Row],[Pay Due]],"MMMM")</f>
        <v>September</v>
      </c>
    </row>
    <row r="105" spans="2:12" x14ac:dyDescent="0.25">
      <c r="B105" s="39">
        <v>46297</v>
      </c>
      <c r="C105" s="5">
        <f>_xlfn.XLOOKUP(Hours_Sum[[#This Row],[Pay Due]],Dates_Ref[QCH due],Dates_Ref[Start],"",0)</f>
        <v>46279</v>
      </c>
      <c r="D105" s="5">
        <f>Hours_Sum[[#This Row],[PP Start]]+13</f>
        <v>46292</v>
      </c>
      <c r="E105">
        <f>SUM(Hours_Sum[[#This Row],[Reg Hrs]],Hours_Sum[[#This Row],[1.5x OT Hrs]],Hours_Sum[[#This Row],[2x OT Hrs]])</f>
        <v>0</v>
      </c>
      <c r="F105">
        <f>SUMIFS(Shift_Track[Reg
Hrs],Shift_Track[Pay Period],Hours_Sum[[#This Row],[Pay Due]])</f>
        <v>0</v>
      </c>
      <c r="G105">
        <f>SUMIFS(Shift_Track[1.5x OT
Hrs],Shift_Track[Pay Period],Hours_Sum[[#This Row],[Pay Due]])</f>
        <v>0</v>
      </c>
      <c r="H105">
        <f>SUMIFS(Shift_Track[2x OT
Hrs],Shift_Track[Pay Period],Hours_Sum[[#This Row],[Pay Due]])</f>
        <v>0</v>
      </c>
      <c r="I105">
        <f>SUM(Hours_Sum[[#This Row],[Reg Hrs]],1.5*Hours_Sum[[#This Row],[1.5x OT Hrs]],2*Hours_Sum[[#This Row],[2x OT Hrs]])</f>
        <v>0</v>
      </c>
      <c r="J105">
        <f>Hours_Sum[[#This Row],[Tot Hrs
(Converted)]]*22</f>
        <v>0</v>
      </c>
      <c r="K105">
        <f>YEAR(Hours_Sum[[#This Row],[Pay Due]])</f>
        <v>2026</v>
      </c>
      <c r="L105" t="str">
        <f>TEXT(Hours_Sum[[#This Row],[Pay Due]],"MMMM")</f>
        <v>October</v>
      </c>
    </row>
    <row r="106" spans="2:12" x14ac:dyDescent="0.25">
      <c r="B106" s="39">
        <v>46311</v>
      </c>
      <c r="C106" s="5">
        <f>_xlfn.XLOOKUP(Hours_Sum[[#This Row],[Pay Due]],Dates_Ref[QCH due],Dates_Ref[Start],"",0)</f>
        <v>46293</v>
      </c>
      <c r="D106" s="5">
        <f>Hours_Sum[[#This Row],[PP Start]]+13</f>
        <v>46306</v>
      </c>
      <c r="E106">
        <f>SUM(Hours_Sum[[#This Row],[Reg Hrs]],Hours_Sum[[#This Row],[1.5x OT Hrs]],Hours_Sum[[#This Row],[2x OT Hrs]])</f>
        <v>0</v>
      </c>
      <c r="F106">
        <f>SUMIFS(Shift_Track[Reg
Hrs],Shift_Track[Pay Period],Hours_Sum[[#This Row],[Pay Due]])</f>
        <v>0</v>
      </c>
      <c r="G106">
        <f>SUMIFS(Shift_Track[1.5x OT
Hrs],Shift_Track[Pay Period],Hours_Sum[[#This Row],[Pay Due]])</f>
        <v>0</v>
      </c>
      <c r="H106">
        <f>SUMIFS(Shift_Track[2x OT
Hrs],Shift_Track[Pay Period],Hours_Sum[[#This Row],[Pay Due]])</f>
        <v>0</v>
      </c>
      <c r="I106">
        <f>SUM(Hours_Sum[[#This Row],[Reg Hrs]],1.5*Hours_Sum[[#This Row],[1.5x OT Hrs]],2*Hours_Sum[[#This Row],[2x OT Hrs]])</f>
        <v>0</v>
      </c>
      <c r="J106">
        <f>Hours_Sum[[#This Row],[Tot Hrs
(Converted)]]*22</f>
        <v>0</v>
      </c>
      <c r="K106">
        <f>YEAR(Hours_Sum[[#This Row],[Pay Due]])</f>
        <v>2026</v>
      </c>
      <c r="L106" t="str">
        <f>TEXT(Hours_Sum[[#This Row],[Pay Due]],"MMMM")</f>
        <v>October</v>
      </c>
    </row>
    <row r="107" spans="2:12" x14ac:dyDescent="0.25">
      <c r="B107" s="39">
        <v>46325</v>
      </c>
      <c r="C107" s="5">
        <f>_xlfn.XLOOKUP(Hours_Sum[[#This Row],[Pay Due]],Dates_Ref[QCH due],Dates_Ref[Start],"",0)</f>
        <v>46307</v>
      </c>
      <c r="D107" s="5">
        <f>Hours_Sum[[#This Row],[PP Start]]+13</f>
        <v>46320</v>
      </c>
      <c r="E107">
        <f>SUM(Hours_Sum[[#This Row],[Reg Hrs]],Hours_Sum[[#This Row],[1.5x OT Hrs]],Hours_Sum[[#This Row],[2x OT Hrs]])</f>
        <v>0</v>
      </c>
      <c r="F107">
        <f>SUMIFS(Shift_Track[Reg
Hrs],Shift_Track[Pay Period],Hours_Sum[[#This Row],[Pay Due]])</f>
        <v>0</v>
      </c>
      <c r="G107">
        <f>SUMIFS(Shift_Track[1.5x OT
Hrs],Shift_Track[Pay Period],Hours_Sum[[#This Row],[Pay Due]])</f>
        <v>0</v>
      </c>
      <c r="H107">
        <f>SUMIFS(Shift_Track[2x OT
Hrs],Shift_Track[Pay Period],Hours_Sum[[#This Row],[Pay Due]])</f>
        <v>0</v>
      </c>
      <c r="I107">
        <f>SUM(Hours_Sum[[#This Row],[Reg Hrs]],1.5*Hours_Sum[[#This Row],[1.5x OT Hrs]],2*Hours_Sum[[#This Row],[2x OT Hrs]])</f>
        <v>0</v>
      </c>
      <c r="J107">
        <f>Hours_Sum[[#This Row],[Tot Hrs
(Converted)]]*22</f>
        <v>0</v>
      </c>
      <c r="K107">
        <f>YEAR(Hours_Sum[[#This Row],[Pay Due]])</f>
        <v>2026</v>
      </c>
      <c r="L107" t="str">
        <f>TEXT(Hours_Sum[[#This Row],[Pay Due]],"MMMM")</f>
        <v>October</v>
      </c>
    </row>
    <row r="108" spans="2:12" x14ac:dyDescent="0.25">
      <c r="B108" s="39">
        <v>46339</v>
      </c>
      <c r="C108" s="5">
        <f>_xlfn.XLOOKUP(Hours_Sum[[#This Row],[Pay Due]],Dates_Ref[QCH due],Dates_Ref[Start],"",0)</f>
        <v>46321</v>
      </c>
      <c r="D108" s="5">
        <f>Hours_Sum[[#This Row],[PP Start]]+13</f>
        <v>46334</v>
      </c>
      <c r="E108">
        <f>SUM(Hours_Sum[[#This Row],[Reg Hrs]],Hours_Sum[[#This Row],[1.5x OT Hrs]],Hours_Sum[[#This Row],[2x OT Hrs]])</f>
        <v>0</v>
      </c>
      <c r="F108">
        <f>SUMIFS(Shift_Track[Reg
Hrs],Shift_Track[Pay Period],Hours_Sum[[#This Row],[Pay Due]])</f>
        <v>0</v>
      </c>
      <c r="G108">
        <f>SUMIFS(Shift_Track[1.5x OT
Hrs],Shift_Track[Pay Period],Hours_Sum[[#This Row],[Pay Due]])</f>
        <v>0</v>
      </c>
      <c r="H108">
        <f>SUMIFS(Shift_Track[2x OT
Hrs],Shift_Track[Pay Period],Hours_Sum[[#This Row],[Pay Due]])</f>
        <v>0</v>
      </c>
      <c r="I108">
        <f>SUM(Hours_Sum[[#This Row],[Reg Hrs]],1.5*Hours_Sum[[#This Row],[1.5x OT Hrs]],2*Hours_Sum[[#This Row],[2x OT Hrs]])</f>
        <v>0</v>
      </c>
      <c r="J108">
        <f>Hours_Sum[[#This Row],[Tot Hrs
(Converted)]]*22</f>
        <v>0</v>
      </c>
      <c r="K108">
        <f>YEAR(Hours_Sum[[#This Row],[Pay Due]])</f>
        <v>2026</v>
      </c>
      <c r="L108" t="str">
        <f>TEXT(Hours_Sum[[#This Row],[Pay Due]],"MMMM")</f>
        <v>November</v>
      </c>
    </row>
    <row r="109" spans="2:12" x14ac:dyDescent="0.25">
      <c r="B109" s="39">
        <v>46353</v>
      </c>
      <c r="C109" s="5">
        <f>_xlfn.XLOOKUP(Hours_Sum[[#This Row],[Pay Due]],Dates_Ref[QCH due],Dates_Ref[Start],"",0)</f>
        <v>46335</v>
      </c>
      <c r="D109" s="5">
        <f>Hours_Sum[[#This Row],[PP Start]]+13</f>
        <v>46348</v>
      </c>
      <c r="E109">
        <f>SUM(Hours_Sum[[#This Row],[Reg Hrs]],Hours_Sum[[#This Row],[1.5x OT Hrs]],Hours_Sum[[#This Row],[2x OT Hrs]])</f>
        <v>0</v>
      </c>
      <c r="F109">
        <f>SUMIFS(Shift_Track[Reg
Hrs],Shift_Track[Pay Period],Hours_Sum[[#This Row],[Pay Due]])</f>
        <v>0</v>
      </c>
      <c r="G109">
        <f>SUMIFS(Shift_Track[1.5x OT
Hrs],Shift_Track[Pay Period],Hours_Sum[[#This Row],[Pay Due]])</f>
        <v>0</v>
      </c>
      <c r="H109">
        <f>SUMIFS(Shift_Track[2x OT
Hrs],Shift_Track[Pay Period],Hours_Sum[[#This Row],[Pay Due]])</f>
        <v>0</v>
      </c>
      <c r="I109">
        <f>SUM(Hours_Sum[[#This Row],[Reg Hrs]],1.5*Hours_Sum[[#This Row],[1.5x OT Hrs]],2*Hours_Sum[[#This Row],[2x OT Hrs]])</f>
        <v>0</v>
      </c>
      <c r="J109">
        <f>Hours_Sum[[#This Row],[Tot Hrs
(Converted)]]*22</f>
        <v>0</v>
      </c>
      <c r="K109">
        <f>YEAR(Hours_Sum[[#This Row],[Pay Due]])</f>
        <v>2026</v>
      </c>
      <c r="L109" t="str">
        <f>TEXT(Hours_Sum[[#This Row],[Pay Due]],"MMMM")</f>
        <v>November</v>
      </c>
    </row>
    <row r="110" spans="2:12" x14ac:dyDescent="0.25">
      <c r="B110" s="39">
        <v>46367</v>
      </c>
      <c r="C110" s="5">
        <f>_xlfn.XLOOKUP(Hours_Sum[[#This Row],[Pay Due]],Dates_Ref[QCH due],Dates_Ref[Start],"",0)</f>
        <v>46349</v>
      </c>
      <c r="D110" s="5">
        <f>Hours_Sum[[#This Row],[PP Start]]+13</f>
        <v>46362</v>
      </c>
      <c r="E110">
        <f>SUM(Hours_Sum[[#This Row],[Reg Hrs]],Hours_Sum[[#This Row],[1.5x OT Hrs]],Hours_Sum[[#This Row],[2x OT Hrs]])</f>
        <v>0</v>
      </c>
      <c r="F110">
        <f>SUMIFS(Shift_Track[Reg
Hrs],Shift_Track[Pay Period],Hours_Sum[[#This Row],[Pay Due]])</f>
        <v>0</v>
      </c>
      <c r="G110">
        <f>SUMIFS(Shift_Track[1.5x OT
Hrs],Shift_Track[Pay Period],Hours_Sum[[#This Row],[Pay Due]])</f>
        <v>0</v>
      </c>
      <c r="H110">
        <f>SUMIFS(Shift_Track[2x OT
Hrs],Shift_Track[Pay Period],Hours_Sum[[#This Row],[Pay Due]])</f>
        <v>0</v>
      </c>
      <c r="I110">
        <f>SUM(Hours_Sum[[#This Row],[Reg Hrs]],1.5*Hours_Sum[[#This Row],[1.5x OT Hrs]],2*Hours_Sum[[#This Row],[2x OT Hrs]])</f>
        <v>0</v>
      </c>
      <c r="J110">
        <f>Hours_Sum[[#This Row],[Tot Hrs
(Converted)]]*22</f>
        <v>0</v>
      </c>
      <c r="K110">
        <f>YEAR(Hours_Sum[[#This Row],[Pay Due]])</f>
        <v>2026</v>
      </c>
      <c r="L110" t="str">
        <f>TEXT(Hours_Sum[[#This Row],[Pay Due]],"MMMM")</f>
        <v>December</v>
      </c>
    </row>
    <row r="111" spans="2:12" x14ac:dyDescent="0.25">
      <c r="B111" s="39">
        <v>46381</v>
      </c>
      <c r="C111" s="5">
        <f>_xlfn.XLOOKUP(Hours_Sum[[#This Row],[Pay Due]],Dates_Ref[QCH due],Dates_Ref[Start],"",0)</f>
        <v>46363</v>
      </c>
      <c r="D111" s="5">
        <f>Hours_Sum[[#This Row],[PP Start]]+13</f>
        <v>46376</v>
      </c>
      <c r="E111">
        <f>SUM(Hours_Sum[[#This Row],[Reg Hrs]],Hours_Sum[[#This Row],[1.5x OT Hrs]],Hours_Sum[[#This Row],[2x OT Hrs]])</f>
        <v>0</v>
      </c>
      <c r="F111">
        <f>SUMIFS(Shift_Track[Reg
Hrs],Shift_Track[Pay Period],Hours_Sum[[#This Row],[Pay Due]])</f>
        <v>0</v>
      </c>
      <c r="G111">
        <f>SUMIFS(Shift_Track[1.5x OT
Hrs],Shift_Track[Pay Period],Hours_Sum[[#This Row],[Pay Due]])</f>
        <v>0</v>
      </c>
      <c r="H111">
        <f>SUMIFS(Shift_Track[2x OT
Hrs],Shift_Track[Pay Period],Hours_Sum[[#This Row],[Pay Due]])</f>
        <v>0</v>
      </c>
      <c r="I111">
        <f>SUM(Hours_Sum[[#This Row],[Reg Hrs]],1.5*Hours_Sum[[#This Row],[1.5x OT Hrs]],2*Hours_Sum[[#This Row],[2x OT Hrs]])</f>
        <v>0</v>
      </c>
      <c r="J111">
        <f>Hours_Sum[[#This Row],[Tot Hrs
(Converted)]]*22</f>
        <v>0</v>
      </c>
      <c r="K111">
        <f>YEAR(Hours_Sum[[#This Row],[Pay Due]])</f>
        <v>2026</v>
      </c>
      <c r="L111" t="str">
        <f>TEXT(Hours_Sum[[#This Row],[Pay Due]],"MMMM")</f>
        <v>December</v>
      </c>
    </row>
    <row r="112" spans="2:12" x14ac:dyDescent="0.25">
      <c r="B112" s="39">
        <v>46395</v>
      </c>
      <c r="C112" s="5">
        <f>_xlfn.XLOOKUP(Hours_Sum[[#This Row],[Pay Due]],Dates_Ref[QCH due],Dates_Ref[Start],"",0)</f>
        <v>46377</v>
      </c>
      <c r="D112" s="5">
        <f>Hours_Sum[[#This Row],[PP Start]]+13</f>
        <v>46390</v>
      </c>
      <c r="E112">
        <f>SUM(Hours_Sum[[#This Row],[Reg Hrs]],Hours_Sum[[#This Row],[1.5x OT Hrs]],Hours_Sum[[#This Row],[2x OT Hrs]])</f>
        <v>0</v>
      </c>
      <c r="F112">
        <f>SUMIFS(Shift_Track[Reg
Hrs],Shift_Track[Pay Period],Hours_Sum[[#This Row],[Pay Due]])</f>
        <v>0</v>
      </c>
      <c r="G112">
        <f>SUMIFS(Shift_Track[1.5x OT
Hrs],Shift_Track[Pay Period],Hours_Sum[[#This Row],[Pay Due]])</f>
        <v>0</v>
      </c>
      <c r="H112">
        <f>SUMIFS(Shift_Track[2x OT
Hrs],Shift_Track[Pay Period],Hours_Sum[[#This Row],[Pay Due]])</f>
        <v>0</v>
      </c>
      <c r="I112">
        <f>SUM(Hours_Sum[[#This Row],[Reg Hrs]],1.5*Hours_Sum[[#This Row],[1.5x OT Hrs]],2*Hours_Sum[[#This Row],[2x OT Hrs]])</f>
        <v>0</v>
      </c>
      <c r="J112">
        <f>Hours_Sum[[#This Row],[Tot Hrs
(Converted)]]*22</f>
        <v>0</v>
      </c>
      <c r="K112">
        <f>YEAR(Hours_Sum[[#This Row],[Pay Due]])</f>
        <v>2027</v>
      </c>
      <c r="L112" t="str">
        <f>TEXT(Hours_Sum[[#This Row],[Pay Due]],"MMMM")</f>
        <v>January</v>
      </c>
    </row>
    <row r="113" spans="2:12" x14ac:dyDescent="0.25">
      <c r="B113" s="39">
        <v>46409</v>
      </c>
      <c r="C113" s="5">
        <f>_xlfn.XLOOKUP(Hours_Sum[[#This Row],[Pay Due]],Dates_Ref[QCH due],Dates_Ref[Start],"",0)</f>
        <v>46391</v>
      </c>
      <c r="D113" s="5">
        <f>Hours_Sum[[#This Row],[PP Start]]+13</f>
        <v>46404</v>
      </c>
      <c r="E113">
        <f>SUM(Hours_Sum[[#This Row],[Reg Hrs]],Hours_Sum[[#This Row],[1.5x OT Hrs]],Hours_Sum[[#This Row],[2x OT Hrs]])</f>
        <v>0</v>
      </c>
      <c r="F113">
        <f>SUMIFS(Shift_Track[Reg
Hrs],Shift_Track[Pay Period],Hours_Sum[[#This Row],[Pay Due]])</f>
        <v>0</v>
      </c>
      <c r="G113">
        <f>SUMIFS(Shift_Track[1.5x OT
Hrs],Shift_Track[Pay Period],Hours_Sum[[#This Row],[Pay Due]])</f>
        <v>0</v>
      </c>
      <c r="H113">
        <f>SUMIFS(Shift_Track[2x OT
Hrs],Shift_Track[Pay Period],Hours_Sum[[#This Row],[Pay Due]])</f>
        <v>0</v>
      </c>
      <c r="I113">
        <f>SUM(Hours_Sum[[#This Row],[Reg Hrs]],1.5*Hours_Sum[[#This Row],[1.5x OT Hrs]],2*Hours_Sum[[#This Row],[2x OT Hrs]])</f>
        <v>0</v>
      </c>
      <c r="J113">
        <f>Hours_Sum[[#This Row],[Tot Hrs
(Converted)]]*22</f>
        <v>0</v>
      </c>
      <c r="K113">
        <f>YEAR(Hours_Sum[[#This Row],[Pay Due]])</f>
        <v>2027</v>
      </c>
      <c r="L113" t="str">
        <f>TEXT(Hours_Sum[[#This Row],[Pay Due]],"MMMM")</f>
        <v>January</v>
      </c>
    </row>
    <row r="114" spans="2:12" x14ac:dyDescent="0.25">
      <c r="B114" s="39">
        <v>46423</v>
      </c>
      <c r="C114" s="5">
        <f>_xlfn.XLOOKUP(Hours_Sum[[#This Row],[Pay Due]],Dates_Ref[QCH due],Dates_Ref[Start],"",0)</f>
        <v>46405</v>
      </c>
      <c r="D114" s="5">
        <f>Hours_Sum[[#This Row],[PP Start]]+13</f>
        <v>46418</v>
      </c>
      <c r="E114">
        <f>SUM(Hours_Sum[[#This Row],[Reg Hrs]],Hours_Sum[[#This Row],[1.5x OT Hrs]],Hours_Sum[[#This Row],[2x OT Hrs]])</f>
        <v>0</v>
      </c>
      <c r="F114">
        <f>SUMIFS(Shift_Track[Reg
Hrs],Shift_Track[Pay Period],Hours_Sum[[#This Row],[Pay Due]])</f>
        <v>0</v>
      </c>
      <c r="G114">
        <f>SUMIFS(Shift_Track[1.5x OT
Hrs],Shift_Track[Pay Period],Hours_Sum[[#This Row],[Pay Due]])</f>
        <v>0</v>
      </c>
      <c r="H114">
        <f>SUMIFS(Shift_Track[2x OT
Hrs],Shift_Track[Pay Period],Hours_Sum[[#This Row],[Pay Due]])</f>
        <v>0</v>
      </c>
      <c r="I114">
        <f>SUM(Hours_Sum[[#This Row],[Reg Hrs]],1.5*Hours_Sum[[#This Row],[1.5x OT Hrs]],2*Hours_Sum[[#This Row],[2x OT Hrs]])</f>
        <v>0</v>
      </c>
      <c r="J114">
        <f>Hours_Sum[[#This Row],[Tot Hrs
(Converted)]]*22</f>
        <v>0</v>
      </c>
      <c r="K114">
        <f>YEAR(Hours_Sum[[#This Row],[Pay Due]])</f>
        <v>2027</v>
      </c>
      <c r="L114" t="str">
        <f>TEXT(Hours_Sum[[#This Row],[Pay Due]],"MMMM")</f>
        <v>February</v>
      </c>
    </row>
    <row r="115" spans="2:12" x14ac:dyDescent="0.25">
      <c r="B115" s="39">
        <v>46437</v>
      </c>
      <c r="C115" s="5">
        <f>_xlfn.XLOOKUP(Hours_Sum[[#This Row],[Pay Due]],Dates_Ref[QCH due],Dates_Ref[Start],"",0)</f>
        <v>46419</v>
      </c>
      <c r="D115" s="5">
        <f>Hours_Sum[[#This Row],[PP Start]]+13</f>
        <v>46432</v>
      </c>
      <c r="E115">
        <f>SUM(Hours_Sum[[#This Row],[Reg Hrs]],Hours_Sum[[#This Row],[1.5x OT Hrs]],Hours_Sum[[#This Row],[2x OT Hrs]])</f>
        <v>0</v>
      </c>
      <c r="F115">
        <f>SUMIFS(Shift_Track[Reg
Hrs],Shift_Track[Pay Period],Hours_Sum[[#This Row],[Pay Due]])</f>
        <v>0</v>
      </c>
      <c r="G115">
        <f>SUMIFS(Shift_Track[1.5x OT
Hrs],Shift_Track[Pay Period],Hours_Sum[[#This Row],[Pay Due]])</f>
        <v>0</v>
      </c>
      <c r="H115">
        <f>SUMIFS(Shift_Track[2x OT
Hrs],Shift_Track[Pay Period],Hours_Sum[[#This Row],[Pay Due]])</f>
        <v>0</v>
      </c>
      <c r="I115">
        <f>SUM(Hours_Sum[[#This Row],[Reg Hrs]],1.5*Hours_Sum[[#This Row],[1.5x OT Hrs]],2*Hours_Sum[[#This Row],[2x OT Hrs]])</f>
        <v>0</v>
      </c>
      <c r="J115">
        <f>Hours_Sum[[#This Row],[Tot Hrs
(Converted)]]*22</f>
        <v>0</v>
      </c>
      <c r="K115">
        <f>YEAR(Hours_Sum[[#This Row],[Pay Due]])</f>
        <v>2027</v>
      </c>
      <c r="L115" t="str">
        <f>TEXT(Hours_Sum[[#This Row],[Pay Due]],"MMMM")</f>
        <v>February</v>
      </c>
    </row>
    <row r="116" spans="2:12" x14ac:dyDescent="0.25">
      <c r="B116" s="39">
        <v>46451</v>
      </c>
      <c r="C116" s="5">
        <f>_xlfn.XLOOKUP(Hours_Sum[[#This Row],[Pay Due]],Dates_Ref[QCH due],Dates_Ref[Start],"",0)</f>
        <v>46433</v>
      </c>
      <c r="D116" s="5">
        <f>Hours_Sum[[#This Row],[PP Start]]+13</f>
        <v>46446</v>
      </c>
      <c r="E116">
        <f>SUM(Hours_Sum[[#This Row],[Reg Hrs]],Hours_Sum[[#This Row],[1.5x OT Hrs]],Hours_Sum[[#This Row],[2x OT Hrs]])</f>
        <v>0</v>
      </c>
      <c r="F116">
        <f>SUMIFS(Shift_Track[Reg
Hrs],Shift_Track[Pay Period],Hours_Sum[[#This Row],[Pay Due]])</f>
        <v>0</v>
      </c>
      <c r="G116">
        <f>SUMIFS(Shift_Track[1.5x OT
Hrs],Shift_Track[Pay Period],Hours_Sum[[#This Row],[Pay Due]])</f>
        <v>0</v>
      </c>
      <c r="H116">
        <f>SUMIFS(Shift_Track[2x OT
Hrs],Shift_Track[Pay Period],Hours_Sum[[#This Row],[Pay Due]])</f>
        <v>0</v>
      </c>
      <c r="I116">
        <f>SUM(Hours_Sum[[#This Row],[Reg Hrs]],1.5*Hours_Sum[[#This Row],[1.5x OT Hrs]],2*Hours_Sum[[#This Row],[2x OT Hrs]])</f>
        <v>0</v>
      </c>
      <c r="J116">
        <f>Hours_Sum[[#This Row],[Tot Hrs
(Converted)]]*22</f>
        <v>0</v>
      </c>
      <c r="K116">
        <f>YEAR(Hours_Sum[[#This Row],[Pay Due]])</f>
        <v>2027</v>
      </c>
      <c r="L116" t="str">
        <f>TEXT(Hours_Sum[[#This Row],[Pay Due]],"MMMM")</f>
        <v>March</v>
      </c>
    </row>
    <row r="117" spans="2:12" x14ac:dyDescent="0.25">
      <c r="B117" s="39">
        <v>46465</v>
      </c>
      <c r="C117" s="5">
        <f>_xlfn.XLOOKUP(Hours_Sum[[#This Row],[Pay Due]],Dates_Ref[QCH due],Dates_Ref[Start],"",0)</f>
        <v>46447</v>
      </c>
      <c r="D117" s="5">
        <f>Hours_Sum[[#This Row],[PP Start]]+13</f>
        <v>46460</v>
      </c>
      <c r="E117">
        <f>SUM(Hours_Sum[[#This Row],[Reg Hrs]],Hours_Sum[[#This Row],[1.5x OT Hrs]],Hours_Sum[[#This Row],[2x OT Hrs]])</f>
        <v>0</v>
      </c>
      <c r="F117">
        <f>SUMIFS(Shift_Track[Reg
Hrs],Shift_Track[Pay Period],Hours_Sum[[#This Row],[Pay Due]])</f>
        <v>0</v>
      </c>
      <c r="G117">
        <f>SUMIFS(Shift_Track[1.5x OT
Hrs],Shift_Track[Pay Period],Hours_Sum[[#This Row],[Pay Due]])</f>
        <v>0</v>
      </c>
      <c r="H117">
        <f>SUMIFS(Shift_Track[2x OT
Hrs],Shift_Track[Pay Period],Hours_Sum[[#This Row],[Pay Due]])</f>
        <v>0</v>
      </c>
      <c r="I117">
        <f>SUM(Hours_Sum[[#This Row],[Reg Hrs]],1.5*Hours_Sum[[#This Row],[1.5x OT Hrs]],2*Hours_Sum[[#This Row],[2x OT Hrs]])</f>
        <v>0</v>
      </c>
      <c r="J117">
        <f>Hours_Sum[[#This Row],[Tot Hrs
(Converted)]]*22</f>
        <v>0</v>
      </c>
      <c r="K117">
        <f>YEAR(Hours_Sum[[#This Row],[Pay Due]])</f>
        <v>2027</v>
      </c>
      <c r="L117" t="str">
        <f>TEXT(Hours_Sum[[#This Row],[Pay Due]],"MMMM")</f>
        <v>March</v>
      </c>
    </row>
    <row r="118" spans="2:12" x14ac:dyDescent="0.25">
      <c r="B118" s="39">
        <v>46479</v>
      </c>
      <c r="C118" s="5">
        <f>_xlfn.XLOOKUP(Hours_Sum[[#This Row],[Pay Due]],Dates_Ref[QCH due],Dates_Ref[Start],"",0)</f>
        <v>46461</v>
      </c>
      <c r="D118" s="5">
        <f>Hours_Sum[[#This Row],[PP Start]]+13</f>
        <v>46474</v>
      </c>
      <c r="E118">
        <f>SUM(Hours_Sum[[#This Row],[Reg Hrs]],Hours_Sum[[#This Row],[1.5x OT Hrs]],Hours_Sum[[#This Row],[2x OT Hrs]])</f>
        <v>0</v>
      </c>
      <c r="F118">
        <f>SUMIFS(Shift_Track[Reg
Hrs],Shift_Track[Pay Period],Hours_Sum[[#This Row],[Pay Due]])</f>
        <v>0</v>
      </c>
      <c r="G118">
        <f>SUMIFS(Shift_Track[1.5x OT
Hrs],Shift_Track[Pay Period],Hours_Sum[[#This Row],[Pay Due]])</f>
        <v>0</v>
      </c>
      <c r="H118">
        <f>SUMIFS(Shift_Track[2x OT
Hrs],Shift_Track[Pay Period],Hours_Sum[[#This Row],[Pay Due]])</f>
        <v>0</v>
      </c>
      <c r="I118">
        <f>SUM(Hours_Sum[[#This Row],[Reg Hrs]],1.5*Hours_Sum[[#This Row],[1.5x OT Hrs]],2*Hours_Sum[[#This Row],[2x OT Hrs]])</f>
        <v>0</v>
      </c>
      <c r="J118">
        <f>Hours_Sum[[#This Row],[Tot Hrs
(Converted)]]*22</f>
        <v>0</v>
      </c>
      <c r="K118">
        <f>YEAR(Hours_Sum[[#This Row],[Pay Due]])</f>
        <v>2027</v>
      </c>
      <c r="L118" t="str">
        <f>TEXT(Hours_Sum[[#This Row],[Pay Due]],"MMMM")</f>
        <v>April</v>
      </c>
    </row>
    <row r="119" spans="2:12" x14ac:dyDescent="0.25">
      <c r="B119" s="39">
        <v>46493</v>
      </c>
      <c r="C119" s="5">
        <f>_xlfn.XLOOKUP(Hours_Sum[[#This Row],[Pay Due]],Dates_Ref[QCH due],Dates_Ref[Start],"",0)</f>
        <v>46475</v>
      </c>
      <c r="D119" s="5">
        <f>Hours_Sum[[#This Row],[PP Start]]+13</f>
        <v>46488</v>
      </c>
      <c r="E119">
        <f>SUM(Hours_Sum[[#This Row],[Reg Hrs]],Hours_Sum[[#This Row],[1.5x OT Hrs]],Hours_Sum[[#This Row],[2x OT Hrs]])</f>
        <v>0</v>
      </c>
      <c r="F119">
        <f>SUMIFS(Shift_Track[Reg
Hrs],Shift_Track[Pay Period],Hours_Sum[[#This Row],[Pay Due]])</f>
        <v>0</v>
      </c>
      <c r="G119">
        <f>SUMIFS(Shift_Track[1.5x OT
Hrs],Shift_Track[Pay Period],Hours_Sum[[#This Row],[Pay Due]])</f>
        <v>0</v>
      </c>
      <c r="H119">
        <f>SUMIFS(Shift_Track[2x OT
Hrs],Shift_Track[Pay Period],Hours_Sum[[#This Row],[Pay Due]])</f>
        <v>0</v>
      </c>
      <c r="I119">
        <f>SUM(Hours_Sum[[#This Row],[Reg Hrs]],1.5*Hours_Sum[[#This Row],[1.5x OT Hrs]],2*Hours_Sum[[#This Row],[2x OT Hrs]])</f>
        <v>0</v>
      </c>
      <c r="J119">
        <f>Hours_Sum[[#This Row],[Tot Hrs
(Converted)]]*22</f>
        <v>0</v>
      </c>
      <c r="K119">
        <f>YEAR(Hours_Sum[[#This Row],[Pay Due]])</f>
        <v>2027</v>
      </c>
      <c r="L119" t="str">
        <f>TEXT(Hours_Sum[[#This Row],[Pay Due]],"MMMM")</f>
        <v>April</v>
      </c>
    </row>
    <row r="120" spans="2:12" x14ac:dyDescent="0.25">
      <c r="B120" s="39">
        <v>46507</v>
      </c>
      <c r="C120" s="5">
        <f>_xlfn.XLOOKUP(Hours_Sum[[#This Row],[Pay Due]],Dates_Ref[QCH due],Dates_Ref[Start],"",0)</f>
        <v>46489</v>
      </c>
      <c r="D120" s="5">
        <f>Hours_Sum[[#This Row],[PP Start]]+13</f>
        <v>46502</v>
      </c>
      <c r="E120">
        <f>SUM(Hours_Sum[[#This Row],[Reg Hrs]],Hours_Sum[[#This Row],[1.5x OT Hrs]],Hours_Sum[[#This Row],[2x OT Hrs]])</f>
        <v>0</v>
      </c>
      <c r="F120">
        <f>SUMIFS(Shift_Track[Reg
Hrs],Shift_Track[Pay Period],Hours_Sum[[#This Row],[Pay Due]])</f>
        <v>0</v>
      </c>
      <c r="G120">
        <f>SUMIFS(Shift_Track[1.5x OT
Hrs],Shift_Track[Pay Period],Hours_Sum[[#This Row],[Pay Due]])</f>
        <v>0</v>
      </c>
      <c r="H120">
        <f>SUMIFS(Shift_Track[2x OT
Hrs],Shift_Track[Pay Period],Hours_Sum[[#This Row],[Pay Due]])</f>
        <v>0</v>
      </c>
      <c r="I120">
        <f>SUM(Hours_Sum[[#This Row],[Reg Hrs]],1.5*Hours_Sum[[#This Row],[1.5x OT Hrs]],2*Hours_Sum[[#This Row],[2x OT Hrs]])</f>
        <v>0</v>
      </c>
      <c r="J120">
        <f>Hours_Sum[[#This Row],[Tot Hrs
(Converted)]]*22</f>
        <v>0</v>
      </c>
      <c r="K120">
        <f>YEAR(Hours_Sum[[#This Row],[Pay Due]])</f>
        <v>2027</v>
      </c>
      <c r="L120" t="str">
        <f>TEXT(Hours_Sum[[#This Row],[Pay Due]],"MMMM")</f>
        <v>April</v>
      </c>
    </row>
    <row r="121" spans="2:12" x14ac:dyDescent="0.25">
      <c r="B121" s="39">
        <v>46521</v>
      </c>
      <c r="C121" s="5">
        <f>_xlfn.XLOOKUP(Hours_Sum[[#This Row],[Pay Due]],Dates_Ref[QCH due],Dates_Ref[Start],"",0)</f>
        <v>46503</v>
      </c>
      <c r="D121" s="5">
        <f>Hours_Sum[[#This Row],[PP Start]]+13</f>
        <v>46516</v>
      </c>
      <c r="E121">
        <f>SUM(Hours_Sum[[#This Row],[Reg Hrs]],Hours_Sum[[#This Row],[1.5x OT Hrs]],Hours_Sum[[#This Row],[2x OT Hrs]])</f>
        <v>0</v>
      </c>
      <c r="F121">
        <f>SUMIFS(Shift_Track[Reg
Hrs],Shift_Track[Pay Period],Hours_Sum[[#This Row],[Pay Due]])</f>
        <v>0</v>
      </c>
      <c r="G121">
        <f>SUMIFS(Shift_Track[1.5x OT
Hrs],Shift_Track[Pay Period],Hours_Sum[[#This Row],[Pay Due]])</f>
        <v>0</v>
      </c>
      <c r="H121">
        <f>SUMIFS(Shift_Track[2x OT
Hrs],Shift_Track[Pay Period],Hours_Sum[[#This Row],[Pay Due]])</f>
        <v>0</v>
      </c>
      <c r="I121">
        <f>SUM(Hours_Sum[[#This Row],[Reg Hrs]],1.5*Hours_Sum[[#This Row],[1.5x OT Hrs]],2*Hours_Sum[[#This Row],[2x OT Hrs]])</f>
        <v>0</v>
      </c>
      <c r="J121">
        <f>Hours_Sum[[#This Row],[Tot Hrs
(Converted)]]*22</f>
        <v>0</v>
      </c>
      <c r="K121">
        <f>YEAR(Hours_Sum[[#This Row],[Pay Due]])</f>
        <v>2027</v>
      </c>
      <c r="L121" t="str">
        <f>TEXT(Hours_Sum[[#This Row],[Pay Due]],"MMMM")</f>
        <v>May</v>
      </c>
    </row>
    <row r="122" spans="2:12" x14ac:dyDescent="0.25">
      <c r="B122" s="39">
        <v>46535</v>
      </c>
      <c r="C122" s="5">
        <f>_xlfn.XLOOKUP(Hours_Sum[[#This Row],[Pay Due]],Dates_Ref[QCH due],Dates_Ref[Start],"",0)</f>
        <v>46517</v>
      </c>
      <c r="D122" s="5">
        <f>Hours_Sum[[#This Row],[PP Start]]+13</f>
        <v>46530</v>
      </c>
      <c r="E122">
        <f>SUM(Hours_Sum[[#This Row],[Reg Hrs]],Hours_Sum[[#This Row],[1.5x OT Hrs]],Hours_Sum[[#This Row],[2x OT Hrs]])</f>
        <v>0</v>
      </c>
      <c r="F122">
        <f>SUMIFS(Shift_Track[Reg
Hrs],Shift_Track[Pay Period],Hours_Sum[[#This Row],[Pay Due]])</f>
        <v>0</v>
      </c>
      <c r="G122">
        <f>SUMIFS(Shift_Track[1.5x OT
Hrs],Shift_Track[Pay Period],Hours_Sum[[#This Row],[Pay Due]])</f>
        <v>0</v>
      </c>
      <c r="H122">
        <f>SUMIFS(Shift_Track[2x OT
Hrs],Shift_Track[Pay Period],Hours_Sum[[#This Row],[Pay Due]])</f>
        <v>0</v>
      </c>
      <c r="I122">
        <f>SUM(Hours_Sum[[#This Row],[Reg Hrs]],1.5*Hours_Sum[[#This Row],[1.5x OT Hrs]],2*Hours_Sum[[#This Row],[2x OT Hrs]])</f>
        <v>0</v>
      </c>
      <c r="J122">
        <f>Hours_Sum[[#This Row],[Tot Hrs
(Converted)]]*22</f>
        <v>0</v>
      </c>
      <c r="K122">
        <f>YEAR(Hours_Sum[[#This Row],[Pay Due]])</f>
        <v>2027</v>
      </c>
      <c r="L122" t="str">
        <f>TEXT(Hours_Sum[[#This Row],[Pay Due]],"MMMM")</f>
        <v>May</v>
      </c>
    </row>
    <row r="123" spans="2:12" x14ac:dyDescent="0.25">
      <c r="B123" s="39">
        <v>46549</v>
      </c>
      <c r="C123" s="5">
        <f>_xlfn.XLOOKUP(Hours_Sum[[#This Row],[Pay Due]],Dates_Ref[QCH due],Dates_Ref[Start],"",0)</f>
        <v>46531</v>
      </c>
      <c r="D123" s="5">
        <f>Hours_Sum[[#This Row],[PP Start]]+13</f>
        <v>46544</v>
      </c>
      <c r="E123">
        <f>SUM(Hours_Sum[[#This Row],[Reg Hrs]],Hours_Sum[[#This Row],[1.5x OT Hrs]],Hours_Sum[[#This Row],[2x OT Hrs]])</f>
        <v>0</v>
      </c>
      <c r="F123">
        <f>SUMIFS(Shift_Track[Reg
Hrs],Shift_Track[Pay Period],Hours_Sum[[#This Row],[Pay Due]])</f>
        <v>0</v>
      </c>
      <c r="G123">
        <f>SUMIFS(Shift_Track[1.5x OT
Hrs],Shift_Track[Pay Period],Hours_Sum[[#This Row],[Pay Due]])</f>
        <v>0</v>
      </c>
      <c r="H123">
        <f>SUMIFS(Shift_Track[2x OT
Hrs],Shift_Track[Pay Period],Hours_Sum[[#This Row],[Pay Due]])</f>
        <v>0</v>
      </c>
      <c r="I123">
        <f>SUM(Hours_Sum[[#This Row],[Reg Hrs]],1.5*Hours_Sum[[#This Row],[1.5x OT Hrs]],2*Hours_Sum[[#This Row],[2x OT Hrs]])</f>
        <v>0</v>
      </c>
      <c r="J123">
        <f>Hours_Sum[[#This Row],[Tot Hrs
(Converted)]]*22</f>
        <v>0</v>
      </c>
      <c r="K123">
        <f>YEAR(Hours_Sum[[#This Row],[Pay Due]])</f>
        <v>2027</v>
      </c>
      <c r="L123" t="str">
        <f>TEXT(Hours_Sum[[#This Row],[Pay Due]],"MMMM")</f>
        <v>June</v>
      </c>
    </row>
    <row r="124" spans="2:12" x14ac:dyDescent="0.25">
      <c r="B124" s="39">
        <v>46563</v>
      </c>
      <c r="C124" s="5">
        <f>_xlfn.XLOOKUP(Hours_Sum[[#This Row],[Pay Due]],Dates_Ref[QCH due],Dates_Ref[Start],"",0)</f>
        <v>46545</v>
      </c>
      <c r="D124" s="5">
        <f>Hours_Sum[[#This Row],[PP Start]]+13</f>
        <v>46558</v>
      </c>
      <c r="E124">
        <f>SUM(Hours_Sum[[#This Row],[Reg Hrs]],Hours_Sum[[#This Row],[1.5x OT Hrs]],Hours_Sum[[#This Row],[2x OT Hrs]])</f>
        <v>0</v>
      </c>
      <c r="F124">
        <f>SUMIFS(Shift_Track[Reg
Hrs],Shift_Track[Pay Period],Hours_Sum[[#This Row],[Pay Due]])</f>
        <v>0</v>
      </c>
      <c r="G124">
        <f>SUMIFS(Shift_Track[1.5x OT
Hrs],Shift_Track[Pay Period],Hours_Sum[[#This Row],[Pay Due]])</f>
        <v>0</v>
      </c>
      <c r="H124">
        <f>SUMIFS(Shift_Track[2x OT
Hrs],Shift_Track[Pay Period],Hours_Sum[[#This Row],[Pay Due]])</f>
        <v>0</v>
      </c>
      <c r="I124">
        <f>SUM(Hours_Sum[[#This Row],[Reg Hrs]],1.5*Hours_Sum[[#This Row],[1.5x OT Hrs]],2*Hours_Sum[[#This Row],[2x OT Hrs]])</f>
        <v>0</v>
      </c>
      <c r="J124">
        <f>Hours_Sum[[#This Row],[Tot Hrs
(Converted)]]*22</f>
        <v>0</v>
      </c>
      <c r="K124">
        <f>YEAR(Hours_Sum[[#This Row],[Pay Due]])</f>
        <v>2027</v>
      </c>
      <c r="L124" t="str">
        <f>TEXT(Hours_Sum[[#This Row],[Pay Due]],"MMMM")</f>
        <v>June</v>
      </c>
    </row>
    <row r="125" spans="2:12" x14ac:dyDescent="0.25">
      <c r="B125" s="39">
        <v>46577</v>
      </c>
      <c r="C125" s="5">
        <f>_xlfn.XLOOKUP(Hours_Sum[[#This Row],[Pay Due]],Dates_Ref[QCH due],Dates_Ref[Start],"",0)</f>
        <v>46559</v>
      </c>
      <c r="D125" s="5">
        <f>Hours_Sum[[#This Row],[PP Start]]+13</f>
        <v>46572</v>
      </c>
      <c r="E125">
        <f>SUM(Hours_Sum[[#This Row],[Reg Hrs]],Hours_Sum[[#This Row],[1.5x OT Hrs]],Hours_Sum[[#This Row],[2x OT Hrs]])</f>
        <v>0</v>
      </c>
      <c r="F125">
        <f>SUMIFS(Shift_Track[Reg
Hrs],Shift_Track[Pay Period],Hours_Sum[[#This Row],[Pay Due]])</f>
        <v>0</v>
      </c>
      <c r="G125">
        <f>SUMIFS(Shift_Track[1.5x OT
Hrs],Shift_Track[Pay Period],Hours_Sum[[#This Row],[Pay Due]])</f>
        <v>0</v>
      </c>
      <c r="H125">
        <f>SUMIFS(Shift_Track[2x OT
Hrs],Shift_Track[Pay Period],Hours_Sum[[#This Row],[Pay Due]])</f>
        <v>0</v>
      </c>
      <c r="I125">
        <f>SUM(Hours_Sum[[#This Row],[Reg Hrs]],1.5*Hours_Sum[[#This Row],[1.5x OT Hrs]],2*Hours_Sum[[#This Row],[2x OT Hrs]])</f>
        <v>0</v>
      </c>
      <c r="J125">
        <f>Hours_Sum[[#This Row],[Tot Hrs
(Converted)]]*22</f>
        <v>0</v>
      </c>
      <c r="K125">
        <f>YEAR(Hours_Sum[[#This Row],[Pay Due]])</f>
        <v>2027</v>
      </c>
      <c r="L125" t="str">
        <f>TEXT(Hours_Sum[[#This Row],[Pay Due]],"MMMM")</f>
        <v>July</v>
      </c>
    </row>
    <row r="126" spans="2:12" x14ac:dyDescent="0.25">
      <c r="B126" s="39">
        <v>46591</v>
      </c>
      <c r="C126" s="5">
        <f>_xlfn.XLOOKUP(Hours_Sum[[#This Row],[Pay Due]],Dates_Ref[QCH due],Dates_Ref[Start],"",0)</f>
        <v>46573</v>
      </c>
      <c r="D126" s="5">
        <f>Hours_Sum[[#This Row],[PP Start]]+13</f>
        <v>46586</v>
      </c>
      <c r="E126">
        <f>SUM(Hours_Sum[[#This Row],[Reg Hrs]],Hours_Sum[[#This Row],[1.5x OT Hrs]],Hours_Sum[[#This Row],[2x OT Hrs]])</f>
        <v>0</v>
      </c>
      <c r="F126">
        <f>SUMIFS(Shift_Track[Reg
Hrs],Shift_Track[Pay Period],Hours_Sum[[#This Row],[Pay Due]])</f>
        <v>0</v>
      </c>
      <c r="G126">
        <f>SUMIFS(Shift_Track[1.5x OT
Hrs],Shift_Track[Pay Period],Hours_Sum[[#This Row],[Pay Due]])</f>
        <v>0</v>
      </c>
      <c r="H126">
        <f>SUMIFS(Shift_Track[2x OT
Hrs],Shift_Track[Pay Period],Hours_Sum[[#This Row],[Pay Due]])</f>
        <v>0</v>
      </c>
      <c r="I126">
        <f>SUM(Hours_Sum[[#This Row],[Reg Hrs]],1.5*Hours_Sum[[#This Row],[1.5x OT Hrs]],2*Hours_Sum[[#This Row],[2x OT Hrs]])</f>
        <v>0</v>
      </c>
      <c r="J126">
        <f>Hours_Sum[[#This Row],[Tot Hrs
(Converted)]]*22</f>
        <v>0</v>
      </c>
      <c r="K126">
        <f>YEAR(Hours_Sum[[#This Row],[Pay Due]])</f>
        <v>2027</v>
      </c>
      <c r="L126" t="str">
        <f>TEXT(Hours_Sum[[#This Row],[Pay Due]],"MMMM")</f>
        <v>July</v>
      </c>
    </row>
    <row r="127" spans="2:12" x14ac:dyDescent="0.25">
      <c r="B127" s="39">
        <v>46605</v>
      </c>
      <c r="C127" s="5">
        <f>_xlfn.XLOOKUP(Hours_Sum[[#This Row],[Pay Due]],Dates_Ref[QCH due],Dates_Ref[Start],"",0)</f>
        <v>46587</v>
      </c>
      <c r="D127" s="5">
        <f>Hours_Sum[[#This Row],[PP Start]]+13</f>
        <v>46600</v>
      </c>
      <c r="E127">
        <f>SUM(Hours_Sum[[#This Row],[Reg Hrs]],Hours_Sum[[#This Row],[1.5x OT Hrs]],Hours_Sum[[#This Row],[2x OT Hrs]])</f>
        <v>0</v>
      </c>
      <c r="F127">
        <f>SUMIFS(Shift_Track[Reg
Hrs],Shift_Track[Pay Period],Hours_Sum[[#This Row],[Pay Due]])</f>
        <v>0</v>
      </c>
      <c r="G127">
        <f>SUMIFS(Shift_Track[1.5x OT
Hrs],Shift_Track[Pay Period],Hours_Sum[[#This Row],[Pay Due]])</f>
        <v>0</v>
      </c>
      <c r="H127">
        <f>SUMIFS(Shift_Track[2x OT
Hrs],Shift_Track[Pay Period],Hours_Sum[[#This Row],[Pay Due]])</f>
        <v>0</v>
      </c>
      <c r="I127">
        <f>SUM(Hours_Sum[[#This Row],[Reg Hrs]],1.5*Hours_Sum[[#This Row],[1.5x OT Hrs]],2*Hours_Sum[[#This Row],[2x OT Hrs]])</f>
        <v>0</v>
      </c>
      <c r="J127">
        <f>Hours_Sum[[#This Row],[Tot Hrs
(Converted)]]*22</f>
        <v>0</v>
      </c>
      <c r="K127">
        <f>YEAR(Hours_Sum[[#This Row],[Pay Due]])</f>
        <v>2027</v>
      </c>
      <c r="L127" t="str">
        <f>TEXT(Hours_Sum[[#This Row],[Pay Due]],"MMMM")</f>
        <v>August</v>
      </c>
    </row>
    <row r="128" spans="2:12" x14ac:dyDescent="0.25">
      <c r="B128" s="39">
        <v>46619</v>
      </c>
      <c r="C128" s="5">
        <f>_xlfn.XLOOKUP(Hours_Sum[[#This Row],[Pay Due]],Dates_Ref[QCH due],Dates_Ref[Start],"",0)</f>
        <v>46601</v>
      </c>
      <c r="D128" s="5">
        <f>Hours_Sum[[#This Row],[PP Start]]+13</f>
        <v>46614</v>
      </c>
      <c r="E128">
        <f>SUM(Hours_Sum[[#This Row],[Reg Hrs]],Hours_Sum[[#This Row],[1.5x OT Hrs]],Hours_Sum[[#This Row],[2x OT Hrs]])</f>
        <v>0</v>
      </c>
      <c r="F128">
        <f>SUMIFS(Shift_Track[Reg
Hrs],Shift_Track[Pay Period],Hours_Sum[[#This Row],[Pay Due]])</f>
        <v>0</v>
      </c>
      <c r="G128">
        <f>SUMIFS(Shift_Track[1.5x OT
Hrs],Shift_Track[Pay Period],Hours_Sum[[#This Row],[Pay Due]])</f>
        <v>0</v>
      </c>
      <c r="H128">
        <f>SUMIFS(Shift_Track[2x OT
Hrs],Shift_Track[Pay Period],Hours_Sum[[#This Row],[Pay Due]])</f>
        <v>0</v>
      </c>
      <c r="I128">
        <f>SUM(Hours_Sum[[#This Row],[Reg Hrs]],1.5*Hours_Sum[[#This Row],[1.5x OT Hrs]],2*Hours_Sum[[#This Row],[2x OT Hrs]])</f>
        <v>0</v>
      </c>
      <c r="J128">
        <f>Hours_Sum[[#This Row],[Tot Hrs
(Converted)]]*22</f>
        <v>0</v>
      </c>
      <c r="K128">
        <f>YEAR(Hours_Sum[[#This Row],[Pay Due]])</f>
        <v>2027</v>
      </c>
      <c r="L128" t="str">
        <f>TEXT(Hours_Sum[[#This Row],[Pay Due]],"MMMM")</f>
        <v>August</v>
      </c>
    </row>
    <row r="129" spans="2:12" x14ac:dyDescent="0.25">
      <c r="B129" s="39">
        <v>46633</v>
      </c>
      <c r="C129" s="5">
        <f>_xlfn.XLOOKUP(Hours_Sum[[#This Row],[Pay Due]],Dates_Ref[QCH due],Dates_Ref[Start],"",0)</f>
        <v>46615</v>
      </c>
      <c r="D129" s="5">
        <f>Hours_Sum[[#This Row],[PP Start]]+13</f>
        <v>46628</v>
      </c>
      <c r="E129">
        <f>SUM(Hours_Sum[[#This Row],[Reg Hrs]],Hours_Sum[[#This Row],[1.5x OT Hrs]],Hours_Sum[[#This Row],[2x OT Hrs]])</f>
        <v>0</v>
      </c>
      <c r="F129">
        <f>SUMIFS(Shift_Track[Reg
Hrs],Shift_Track[Pay Period],Hours_Sum[[#This Row],[Pay Due]])</f>
        <v>0</v>
      </c>
      <c r="G129">
        <f>SUMIFS(Shift_Track[1.5x OT
Hrs],Shift_Track[Pay Period],Hours_Sum[[#This Row],[Pay Due]])</f>
        <v>0</v>
      </c>
      <c r="H129">
        <f>SUMIFS(Shift_Track[2x OT
Hrs],Shift_Track[Pay Period],Hours_Sum[[#This Row],[Pay Due]])</f>
        <v>0</v>
      </c>
      <c r="I129">
        <f>SUM(Hours_Sum[[#This Row],[Reg Hrs]],1.5*Hours_Sum[[#This Row],[1.5x OT Hrs]],2*Hours_Sum[[#This Row],[2x OT Hrs]])</f>
        <v>0</v>
      </c>
      <c r="J129">
        <f>Hours_Sum[[#This Row],[Tot Hrs
(Converted)]]*22</f>
        <v>0</v>
      </c>
      <c r="K129">
        <f>YEAR(Hours_Sum[[#This Row],[Pay Due]])</f>
        <v>2027</v>
      </c>
      <c r="L129" t="str">
        <f>TEXT(Hours_Sum[[#This Row],[Pay Due]],"MMMM")</f>
        <v>September</v>
      </c>
    </row>
    <row r="130" spans="2:12" x14ac:dyDescent="0.25">
      <c r="B130" s="39">
        <v>46647</v>
      </c>
      <c r="C130" s="5">
        <f>_xlfn.XLOOKUP(Hours_Sum[[#This Row],[Pay Due]],Dates_Ref[QCH due],Dates_Ref[Start],"",0)</f>
        <v>46629</v>
      </c>
      <c r="D130" s="5">
        <f>Hours_Sum[[#This Row],[PP Start]]+13</f>
        <v>46642</v>
      </c>
      <c r="E130">
        <f>SUM(Hours_Sum[[#This Row],[Reg Hrs]],Hours_Sum[[#This Row],[1.5x OT Hrs]],Hours_Sum[[#This Row],[2x OT Hrs]])</f>
        <v>0</v>
      </c>
      <c r="F130">
        <f>SUMIFS(Shift_Track[Reg
Hrs],Shift_Track[Pay Period],Hours_Sum[[#This Row],[Pay Due]])</f>
        <v>0</v>
      </c>
      <c r="G130">
        <f>SUMIFS(Shift_Track[1.5x OT
Hrs],Shift_Track[Pay Period],Hours_Sum[[#This Row],[Pay Due]])</f>
        <v>0</v>
      </c>
      <c r="H130">
        <f>SUMIFS(Shift_Track[2x OT
Hrs],Shift_Track[Pay Period],Hours_Sum[[#This Row],[Pay Due]])</f>
        <v>0</v>
      </c>
      <c r="I130">
        <f>SUM(Hours_Sum[[#This Row],[Reg Hrs]],1.5*Hours_Sum[[#This Row],[1.5x OT Hrs]],2*Hours_Sum[[#This Row],[2x OT Hrs]])</f>
        <v>0</v>
      </c>
      <c r="J130">
        <f>Hours_Sum[[#This Row],[Tot Hrs
(Converted)]]*22</f>
        <v>0</v>
      </c>
      <c r="K130">
        <f>YEAR(Hours_Sum[[#This Row],[Pay Due]])</f>
        <v>2027</v>
      </c>
      <c r="L130" t="str">
        <f>TEXT(Hours_Sum[[#This Row],[Pay Due]],"MMMM")</f>
        <v>September</v>
      </c>
    </row>
    <row r="131" spans="2:12" x14ac:dyDescent="0.25">
      <c r="B131" s="39">
        <v>46661</v>
      </c>
      <c r="C131" s="5">
        <f>_xlfn.XLOOKUP(Hours_Sum[[#This Row],[Pay Due]],Dates_Ref[QCH due],Dates_Ref[Start],"",0)</f>
        <v>46643</v>
      </c>
      <c r="D131" s="5">
        <f>Hours_Sum[[#This Row],[PP Start]]+13</f>
        <v>46656</v>
      </c>
      <c r="E131">
        <f>SUM(Hours_Sum[[#This Row],[Reg Hrs]],Hours_Sum[[#This Row],[1.5x OT Hrs]],Hours_Sum[[#This Row],[2x OT Hrs]])</f>
        <v>0</v>
      </c>
      <c r="F131">
        <f>SUMIFS(Shift_Track[Reg
Hrs],Shift_Track[Pay Period],Hours_Sum[[#This Row],[Pay Due]])</f>
        <v>0</v>
      </c>
      <c r="G131">
        <f>SUMIFS(Shift_Track[1.5x OT
Hrs],Shift_Track[Pay Period],Hours_Sum[[#This Row],[Pay Due]])</f>
        <v>0</v>
      </c>
      <c r="H131">
        <f>SUMIFS(Shift_Track[2x OT
Hrs],Shift_Track[Pay Period],Hours_Sum[[#This Row],[Pay Due]])</f>
        <v>0</v>
      </c>
      <c r="I131">
        <f>SUM(Hours_Sum[[#This Row],[Reg Hrs]],1.5*Hours_Sum[[#This Row],[1.5x OT Hrs]],2*Hours_Sum[[#This Row],[2x OT Hrs]])</f>
        <v>0</v>
      </c>
      <c r="J131">
        <f>Hours_Sum[[#This Row],[Tot Hrs
(Converted)]]*22</f>
        <v>0</v>
      </c>
      <c r="K131">
        <f>YEAR(Hours_Sum[[#This Row],[Pay Due]])</f>
        <v>2027</v>
      </c>
      <c r="L131" t="str">
        <f>TEXT(Hours_Sum[[#This Row],[Pay Due]],"MMMM")</f>
        <v>October</v>
      </c>
    </row>
    <row r="132" spans="2:12" x14ac:dyDescent="0.25">
      <c r="B132" s="39">
        <v>46675</v>
      </c>
      <c r="C132" s="5">
        <f>_xlfn.XLOOKUP(Hours_Sum[[#This Row],[Pay Due]],Dates_Ref[QCH due],Dates_Ref[Start],"",0)</f>
        <v>46657</v>
      </c>
      <c r="D132" s="5">
        <f>Hours_Sum[[#This Row],[PP Start]]+13</f>
        <v>46670</v>
      </c>
      <c r="E132">
        <f>SUM(Hours_Sum[[#This Row],[Reg Hrs]],Hours_Sum[[#This Row],[1.5x OT Hrs]],Hours_Sum[[#This Row],[2x OT Hrs]])</f>
        <v>0</v>
      </c>
      <c r="F132">
        <f>SUMIFS(Shift_Track[Reg
Hrs],Shift_Track[Pay Period],Hours_Sum[[#This Row],[Pay Due]])</f>
        <v>0</v>
      </c>
      <c r="G132">
        <f>SUMIFS(Shift_Track[1.5x OT
Hrs],Shift_Track[Pay Period],Hours_Sum[[#This Row],[Pay Due]])</f>
        <v>0</v>
      </c>
      <c r="H132">
        <f>SUMIFS(Shift_Track[2x OT
Hrs],Shift_Track[Pay Period],Hours_Sum[[#This Row],[Pay Due]])</f>
        <v>0</v>
      </c>
      <c r="I132">
        <f>SUM(Hours_Sum[[#This Row],[Reg Hrs]],1.5*Hours_Sum[[#This Row],[1.5x OT Hrs]],2*Hours_Sum[[#This Row],[2x OT Hrs]])</f>
        <v>0</v>
      </c>
      <c r="J132">
        <f>Hours_Sum[[#This Row],[Tot Hrs
(Converted)]]*22</f>
        <v>0</v>
      </c>
      <c r="K132">
        <f>YEAR(Hours_Sum[[#This Row],[Pay Due]])</f>
        <v>2027</v>
      </c>
      <c r="L132" t="str">
        <f>TEXT(Hours_Sum[[#This Row],[Pay Due]],"MMMM")</f>
        <v>October</v>
      </c>
    </row>
    <row r="133" spans="2:12" x14ac:dyDescent="0.25">
      <c r="B133" s="39">
        <v>46689</v>
      </c>
      <c r="C133" s="5">
        <f>_xlfn.XLOOKUP(Hours_Sum[[#This Row],[Pay Due]],Dates_Ref[QCH due],Dates_Ref[Start],"",0)</f>
        <v>46671</v>
      </c>
      <c r="D133" s="5">
        <f>Hours_Sum[[#This Row],[PP Start]]+13</f>
        <v>46684</v>
      </c>
      <c r="E133">
        <f>SUM(Hours_Sum[[#This Row],[Reg Hrs]],Hours_Sum[[#This Row],[1.5x OT Hrs]],Hours_Sum[[#This Row],[2x OT Hrs]])</f>
        <v>0</v>
      </c>
      <c r="F133">
        <f>SUMIFS(Shift_Track[Reg
Hrs],Shift_Track[Pay Period],Hours_Sum[[#This Row],[Pay Due]])</f>
        <v>0</v>
      </c>
      <c r="G133">
        <f>SUMIFS(Shift_Track[1.5x OT
Hrs],Shift_Track[Pay Period],Hours_Sum[[#This Row],[Pay Due]])</f>
        <v>0</v>
      </c>
      <c r="H133">
        <f>SUMIFS(Shift_Track[2x OT
Hrs],Shift_Track[Pay Period],Hours_Sum[[#This Row],[Pay Due]])</f>
        <v>0</v>
      </c>
      <c r="I133">
        <f>SUM(Hours_Sum[[#This Row],[Reg Hrs]],1.5*Hours_Sum[[#This Row],[1.5x OT Hrs]],2*Hours_Sum[[#This Row],[2x OT Hrs]])</f>
        <v>0</v>
      </c>
      <c r="J133">
        <f>Hours_Sum[[#This Row],[Tot Hrs
(Converted)]]*22</f>
        <v>0</v>
      </c>
      <c r="K133">
        <f>YEAR(Hours_Sum[[#This Row],[Pay Due]])</f>
        <v>2027</v>
      </c>
      <c r="L133" t="str">
        <f>TEXT(Hours_Sum[[#This Row],[Pay Due]],"MMMM")</f>
        <v>October</v>
      </c>
    </row>
    <row r="134" spans="2:12" x14ac:dyDescent="0.25">
      <c r="B134" s="39">
        <v>46703</v>
      </c>
      <c r="C134" s="5">
        <f>_xlfn.XLOOKUP(Hours_Sum[[#This Row],[Pay Due]],Dates_Ref[QCH due],Dates_Ref[Start],"",0)</f>
        <v>46685</v>
      </c>
      <c r="D134" s="5">
        <f>Hours_Sum[[#This Row],[PP Start]]+13</f>
        <v>46698</v>
      </c>
      <c r="E134">
        <f>SUM(Hours_Sum[[#This Row],[Reg Hrs]],Hours_Sum[[#This Row],[1.5x OT Hrs]],Hours_Sum[[#This Row],[2x OT Hrs]])</f>
        <v>0</v>
      </c>
      <c r="F134">
        <f>SUMIFS(Shift_Track[Reg
Hrs],Shift_Track[Pay Period],Hours_Sum[[#This Row],[Pay Due]])</f>
        <v>0</v>
      </c>
      <c r="G134">
        <f>SUMIFS(Shift_Track[1.5x OT
Hrs],Shift_Track[Pay Period],Hours_Sum[[#This Row],[Pay Due]])</f>
        <v>0</v>
      </c>
      <c r="H134">
        <f>SUMIFS(Shift_Track[2x OT
Hrs],Shift_Track[Pay Period],Hours_Sum[[#This Row],[Pay Due]])</f>
        <v>0</v>
      </c>
      <c r="I134">
        <f>SUM(Hours_Sum[[#This Row],[Reg Hrs]],1.5*Hours_Sum[[#This Row],[1.5x OT Hrs]],2*Hours_Sum[[#This Row],[2x OT Hrs]])</f>
        <v>0</v>
      </c>
      <c r="J134">
        <f>Hours_Sum[[#This Row],[Tot Hrs
(Converted)]]*22</f>
        <v>0</v>
      </c>
      <c r="K134">
        <f>YEAR(Hours_Sum[[#This Row],[Pay Due]])</f>
        <v>2027</v>
      </c>
      <c r="L134" t="str">
        <f>TEXT(Hours_Sum[[#This Row],[Pay Due]],"MMMM")</f>
        <v>November</v>
      </c>
    </row>
    <row r="135" spans="2:12" x14ac:dyDescent="0.25">
      <c r="B135" s="39">
        <v>46717</v>
      </c>
      <c r="C135" s="5">
        <f>_xlfn.XLOOKUP(Hours_Sum[[#This Row],[Pay Due]],Dates_Ref[QCH due],Dates_Ref[Start],"",0)</f>
        <v>46699</v>
      </c>
      <c r="D135" s="5">
        <f>Hours_Sum[[#This Row],[PP Start]]+13</f>
        <v>46712</v>
      </c>
      <c r="E135">
        <f>SUM(Hours_Sum[[#This Row],[Reg Hrs]],Hours_Sum[[#This Row],[1.5x OT Hrs]],Hours_Sum[[#This Row],[2x OT Hrs]])</f>
        <v>0</v>
      </c>
      <c r="F135">
        <f>SUMIFS(Shift_Track[Reg
Hrs],Shift_Track[Pay Period],Hours_Sum[[#This Row],[Pay Due]])</f>
        <v>0</v>
      </c>
      <c r="G135">
        <f>SUMIFS(Shift_Track[1.5x OT
Hrs],Shift_Track[Pay Period],Hours_Sum[[#This Row],[Pay Due]])</f>
        <v>0</v>
      </c>
      <c r="H135">
        <f>SUMIFS(Shift_Track[2x OT
Hrs],Shift_Track[Pay Period],Hours_Sum[[#This Row],[Pay Due]])</f>
        <v>0</v>
      </c>
      <c r="I135">
        <f>SUM(Hours_Sum[[#This Row],[Reg Hrs]],1.5*Hours_Sum[[#This Row],[1.5x OT Hrs]],2*Hours_Sum[[#This Row],[2x OT Hrs]])</f>
        <v>0</v>
      </c>
      <c r="J135">
        <f>Hours_Sum[[#This Row],[Tot Hrs
(Converted)]]*22</f>
        <v>0</v>
      </c>
      <c r="K135">
        <f>YEAR(Hours_Sum[[#This Row],[Pay Due]])</f>
        <v>2027</v>
      </c>
      <c r="L135" t="str">
        <f>TEXT(Hours_Sum[[#This Row],[Pay Due]],"MMMM")</f>
        <v>November</v>
      </c>
    </row>
    <row r="136" spans="2:12" x14ac:dyDescent="0.25">
      <c r="B136" s="39">
        <v>46731</v>
      </c>
      <c r="C136" s="5">
        <f>_xlfn.XLOOKUP(Hours_Sum[[#This Row],[Pay Due]],Dates_Ref[QCH due],Dates_Ref[Start],"",0)</f>
        <v>46713</v>
      </c>
      <c r="D136" s="5">
        <f>Hours_Sum[[#This Row],[PP Start]]+13</f>
        <v>46726</v>
      </c>
      <c r="E136">
        <f>SUM(Hours_Sum[[#This Row],[Reg Hrs]],Hours_Sum[[#This Row],[1.5x OT Hrs]],Hours_Sum[[#This Row],[2x OT Hrs]])</f>
        <v>0</v>
      </c>
      <c r="F136">
        <f>SUMIFS(Shift_Track[Reg
Hrs],Shift_Track[Pay Period],Hours_Sum[[#This Row],[Pay Due]])</f>
        <v>0</v>
      </c>
      <c r="G136">
        <f>SUMIFS(Shift_Track[1.5x OT
Hrs],Shift_Track[Pay Period],Hours_Sum[[#This Row],[Pay Due]])</f>
        <v>0</v>
      </c>
      <c r="H136">
        <f>SUMIFS(Shift_Track[2x OT
Hrs],Shift_Track[Pay Period],Hours_Sum[[#This Row],[Pay Due]])</f>
        <v>0</v>
      </c>
      <c r="I136">
        <f>SUM(Hours_Sum[[#This Row],[Reg Hrs]],1.5*Hours_Sum[[#This Row],[1.5x OT Hrs]],2*Hours_Sum[[#This Row],[2x OT Hrs]])</f>
        <v>0</v>
      </c>
      <c r="J136">
        <f>Hours_Sum[[#This Row],[Tot Hrs
(Converted)]]*22</f>
        <v>0</v>
      </c>
      <c r="K136">
        <f>YEAR(Hours_Sum[[#This Row],[Pay Due]])</f>
        <v>2027</v>
      </c>
      <c r="L136" t="str">
        <f>TEXT(Hours_Sum[[#This Row],[Pay Due]],"MMMM")</f>
        <v>December</v>
      </c>
    </row>
    <row r="137" spans="2:12" x14ac:dyDescent="0.25">
      <c r="B137" s="39">
        <v>46745</v>
      </c>
      <c r="C137" s="5">
        <f>_xlfn.XLOOKUP(Hours_Sum[[#This Row],[Pay Due]],Dates_Ref[QCH due],Dates_Ref[Start],"",0)</f>
        <v>46727</v>
      </c>
      <c r="D137" s="5">
        <f>Hours_Sum[[#This Row],[PP Start]]+13</f>
        <v>46740</v>
      </c>
      <c r="E137">
        <f>SUM(Hours_Sum[[#This Row],[Reg Hrs]],Hours_Sum[[#This Row],[1.5x OT Hrs]],Hours_Sum[[#This Row],[2x OT Hrs]])</f>
        <v>0</v>
      </c>
      <c r="F137">
        <f>SUMIFS(Shift_Track[Reg
Hrs],Shift_Track[Pay Period],Hours_Sum[[#This Row],[Pay Due]])</f>
        <v>0</v>
      </c>
      <c r="G137">
        <f>SUMIFS(Shift_Track[1.5x OT
Hrs],Shift_Track[Pay Period],Hours_Sum[[#This Row],[Pay Due]])</f>
        <v>0</v>
      </c>
      <c r="H137">
        <f>SUMIFS(Shift_Track[2x OT
Hrs],Shift_Track[Pay Period],Hours_Sum[[#This Row],[Pay Due]])</f>
        <v>0</v>
      </c>
      <c r="I137">
        <f>SUM(Hours_Sum[[#This Row],[Reg Hrs]],1.5*Hours_Sum[[#This Row],[1.5x OT Hrs]],2*Hours_Sum[[#This Row],[2x OT Hrs]])</f>
        <v>0</v>
      </c>
      <c r="J137">
        <f>Hours_Sum[[#This Row],[Tot Hrs
(Converted)]]*22</f>
        <v>0</v>
      </c>
      <c r="K137">
        <f>YEAR(Hours_Sum[[#This Row],[Pay Due]])</f>
        <v>2027</v>
      </c>
      <c r="L137" t="str">
        <f>TEXT(Hours_Sum[[#This Row],[Pay Due]],"MMMM")</f>
        <v>December</v>
      </c>
    </row>
    <row r="138" spans="2:12" x14ac:dyDescent="0.25">
      <c r="B138" s="39">
        <v>46759</v>
      </c>
      <c r="C138" s="5">
        <f>_xlfn.XLOOKUP(Hours_Sum[[#This Row],[Pay Due]],Dates_Ref[QCH due],Dates_Ref[Start],"",0)</f>
        <v>46741</v>
      </c>
      <c r="D138" s="5">
        <f>Hours_Sum[[#This Row],[PP Start]]+13</f>
        <v>46754</v>
      </c>
      <c r="E138">
        <f>SUM(Hours_Sum[[#This Row],[Reg Hrs]],Hours_Sum[[#This Row],[1.5x OT Hrs]],Hours_Sum[[#This Row],[2x OT Hrs]])</f>
        <v>0</v>
      </c>
      <c r="F138">
        <f>SUMIFS(Shift_Track[Reg
Hrs],Shift_Track[Pay Period],Hours_Sum[[#This Row],[Pay Due]])</f>
        <v>0</v>
      </c>
      <c r="G138">
        <f>SUMIFS(Shift_Track[1.5x OT
Hrs],Shift_Track[Pay Period],Hours_Sum[[#This Row],[Pay Due]])</f>
        <v>0</v>
      </c>
      <c r="H138">
        <f>SUMIFS(Shift_Track[2x OT
Hrs],Shift_Track[Pay Period],Hours_Sum[[#This Row],[Pay Due]])</f>
        <v>0</v>
      </c>
      <c r="I138">
        <f>SUM(Hours_Sum[[#This Row],[Reg Hrs]],1.5*Hours_Sum[[#This Row],[1.5x OT Hrs]],2*Hours_Sum[[#This Row],[2x OT Hrs]])</f>
        <v>0</v>
      </c>
      <c r="J138">
        <f>Hours_Sum[[#This Row],[Tot Hrs
(Converted)]]*22</f>
        <v>0</v>
      </c>
      <c r="K138">
        <f>YEAR(Hours_Sum[[#This Row],[Pay Due]])</f>
        <v>2028</v>
      </c>
      <c r="L138" t="str">
        <f>TEXT(Hours_Sum[[#This Row],[Pay Due]],"MMMM")</f>
        <v>January</v>
      </c>
    </row>
    <row r="139" spans="2:12" x14ac:dyDescent="0.25">
      <c r="B139" s="39">
        <v>46773</v>
      </c>
      <c r="C139" s="5">
        <f>_xlfn.XLOOKUP(Hours_Sum[[#This Row],[Pay Due]],Dates_Ref[QCH due],Dates_Ref[Start],"",0)</f>
        <v>46755</v>
      </c>
      <c r="D139" s="5">
        <f>Hours_Sum[[#This Row],[PP Start]]+13</f>
        <v>46768</v>
      </c>
      <c r="E139">
        <f>SUM(Hours_Sum[[#This Row],[Reg Hrs]],Hours_Sum[[#This Row],[1.5x OT Hrs]],Hours_Sum[[#This Row],[2x OT Hrs]])</f>
        <v>0</v>
      </c>
      <c r="F139">
        <f>SUMIFS(Shift_Track[Reg
Hrs],Shift_Track[Pay Period],Hours_Sum[[#This Row],[Pay Due]])</f>
        <v>0</v>
      </c>
      <c r="G139">
        <f>SUMIFS(Shift_Track[1.5x OT
Hrs],Shift_Track[Pay Period],Hours_Sum[[#This Row],[Pay Due]])</f>
        <v>0</v>
      </c>
      <c r="H139">
        <f>SUMIFS(Shift_Track[2x OT
Hrs],Shift_Track[Pay Period],Hours_Sum[[#This Row],[Pay Due]])</f>
        <v>0</v>
      </c>
      <c r="I139">
        <f>SUM(Hours_Sum[[#This Row],[Reg Hrs]],1.5*Hours_Sum[[#This Row],[1.5x OT Hrs]],2*Hours_Sum[[#This Row],[2x OT Hrs]])</f>
        <v>0</v>
      </c>
      <c r="J139">
        <f>Hours_Sum[[#This Row],[Tot Hrs
(Converted)]]*22</f>
        <v>0</v>
      </c>
      <c r="K139">
        <f>YEAR(Hours_Sum[[#This Row],[Pay Due]])</f>
        <v>2028</v>
      </c>
      <c r="L139" t="str">
        <f>TEXT(Hours_Sum[[#This Row],[Pay Due]],"MMMM")</f>
        <v>January</v>
      </c>
    </row>
    <row r="140" spans="2:12" x14ac:dyDescent="0.25">
      <c r="B140" s="39">
        <v>46787</v>
      </c>
      <c r="C140" s="5">
        <f>_xlfn.XLOOKUP(Hours_Sum[[#This Row],[Pay Due]],Dates_Ref[QCH due],Dates_Ref[Start],"",0)</f>
        <v>46769</v>
      </c>
      <c r="D140" s="5">
        <f>Hours_Sum[[#This Row],[PP Start]]+13</f>
        <v>46782</v>
      </c>
      <c r="E140">
        <f>SUM(Hours_Sum[[#This Row],[Reg Hrs]],Hours_Sum[[#This Row],[1.5x OT Hrs]],Hours_Sum[[#This Row],[2x OT Hrs]])</f>
        <v>0</v>
      </c>
      <c r="F140">
        <f>SUMIFS(Shift_Track[Reg
Hrs],Shift_Track[Pay Period],Hours_Sum[[#This Row],[Pay Due]])</f>
        <v>0</v>
      </c>
      <c r="G140">
        <f>SUMIFS(Shift_Track[1.5x OT
Hrs],Shift_Track[Pay Period],Hours_Sum[[#This Row],[Pay Due]])</f>
        <v>0</v>
      </c>
      <c r="H140">
        <f>SUMIFS(Shift_Track[2x OT
Hrs],Shift_Track[Pay Period],Hours_Sum[[#This Row],[Pay Due]])</f>
        <v>0</v>
      </c>
      <c r="I140">
        <f>SUM(Hours_Sum[[#This Row],[Reg Hrs]],1.5*Hours_Sum[[#This Row],[1.5x OT Hrs]],2*Hours_Sum[[#This Row],[2x OT Hrs]])</f>
        <v>0</v>
      </c>
      <c r="J140">
        <f>Hours_Sum[[#This Row],[Tot Hrs
(Converted)]]*22</f>
        <v>0</v>
      </c>
      <c r="K140">
        <f>YEAR(Hours_Sum[[#This Row],[Pay Due]])</f>
        <v>2028</v>
      </c>
      <c r="L140" t="str">
        <f>TEXT(Hours_Sum[[#This Row],[Pay Due]],"MMMM")</f>
        <v>February</v>
      </c>
    </row>
    <row r="141" spans="2:12" x14ac:dyDescent="0.25">
      <c r="B141" s="39">
        <v>46801</v>
      </c>
      <c r="C141" s="5">
        <f>_xlfn.XLOOKUP(Hours_Sum[[#This Row],[Pay Due]],Dates_Ref[QCH due],Dates_Ref[Start],"",0)</f>
        <v>46783</v>
      </c>
      <c r="D141" s="5">
        <f>Hours_Sum[[#This Row],[PP Start]]+13</f>
        <v>46796</v>
      </c>
      <c r="E141">
        <f>SUM(Hours_Sum[[#This Row],[Reg Hrs]],Hours_Sum[[#This Row],[1.5x OT Hrs]],Hours_Sum[[#This Row],[2x OT Hrs]])</f>
        <v>0</v>
      </c>
      <c r="F141">
        <f>SUMIFS(Shift_Track[Reg
Hrs],Shift_Track[Pay Period],Hours_Sum[[#This Row],[Pay Due]])</f>
        <v>0</v>
      </c>
      <c r="G141">
        <f>SUMIFS(Shift_Track[1.5x OT
Hrs],Shift_Track[Pay Period],Hours_Sum[[#This Row],[Pay Due]])</f>
        <v>0</v>
      </c>
      <c r="H141">
        <f>SUMIFS(Shift_Track[2x OT
Hrs],Shift_Track[Pay Period],Hours_Sum[[#This Row],[Pay Due]])</f>
        <v>0</v>
      </c>
      <c r="I141">
        <f>SUM(Hours_Sum[[#This Row],[Reg Hrs]],1.5*Hours_Sum[[#This Row],[1.5x OT Hrs]],2*Hours_Sum[[#This Row],[2x OT Hrs]])</f>
        <v>0</v>
      </c>
      <c r="J141">
        <f>Hours_Sum[[#This Row],[Tot Hrs
(Converted)]]*22</f>
        <v>0</v>
      </c>
      <c r="K141">
        <f>YEAR(Hours_Sum[[#This Row],[Pay Due]])</f>
        <v>2028</v>
      </c>
      <c r="L141" t="str">
        <f>TEXT(Hours_Sum[[#This Row],[Pay Due]],"MMMM")</f>
        <v>February</v>
      </c>
    </row>
    <row r="142" spans="2:12" x14ac:dyDescent="0.25">
      <c r="B142" s="39">
        <v>46815</v>
      </c>
      <c r="C142" s="5">
        <f>_xlfn.XLOOKUP(Hours_Sum[[#This Row],[Pay Due]],Dates_Ref[QCH due],Dates_Ref[Start],"",0)</f>
        <v>46797</v>
      </c>
      <c r="D142" s="5">
        <f>Hours_Sum[[#This Row],[PP Start]]+13</f>
        <v>46810</v>
      </c>
      <c r="E142">
        <f>SUM(Hours_Sum[[#This Row],[Reg Hrs]],Hours_Sum[[#This Row],[1.5x OT Hrs]],Hours_Sum[[#This Row],[2x OT Hrs]])</f>
        <v>0</v>
      </c>
      <c r="F142">
        <f>SUMIFS(Shift_Track[Reg
Hrs],Shift_Track[Pay Period],Hours_Sum[[#This Row],[Pay Due]])</f>
        <v>0</v>
      </c>
      <c r="G142">
        <f>SUMIFS(Shift_Track[1.5x OT
Hrs],Shift_Track[Pay Period],Hours_Sum[[#This Row],[Pay Due]])</f>
        <v>0</v>
      </c>
      <c r="H142">
        <f>SUMIFS(Shift_Track[2x OT
Hrs],Shift_Track[Pay Period],Hours_Sum[[#This Row],[Pay Due]])</f>
        <v>0</v>
      </c>
      <c r="I142">
        <f>SUM(Hours_Sum[[#This Row],[Reg Hrs]],1.5*Hours_Sum[[#This Row],[1.5x OT Hrs]],2*Hours_Sum[[#This Row],[2x OT Hrs]])</f>
        <v>0</v>
      </c>
      <c r="J142">
        <f>Hours_Sum[[#This Row],[Tot Hrs
(Converted)]]*22</f>
        <v>0</v>
      </c>
      <c r="K142">
        <f>YEAR(Hours_Sum[[#This Row],[Pay Due]])</f>
        <v>2028</v>
      </c>
      <c r="L142" t="str">
        <f>TEXT(Hours_Sum[[#This Row],[Pay Due]],"MMMM")</f>
        <v>March</v>
      </c>
    </row>
    <row r="143" spans="2:12" x14ac:dyDescent="0.25">
      <c r="B143" s="39">
        <v>46829</v>
      </c>
      <c r="C143" s="5">
        <f>_xlfn.XLOOKUP(Hours_Sum[[#This Row],[Pay Due]],Dates_Ref[QCH due],Dates_Ref[Start],"",0)</f>
        <v>46811</v>
      </c>
      <c r="D143" s="5">
        <f>Hours_Sum[[#This Row],[PP Start]]+13</f>
        <v>46824</v>
      </c>
      <c r="E143">
        <f>SUM(Hours_Sum[[#This Row],[Reg Hrs]],Hours_Sum[[#This Row],[1.5x OT Hrs]],Hours_Sum[[#This Row],[2x OT Hrs]])</f>
        <v>0</v>
      </c>
      <c r="F143">
        <f>SUMIFS(Shift_Track[Reg
Hrs],Shift_Track[Pay Period],Hours_Sum[[#This Row],[Pay Due]])</f>
        <v>0</v>
      </c>
      <c r="G143">
        <f>SUMIFS(Shift_Track[1.5x OT
Hrs],Shift_Track[Pay Period],Hours_Sum[[#This Row],[Pay Due]])</f>
        <v>0</v>
      </c>
      <c r="H143">
        <f>SUMIFS(Shift_Track[2x OT
Hrs],Shift_Track[Pay Period],Hours_Sum[[#This Row],[Pay Due]])</f>
        <v>0</v>
      </c>
      <c r="I143">
        <f>SUM(Hours_Sum[[#This Row],[Reg Hrs]],1.5*Hours_Sum[[#This Row],[1.5x OT Hrs]],2*Hours_Sum[[#This Row],[2x OT Hrs]])</f>
        <v>0</v>
      </c>
      <c r="J143">
        <f>Hours_Sum[[#This Row],[Tot Hrs
(Converted)]]*22</f>
        <v>0</v>
      </c>
      <c r="K143">
        <f>YEAR(Hours_Sum[[#This Row],[Pay Due]])</f>
        <v>2028</v>
      </c>
      <c r="L143" t="str">
        <f>TEXT(Hours_Sum[[#This Row],[Pay Due]],"MMMM")</f>
        <v>March</v>
      </c>
    </row>
    <row r="144" spans="2:12" x14ac:dyDescent="0.25">
      <c r="B144" s="39">
        <v>46843</v>
      </c>
      <c r="C144" s="5">
        <f>_xlfn.XLOOKUP(Hours_Sum[[#This Row],[Pay Due]],Dates_Ref[QCH due],Dates_Ref[Start],"",0)</f>
        <v>46825</v>
      </c>
      <c r="D144" s="5">
        <f>Hours_Sum[[#This Row],[PP Start]]+13</f>
        <v>46838</v>
      </c>
      <c r="E144">
        <f>SUM(Hours_Sum[[#This Row],[Reg Hrs]],Hours_Sum[[#This Row],[1.5x OT Hrs]],Hours_Sum[[#This Row],[2x OT Hrs]])</f>
        <v>0</v>
      </c>
      <c r="F144">
        <f>SUMIFS(Shift_Track[Reg
Hrs],Shift_Track[Pay Period],Hours_Sum[[#This Row],[Pay Due]])</f>
        <v>0</v>
      </c>
      <c r="G144">
        <f>SUMIFS(Shift_Track[1.5x OT
Hrs],Shift_Track[Pay Period],Hours_Sum[[#This Row],[Pay Due]])</f>
        <v>0</v>
      </c>
      <c r="H144">
        <f>SUMIFS(Shift_Track[2x OT
Hrs],Shift_Track[Pay Period],Hours_Sum[[#This Row],[Pay Due]])</f>
        <v>0</v>
      </c>
      <c r="I144">
        <f>SUM(Hours_Sum[[#This Row],[Reg Hrs]],1.5*Hours_Sum[[#This Row],[1.5x OT Hrs]],2*Hours_Sum[[#This Row],[2x OT Hrs]])</f>
        <v>0</v>
      </c>
      <c r="J144">
        <f>Hours_Sum[[#This Row],[Tot Hrs
(Converted)]]*22</f>
        <v>0</v>
      </c>
      <c r="K144">
        <f>YEAR(Hours_Sum[[#This Row],[Pay Due]])</f>
        <v>2028</v>
      </c>
      <c r="L144" t="str">
        <f>TEXT(Hours_Sum[[#This Row],[Pay Due]],"MMMM")</f>
        <v>March</v>
      </c>
    </row>
    <row r="145" spans="2:12" x14ac:dyDescent="0.25">
      <c r="B145" s="39">
        <v>46857</v>
      </c>
      <c r="C145" s="5">
        <f>_xlfn.XLOOKUP(Hours_Sum[[#This Row],[Pay Due]],Dates_Ref[QCH due],Dates_Ref[Start],"",0)</f>
        <v>46839</v>
      </c>
      <c r="D145" s="5">
        <f>Hours_Sum[[#This Row],[PP Start]]+13</f>
        <v>46852</v>
      </c>
      <c r="E145">
        <f>SUM(Hours_Sum[[#This Row],[Reg Hrs]],Hours_Sum[[#This Row],[1.5x OT Hrs]],Hours_Sum[[#This Row],[2x OT Hrs]])</f>
        <v>0</v>
      </c>
      <c r="F145">
        <f>SUMIFS(Shift_Track[Reg
Hrs],Shift_Track[Pay Period],Hours_Sum[[#This Row],[Pay Due]])</f>
        <v>0</v>
      </c>
      <c r="G145">
        <f>SUMIFS(Shift_Track[1.5x OT
Hrs],Shift_Track[Pay Period],Hours_Sum[[#This Row],[Pay Due]])</f>
        <v>0</v>
      </c>
      <c r="H145">
        <f>SUMIFS(Shift_Track[2x OT
Hrs],Shift_Track[Pay Period],Hours_Sum[[#This Row],[Pay Due]])</f>
        <v>0</v>
      </c>
      <c r="I145">
        <f>SUM(Hours_Sum[[#This Row],[Reg Hrs]],1.5*Hours_Sum[[#This Row],[1.5x OT Hrs]],2*Hours_Sum[[#This Row],[2x OT Hrs]])</f>
        <v>0</v>
      </c>
      <c r="J145">
        <f>Hours_Sum[[#This Row],[Tot Hrs
(Converted)]]*22</f>
        <v>0</v>
      </c>
      <c r="K145">
        <f>YEAR(Hours_Sum[[#This Row],[Pay Due]])</f>
        <v>2028</v>
      </c>
      <c r="L145" t="str">
        <f>TEXT(Hours_Sum[[#This Row],[Pay Due]],"MMMM")</f>
        <v>April</v>
      </c>
    </row>
    <row r="146" spans="2:12" x14ac:dyDescent="0.25">
      <c r="B146" s="39">
        <v>46871</v>
      </c>
      <c r="C146" s="5">
        <f>_xlfn.XLOOKUP(Hours_Sum[[#This Row],[Pay Due]],Dates_Ref[QCH due],Dates_Ref[Start],"",0)</f>
        <v>46853</v>
      </c>
      <c r="D146" s="5">
        <f>Hours_Sum[[#This Row],[PP Start]]+13</f>
        <v>46866</v>
      </c>
      <c r="E146">
        <f>SUM(Hours_Sum[[#This Row],[Reg Hrs]],Hours_Sum[[#This Row],[1.5x OT Hrs]],Hours_Sum[[#This Row],[2x OT Hrs]])</f>
        <v>0</v>
      </c>
      <c r="F146">
        <f>SUMIFS(Shift_Track[Reg
Hrs],Shift_Track[Pay Period],Hours_Sum[[#This Row],[Pay Due]])</f>
        <v>0</v>
      </c>
      <c r="G146">
        <f>SUMIFS(Shift_Track[1.5x OT
Hrs],Shift_Track[Pay Period],Hours_Sum[[#This Row],[Pay Due]])</f>
        <v>0</v>
      </c>
      <c r="H146">
        <f>SUMIFS(Shift_Track[2x OT
Hrs],Shift_Track[Pay Period],Hours_Sum[[#This Row],[Pay Due]])</f>
        <v>0</v>
      </c>
      <c r="I146">
        <f>SUM(Hours_Sum[[#This Row],[Reg Hrs]],1.5*Hours_Sum[[#This Row],[1.5x OT Hrs]],2*Hours_Sum[[#This Row],[2x OT Hrs]])</f>
        <v>0</v>
      </c>
      <c r="J146">
        <f>Hours_Sum[[#This Row],[Tot Hrs
(Converted)]]*22</f>
        <v>0</v>
      </c>
      <c r="K146">
        <f>YEAR(Hours_Sum[[#This Row],[Pay Due]])</f>
        <v>2028</v>
      </c>
      <c r="L146" t="str">
        <f>TEXT(Hours_Sum[[#This Row],[Pay Due]],"MMMM")</f>
        <v>April</v>
      </c>
    </row>
    <row r="147" spans="2:12" x14ac:dyDescent="0.25">
      <c r="B147" s="39">
        <v>46885</v>
      </c>
      <c r="C147" s="5">
        <f>_xlfn.XLOOKUP(Hours_Sum[[#This Row],[Pay Due]],Dates_Ref[QCH due],Dates_Ref[Start],"",0)</f>
        <v>46867</v>
      </c>
      <c r="D147" s="5">
        <f>Hours_Sum[[#This Row],[PP Start]]+13</f>
        <v>46880</v>
      </c>
      <c r="E147">
        <f>SUM(Hours_Sum[[#This Row],[Reg Hrs]],Hours_Sum[[#This Row],[1.5x OT Hrs]],Hours_Sum[[#This Row],[2x OT Hrs]])</f>
        <v>0</v>
      </c>
      <c r="F147">
        <f>SUMIFS(Shift_Track[Reg
Hrs],Shift_Track[Pay Period],Hours_Sum[[#This Row],[Pay Due]])</f>
        <v>0</v>
      </c>
      <c r="G147">
        <f>SUMIFS(Shift_Track[1.5x OT
Hrs],Shift_Track[Pay Period],Hours_Sum[[#This Row],[Pay Due]])</f>
        <v>0</v>
      </c>
      <c r="H147">
        <f>SUMIFS(Shift_Track[2x OT
Hrs],Shift_Track[Pay Period],Hours_Sum[[#This Row],[Pay Due]])</f>
        <v>0</v>
      </c>
      <c r="I147">
        <f>SUM(Hours_Sum[[#This Row],[Reg Hrs]],1.5*Hours_Sum[[#This Row],[1.5x OT Hrs]],2*Hours_Sum[[#This Row],[2x OT Hrs]])</f>
        <v>0</v>
      </c>
      <c r="J147">
        <f>Hours_Sum[[#This Row],[Tot Hrs
(Converted)]]*22</f>
        <v>0</v>
      </c>
      <c r="K147">
        <f>YEAR(Hours_Sum[[#This Row],[Pay Due]])</f>
        <v>2028</v>
      </c>
      <c r="L147" t="str">
        <f>TEXT(Hours_Sum[[#This Row],[Pay Due]],"MMMM")</f>
        <v>May</v>
      </c>
    </row>
    <row r="148" spans="2:12" x14ac:dyDescent="0.25">
      <c r="B148" s="39">
        <v>46899</v>
      </c>
      <c r="C148" s="5">
        <f>_xlfn.XLOOKUP(Hours_Sum[[#This Row],[Pay Due]],Dates_Ref[QCH due],Dates_Ref[Start],"",0)</f>
        <v>46881</v>
      </c>
      <c r="D148" s="5">
        <f>Hours_Sum[[#This Row],[PP Start]]+13</f>
        <v>46894</v>
      </c>
      <c r="E148">
        <f>SUM(Hours_Sum[[#This Row],[Reg Hrs]],Hours_Sum[[#This Row],[1.5x OT Hrs]],Hours_Sum[[#This Row],[2x OT Hrs]])</f>
        <v>0</v>
      </c>
      <c r="F148">
        <f>SUMIFS(Shift_Track[Reg
Hrs],Shift_Track[Pay Period],Hours_Sum[[#This Row],[Pay Due]])</f>
        <v>0</v>
      </c>
      <c r="G148">
        <f>SUMIFS(Shift_Track[1.5x OT
Hrs],Shift_Track[Pay Period],Hours_Sum[[#This Row],[Pay Due]])</f>
        <v>0</v>
      </c>
      <c r="H148">
        <f>SUMIFS(Shift_Track[2x OT
Hrs],Shift_Track[Pay Period],Hours_Sum[[#This Row],[Pay Due]])</f>
        <v>0</v>
      </c>
      <c r="I148">
        <f>SUM(Hours_Sum[[#This Row],[Reg Hrs]],1.5*Hours_Sum[[#This Row],[1.5x OT Hrs]],2*Hours_Sum[[#This Row],[2x OT Hrs]])</f>
        <v>0</v>
      </c>
      <c r="J148">
        <f>Hours_Sum[[#This Row],[Tot Hrs
(Converted)]]*22</f>
        <v>0</v>
      </c>
      <c r="K148">
        <f>YEAR(Hours_Sum[[#This Row],[Pay Due]])</f>
        <v>2028</v>
      </c>
      <c r="L148" t="str">
        <f>TEXT(Hours_Sum[[#This Row],[Pay Due]],"MMMM")</f>
        <v>May</v>
      </c>
    </row>
    <row r="149" spans="2:12" x14ac:dyDescent="0.25">
      <c r="B149" s="39">
        <v>46913</v>
      </c>
      <c r="C149" s="5">
        <f>_xlfn.XLOOKUP(Hours_Sum[[#This Row],[Pay Due]],Dates_Ref[QCH due],Dates_Ref[Start],"",0)</f>
        <v>46895</v>
      </c>
      <c r="D149" s="5">
        <f>Hours_Sum[[#This Row],[PP Start]]+13</f>
        <v>46908</v>
      </c>
      <c r="E149">
        <f>SUM(Hours_Sum[[#This Row],[Reg Hrs]],Hours_Sum[[#This Row],[1.5x OT Hrs]],Hours_Sum[[#This Row],[2x OT Hrs]])</f>
        <v>0</v>
      </c>
      <c r="F149">
        <f>SUMIFS(Shift_Track[Reg
Hrs],Shift_Track[Pay Period],Hours_Sum[[#This Row],[Pay Due]])</f>
        <v>0</v>
      </c>
      <c r="G149">
        <f>SUMIFS(Shift_Track[1.5x OT
Hrs],Shift_Track[Pay Period],Hours_Sum[[#This Row],[Pay Due]])</f>
        <v>0</v>
      </c>
      <c r="H149">
        <f>SUMIFS(Shift_Track[2x OT
Hrs],Shift_Track[Pay Period],Hours_Sum[[#This Row],[Pay Due]])</f>
        <v>0</v>
      </c>
      <c r="I149">
        <f>SUM(Hours_Sum[[#This Row],[Reg Hrs]],1.5*Hours_Sum[[#This Row],[1.5x OT Hrs]],2*Hours_Sum[[#This Row],[2x OT Hrs]])</f>
        <v>0</v>
      </c>
      <c r="J149">
        <f>Hours_Sum[[#This Row],[Tot Hrs
(Converted)]]*22</f>
        <v>0</v>
      </c>
      <c r="K149">
        <f>YEAR(Hours_Sum[[#This Row],[Pay Due]])</f>
        <v>2028</v>
      </c>
      <c r="L149" t="str">
        <f>TEXT(Hours_Sum[[#This Row],[Pay Due]],"MMMM")</f>
        <v>June</v>
      </c>
    </row>
    <row r="150" spans="2:12" x14ac:dyDescent="0.25">
      <c r="B150" s="39">
        <v>46927</v>
      </c>
      <c r="C150" s="5">
        <f>_xlfn.XLOOKUP(Hours_Sum[[#This Row],[Pay Due]],Dates_Ref[QCH due],Dates_Ref[Start],"",0)</f>
        <v>46909</v>
      </c>
      <c r="D150" s="5">
        <f>Hours_Sum[[#This Row],[PP Start]]+13</f>
        <v>46922</v>
      </c>
      <c r="E150">
        <f>SUM(Hours_Sum[[#This Row],[Reg Hrs]],Hours_Sum[[#This Row],[1.5x OT Hrs]],Hours_Sum[[#This Row],[2x OT Hrs]])</f>
        <v>0</v>
      </c>
      <c r="F150">
        <f>SUMIFS(Shift_Track[Reg
Hrs],Shift_Track[Pay Period],Hours_Sum[[#This Row],[Pay Due]])</f>
        <v>0</v>
      </c>
      <c r="G150">
        <f>SUMIFS(Shift_Track[1.5x OT
Hrs],Shift_Track[Pay Period],Hours_Sum[[#This Row],[Pay Due]])</f>
        <v>0</v>
      </c>
      <c r="H150">
        <f>SUMIFS(Shift_Track[2x OT
Hrs],Shift_Track[Pay Period],Hours_Sum[[#This Row],[Pay Due]])</f>
        <v>0</v>
      </c>
      <c r="I150">
        <f>SUM(Hours_Sum[[#This Row],[Reg Hrs]],1.5*Hours_Sum[[#This Row],[1.5x OT Hrs]],2*Hours_Sum[[#This Row],[2x OT Hrs]])</f>
        <v>0</v>
      </c>
      <c r="J150">
        <f>Hours_Sum[[#This Row],[Tot Hrs
(Converted)]]*22</f>
        <v>0</v>
      </c>
      <c r="K150">
        <f>YEAR(Hours_Sum[[#This Row],[Pay Due]])</f>
        <v>2028</v>
      </c>
      <c r="L150" t="str">
        <f>TEXT(Hours_Sum[[#This Row],[Pay Due]],"MMMM")</f>
        <v>June</v>
      </c>
    </row>
    <row r="151" spans="2:12" x14ac:dyDescent="0.25">
      <c r="B151" s="39">
        <v>46941</v>
      </c>
      <c r="C151" s="5">
        <f>_xlfn.XLOOKUP(Hours_Sum[[#This Row],[Pay Due]],Dates_Ref[QCH due],Dates_Ref[Start],"",0)</f>
        <v>46923</v>
      </c>
      <c r="D151" s="5">
        <f>Hours_Sum[[#This Row],[PP Start]]+13</f>
        <v>46936</v>
      </c>
      <c r="E151">
        <f>SUM(Hours_Sum[[#This Row],[Reg Hrs]],Hours_Sum[[#This Row],[1.5x OT Hrs]],Hours_Sum[[#This Row],[2x OT Hrs]])</f>
        <v>0</v>
      </c>
      <c r="F151">
        <f>SUMIFS(Shift_Track[Reg
Hrs],Shift_Track[Pay Period],Hours_Sum[[#This Row],[Pay Due]])</f>
        <v>0</v>
      </c>
      <c r="G151">
        <f>SUMIFS(Shift_Track[1.5x OT
Hrs],Shift_Track[Pay Period],Hours_Sum[[#This Row],[Pay Due]])</f>
        <v>0</v>
      </c>
      <c r="H151">
        <f>SUMIFS(Shift_Track[2x OT
Hrs],Shift_Track[Pay Period],Hours_Sum[[#This Row],[Pay Due]])</f>
        <v>0</v>
      </c>
      <c r="I151">
        <f>SUM(Hours_Sum[[#This Row],[Reg Hrs]],1.5*Hours_Sum[[#This Row],[1.5x OT Hrs]],2*Hours_Sum[[#This Row],[2x OT Hrs]])</f>
        <v>0</v>
      </c>
      <c r="J151">
        <f>Hours_Sum[[#This Row],[Tot Hrs
(Converted)]]*22</f>
        <v>0</v>
      </c>
      <c r="K151">
        <f>YEAR(Hours_Sum[[#This Row],[Pay Due]])</f>
        <v>2028</v>
      </c>
      <c r="L151" t="str">
        <f>TEXT(Hours_Sum[[#This Row],[Pay Due]],"MMMM")</f>
        <v>July</v>
      </c>
    </row>
    <row r="152" spans="2:12" x14ac:dyDescent="0.25">
      <c r="B152" s="39">
        <v>46955</v>
      </c>
      <c r="C152" s="5">
        <f>_xlfn.XLOOKUP(Hours_Sum[[#This Row],[Pay Due]],Dates_Ref[QCH due],Dates_Ref[Start],"",0)</f>
        <v>46937</v>
      </c>
      <c r="D152" s="5">
        <f>Hours_Sum[[#This Row],[PP Start]]+13</f>
        <v>46950</v>
      </c>
      <c r="E152">
        <f>SUM(Hours_Sum[[#This Row],[Reg Hrs]],Hours_Sum[[#This Row],[1.5x OT Hrs]],Hours_Sum[[#This Row],[2x OT Hrs]])</f>
        <v>0</v>
      </c>
      <c r="F152">
        <f>SUMIFS(Shift_Track[Reg
Hrs],Shift_Track[Pay Period],Hours_Sum[[#This Row],[Pay Due]])</f>
        <v>0</v>
      </c>
      <c r="G152">
        <f>SUMIFS(Shift_Track[1.5x OT
Hrs],Shift_Track[Pay Period],Hours_Sum[[#This Row],[Pay Due]])</f>
        <v>0</v>
      </c>
      <c r="H152">
        <f>SUMIFS(Shift_Track[2x OT
Hrs],Shift_Track[Pay Period],Hours_Sum[[#This Row],[Pay Due]])</f>
        <v>0</v>
      </c>
      <c r="I152">
        <f>SUM(Hours_Sum[[#This Row],[Reg Hrs]],1.5*Hours_Sum[[#This Row],[1.5x OT Hrs]],2*Hours_Sum[[#This Row],[2x OT Hrs]])</f>
        <v>0</v>
      </c>
      <c r="J152">
        <f>Hours_Sum[[#This Row],[Tot Hrs
(Converted)]]*22</f>
        <v>0</v>
      </c>
      <c r="K152">
        <f>YEAR(Hours_Sum[[#This Row],[Pay Due]])</f>
        <v>2028</v>
      </c>
      <c r="L152" t="str">
        <f>TEXT(Hours_Sum[[#This Row],[Pay Due]],"MMMM")</f>
        <v>July</v>
      </c>
    </row>
    <row r="153" spans="2:12" x14ac:dyDescent="0.25">
      <c r="B153" s="39">
        <v>46969</v>
      </c>
      <c r="C153" s="5">
        <f>_xlfn.XLOOKUP(Hours_Sum[[#This Row],[Pay Due]],Dates_Ref[QCH due],Dates_Ref[Start],"",0)</f>
        <v>46951</v>
      </c>
      <c r="D153" s="5">
        <f>Hours_Sum[[#This Row],[PP Start]]+13</f>
        <v>46964</v>
      </c>
      <c r="E153">
        <f>SUM(Hours_Sum[[#This Row],[Reg Hrs]],Hours_Sum[[#This Row],[1.5x OT Hrs]],Hours_Sum[[#This Row],[2x OT Hrs]])</f>
        <v>0</v>
      </c>
      <c r="F153">
        <f>SUMIFS(Shift_Track[Reg
Hrs],Shift_Track[Pay Period],Hours_Sum[[#This Row],[Pay Due]])</f>
        <v>0</v>
      </c>
      <c r="G153">
        <f>SUMIFS(Shift_Track[1.5x OT
Hrs],Shift_Track[Pay Period],Hours_Sum[[#This Row],[Pay Due]])</f>
        <v>0</v>
      </c>
      <c r="H153">
        <f>SUMIFS(Shift_Track[2x OT
Hrs],Shift_Track[Pay Period],Hours_Sum[[#This Row],[Pay Due]])</f>
        <v>0</v>
      </c>
      <c r="I153">
        <f>SUM(Hours_Sum[[#This Row],[Reg Hrs]],1.5*Hours_Sum[[#This Row],[1.5x OT Hrs]],2*Hours_Sum[[#This Row],[2x OT Hrs]])</f>
        <v>0</v>
      </c>
      <c r="J153">
        <f>Hours_Sum[[#This Row],[Tot Hrs
(Converted)]]*22</f>
        <v>0</v>
      </c>
      <c r="K153">
        <f>YEAR(Hours_Sum[[#This Row],[Pay Due]])</f>
        <v>2028</v>
      </c>
      <c r="L153" t="str">
        <f>TEXT(Hours_Sum[[#This Row],[Pay Due]],"MMMM")</f>
        <v>August</v>
      </c>
    </row>
    <row r="154" spans="2:12" x14ac:dyDescent="0.25">
      <c r="B154" s="39">
        <v>46983</v>
      </c>
      <c r="C154" s="5">
        <f>_xlfn.XLOOKUP(Hours_Sum[[#This Row],[Pay Due]],Dates_Ref[QCH due],Dates_Ref[Start],"",0)</f>
        <v>46965</v>
      </c>
      <c r="D154" s="5">
        <f>Hours_Sum[[#This Row],[PP Start]]+13</f>
        <v>46978</v>
      </c>
      <c r="E154">
        <f>SUM(Hours_Sum[[#This Row],[Reg Hrs]],Hours_Sum[[#This Row],[1.5x OT Hrs]],Hours_Sum[[#This Row],[2x OT Hrs]])</f>
        <v>0</v>
      </c>
      <c r="F154">
        <f>SUMIFS(Shift_Track[Reg
Hrs],Shift_Track[Pay Period],Hours_Sum[[#This Row],[Pay Due]])</f>
        <v>0</v>
      </c>
      <c r="G154">
        <f>SUMIFS(Shift_Track[1.5x OT
Hrs],Shift_Track[Pay Period],Hours_Sum[[#This Row],[Pay Due]])</f>
        <v>0</v>
      </c>
      <c r="H154">
        <f>SUMIFS(Shift_Track[2x OT
Hrs],Shift_Track[Pay Period],Hours_Sum[[#This Row],[Pay Due]])</f>
        <v>0</v>
      </c>
      <c r="I154">
        <f>SUM(Hours_Sum[[#This Row],[Reg Hrs]],1.5*Hours_Sum[[#This Row],[1.5x OT Hrs]],2*Hours_Sum[[#This Row],[2x OT Hrs]])</f>
        <v>0</v>
      </c>
      <c r="J154">
        <f>Hours_Sum[[#This Row],[Tot Hrs
(Converted)]]*22</f>
        <v>0</v>
      </c>
      <c r="K154">
        <f>YEAR(Hours_Sum[[#This Row],[Pay Due]])</f>
        <v>2028</v>
      </c>
      <c r="L154" t="str">
        <f>TEXT(Hours_Sum[[#This Row],[Pay Due]],"MMMM")</f>
        <v>August</v>
      </c>
    </row>
    <row r="155" spans="2:12" x14ac:dyDescent="0.25">
      <c r="B155" s="39">
        <v>46997</v>
      </c>
      <c r="C155" s="5">
        <f>_xlfn.XLOOKUP(Hours_Sum[[#This Row],[Pay Due]],Dates_Ref[QCH due],Dates_Ref[Start],"",0)</f>
        <v>46979</v>
      </c>
      <c r="D155" s="5">
        <f>Hours_Sum[[#This Row],[PP Start]]+13</f>
        <v>46992</v>
      </c>
      <c r="E155">
        <f>SUM(Hours_Sum[[#This Row],[Reg Hrs]],Hours_Sum[[#This Row],[1.5x OT Hrs]],Hours_Sum[[#This Row],[2x OT Hrs]])</f>
        <v>0</v>
      </c>
      <c r="F155">
        <f>SUMIFS(Shift_Track[Reg
Hrs],Shift_Track[Pay Period],Hours_Sum[[#This Row],[Pay Due]])</f>
        <v>0</v>
      </c>
      <c r="G155">
        <f>SUMIFS(Shift_Track[1.5x OT
Hrs],Shift_Track[Pay Period],Hours_Sum[[#This Row],[Pay Due]])</f>
        <v>0</v>
      </c>
      <c r="H155">
        <f>SUMIFS(Shift_Track[2x OT
Hrs],Shift_Track[Pay Period],Hours_Sum[[#This Row],[Pay Due]])</f>
        <v>0</v>
      </c>
      <c r="I155">
        <f>SUM(Hours_Sum[[#This Row],[Reg Hrs]],1.5*Hours_Sum[[#This Row],[1.5x OT Hrs]],2*Hours_Sum[[#This Row],[2x OT Hrs]])</f>
        <v>0</v>
      </c>
      <c r="J155">
        <f>Hours_Sum[[#This Row],[Tot Hrs
(Converted)]]*22</f>
        <v>0</v>
      </c>
      <c r="K155">
        <f>YEAR(Hours_Sum[[#This Row],[Pay Due]])</f>
        <v>2028</v>
      </c>
      <c r="L155" t="str">
        <f>TEXT(Hours_Sum[[#This Row],[Pay Due]],"MMMM")</f>
        <v>September</v>
      </c>
    </row>
    <row r="156" spans="2:12" x14ac:dyDescent="0.25">
      <c r="B156" s="39">
        <v>47011</v>
      </c>
      <c r="C156" s="5">
        <f>_xlfn.XLOOKUP(Hours_Sum[[#This Row],[Pay Due]],Dates_Ref[QCH due],Dates_Ref[Start],"",0)</f>
        <v>46993</v>
      </c>
      <c r="D156" s="5">
        <f>Hours_Sum[[#This Row],[PP Start]]+13</f>
        <v>47006</v>
      </c>
      <c r="E156">
        <f>SUM(Hours_Sum[[#This Row],[Reg Hrs]],Hours_Sum[[#This Row],[1.5x OT Hrs]],Hours_Sum[[#This Row],[2x OT Hrs]])</f>
        <v>0</v>
      </c>
      <c r="F156">
        <f>SUMIFS(Shift_Track[Reg
Hrs],Shift_Track[Pay Period],Hours_Sum[[#This Row],[Pay Due]])</f>
        <v>0</v>
      </c>
      <c r="G156">
        <f>SUMIFS(Shift_Track[1.5x OT
Hrs],Shift_Track[Pay Period],Hours_Sum[[#This Row],[Pay Due]])</f>
        <v>0</v>
      </c>
      <c r="H156">
        <f>SUMIFS(Shift_Track[2x OT
Hrs],Shift_Track[Pay Period],Hours_Sum[[#This Row],[Pay Due]])</f>
        <v>0</v>
      </c>
      <c r="I156">
        <f>SUM(Hours_Sum[[#This Row],[Reg Hrs]],1.5*Hours_Sum[[#This Row],[1.5x OT Hrs]],2*Hours_Sum[[#This Row],[2x OT Hrs]])</f>
        <v>0</v>
      </c>
      <c r="J156">
        <f>Hours_Sum[[#This Row],[Tot Hrs
(Converted)]]*22</f>
        <v>0</v>
      </c>
      <c r="K156">
        <f>YEAR(Hours_Sum[[#This Row],[Pay Due]])</f>
        <v>2028</v>
      </c>
      <c r="L156" t="str">
        <f>TEXT(Hours_Sum[[#This Row],[Pay Due]],"MMMM")</f>
        <v>September</v>
      </c>
    </row>
    <row r="157" spans="2:12" x14ac:dyDescent="0.25">
      <c r="B157" s="39">
        <v>47025</v>
      </c>
      <c r="C157" s="5">
        <f>_xlfn.XLOOKUP(Hours_Sum[[#This Row],[Pay Due]],Dates_Ref[QCH due],Dates_Ref[Start],"",0)</f>
        <v>47007</v>
      </c>
      <c r="D157" s="5">
        <f>Hours_Sum[[#This Row],[PP Start]]+13</f>
        <v>47020</v>
      </c>
      <c r="E157">
        <f>SUM(Hours_Sum[[#This Row],[Reg Hrs]],Hours_Sum[[#This Row],[1.5x OT Hrs]],Hours_Sum[[#This Row],[2x OT Hrs]])</f>
        <v>0</v>
      </c>
      <c r="F157">
        <f>SUMIFS(Shift_Track[Reg
Hrs],Shift_Track[Pay Period],Hours_Sum[[#This Row],[Pay Due]])</f>
        <v>0</v>
      </c>
      <c r="G157">
        <f>SUMIFS(Shift_Track[1.5x OT
Hrs],Shift_Track[Pay Period],Hours_Sum[[#This Row],[Pay Due]])</f>
        <v>0</v>
      </c>
      <c r="H157">
        <f>SUMIFS(Shift_Track[2x OT
Hrs],Shift_Track[Pay Period],Hours_Sum[[#This Row],[Pay Due]])</f>
        <v>0</v>
      </c>
      <c r="I157">
        <f>SUM(Hours_Sum[[#This Row],[Reg Hrs]],1.5*Hours_Sum[[#This Row],[1.5x OT Hrs]],2*Hours_Sum[[#This Row],[2x OT Hrs]])</f>
        <v>0</v>
      </c>
      <c r="J157">
        <f>Hours_Sum[[#This Row],[Tot Hrs
(Converted)]]*22</f>
        <v>0</v>
      </c>
      <c r="K157">
        <f>YEAR(Hours_Sum[[#This Row],[Pay Due]])</f>
        <v>2028</v>
      </c>
      <c r="L157" t="str">
        <f>TEXT(Hours_Sum[[#This Row],[Pay Due]],"MMMM")</f>
        <v>September</v>
      </c>
    </row>
    <row r="158" spans="2:12" x14ac:dyDescent="0.25">
      <c r="B158" s="39">
        <v>47039</v>
      </c>
      <c r="C158" s="5">
        <f>_xlfn.XLOOKUP(Hours_Sum[[#This Row],[Pay Due]],Dates_Ref[QCH due],Dates_Ref[Start],"",0)</f>
        <v>47021</v>
      </c>
      <c r="D158" s="5">
        <f>Hours_Sum[[#This Row],[PP Start]]+13</f>
        <v>47034</v>
      </c>
      <c r="E158">
        <f>SUM(Hours_Sum[[#This Row],[Reg Hrs]],Hours_Sum[[#This Row],[1.5x OT Hrs]],Hours_Sum[[#This Row],[2x OT Hrs]])</f>
        <v>0</v>
      </c>
      <c r="F158">
        <f>SUMIFS(Shift_Track[Reg
Hrs],Shift_Track[Pay Period],Hours_Sum[[#This Row],[Pay Due]])</f>
        <v>0</v>
      </c>
      <c r="G158">
        <f>SUMIFS(Shift_Track[1.5x OT
Hrs],Shift_Track[Pay Period],Hours_Sum[[#This Row],[Pay Due]])</f>
        <v>0</v>
      </c>
      <c r="H158">
        <f>SUMIFS(Shift_Track[2x OT
Hrs],Shift_Track[Pay Period],Hours_Sum[[#This Row],[Pay Due]])</f>
        <v>0</v>
      </c>
      <c r="I158">
        <f>SUM(Hours_Sum[[#This Row],[Reg Hrs]],1.5*Hours_Sum[[#This Row],[1.5x OT Hrs]],2*Hours_Sum[[#This Row],[2x OT Hrs]])</f>
        <v>0</v>
      </c>
      <c r="J158">
        <f>Hours_Sum[[#This Row],[Tot Hrs
(Converted)]]*22</f>
        <v>0</v>
      </c>
      <c r="K158">
        <f>YEAR(Hours_Sum[[#This Row],[Pay Due]])</f>
        <v>2028</v>
      </c>
      <c r="L158" t="str">
        <f>TEXT(Hours_Sum[[#This Row],[Pay Due]],"MMMM")</f>
        <v>October</v>
      </c>
    </row>
    <row r="159" spans="2:12" x14ac:dyDescent="0.25">
      <c r="B159" s="39">
        <v>47053</v>
      </c>
      <c r="C159" s="5">
        <f>_xlfn.XLOOKUP(Hours_Sum[[#This Row],[Pay Due]],Dates_Ref[QCH due],Dates_Ref[Start],"",0)</f>
        <v>47035</v>
      </c>
      <c r="D159" s="5">
        <f>Hours_Sum[[#This Row],[PP Start]]+13</f>
        <v>47048</v>
      </c>
      <c r="E159">
        <f>SUM(Hours_Sum[[#This Row],[Reg Hrs]],Hours_Sum[[#This Row],[1.5x OT Hrs]],Hours_Sum[[#This Row],[2x OT Hrs]])</f>
        <v>0</v>
      </c>
      <c r="F159">
        <f>SUMIFS(Shift_Track[Reg
Hrs],Shift_Track[Pay Period],Hours_Sum[[#This Row],[Pay Due]])</f>
        <v>0</v>
      </c>
      <c r="G159">
        <f>SUMIFS(Shift_Track[1.5x OT
Hrs],Shift_Track[Pay Period],Hours_Sum[[#This Row],[Pay Due]])</f>
        <v>0</v>
      </c>
      <c r="H159">
        <f>SUMIFS(Shift_Track[2x OT
Hrs],Shift_Track[Pay Period],Hours_Sum[[#This Row],[Pay Due]])</f>
        <v>0</v>
      </c>
      <c r="I159">
        <f>SUM(Hours_Sum[[#This Row],[Reg Hrs]],1.5*Hours_Sum[[#This Row],[1.5x OT Hrs]],2*Hours_Sum[[#This Row],[2x OT Hrs]])</f>
        <v>0</v>
      </c>
      <c r="J159">
        <f>Hours_Sum[[#This Row],[Tot Hrs
(Converted)]]*22</f>
        <v>0</v>
      </c>
      <c r="K159">
        <f>YEAR(Hours_Sum[[#This Row],[Pay Due]])</f>
        <v>2028</v>
      </c>
      <c r="L159" t="str">
        <f>TEXT(Hours_Sum[[#This Row],[Pay Due]],"MMMM")</f>
        <v>October</v>
      </c>
    </row>
    <row r="160" spans="2:12" x14ac:dyDescent="0.25">
      <c r="B160" s="39">
        <v>47067</v>
      </c>
      <c r="C160" s="5">
        <f>_xlfn.XLOOKUP(Hours_Sum[[#This Row],[Pay Due]],Dates_Ref[QCH due],Dates_Ref[Start],"",0)</f>
        <v>47049</v>
      </c>
      <c r="D160" s="5">
        <f>Hours_Sum[[#This Row],[PP Start]]+13</f>
        <v>47062</v>
      </c>
      <c r="E160">
        <f>SUM(Hours_Sum[[#This Row],[Reg Hrs]],Hours_Sum[[#This Row],[1.5x OT Hrs]],Hours_Sum[[#This Row],[2x OT Hrs]])</f>
        <v>0</v>
      </c>
      <c r="F160">
        <f>SUMIFS(Shift_Track[Reg
Hrs],Shift_Track[Pay Period],Hours_Sum[[#This Row],[Pay Due]])</f>
        <v>0</v>
      </c>
      <c r="G160">
        <f>SUMIFS(Shift_Track[1.5x OT
Hrs],Shift_Track[Pay Period],Hours_Sum[[#This Row],[Pay Due]])</f>
        <v>0</v>
      </c>
      <c r="H160">
        <f>SUMIFS(Shift_Track[2x OT
Hrs],Shift_Track[Pay Period],Hours_Sum[[#This Row],[Pay Due]])</f>
        <v>0</v>
      </c>
      <c r="I160">
        <f>SUM(Hours_Sum[[#This Row],[Reg Hrs]],1.5*Hours_Sum[[#This Row],[1.5x OT Hrs]],2*Hours_Sum[[#This Row],[2x OT Hrs]])</f>
        <v>0</v>
      </c>
      <c r="J160">
        <f>Hours_Sum[[#This Row],[Tot Hrs
(Converted)]]*22</f>
        <v>0</v>
      </c>
      <c r="K160">
        <f>YEAR(Hours_Sum[[#This Row],[Pay Due]])</f>
        <v>2028</v>
      </c>
      <c r="L160" t="str">
        <f>TEXT(Hours_Sum[[#This Row],[Pay Due]],"MMMM")</f>
        <v>November</v>
      </c>
    </row>
    <row r="161" spans="2:12" x14ac:dyDescent="0.25">
      <c r="B161" s="39">
        <v>47081</v>
      </c>
      <c r="C161" s="5">
        <f>_xlfn.XLOOKUP(Hours_Sum[[#This Row],[Pay Due]],Dates_Ref[QCH due],Dates_Ref[Start],"",0)</f>
        <v>47063</v>
      </c>
      <c r="D161" s="5">
        <f>Hours_Sum[[#This Row],[PP Start]]+13</f>
        <v>47076</v>
      </c>
      <c r="E161">
        <f>SUM(Hours_Sum[[#This Row],[Reg Hrs]],Hours_Sum[[#This Row],[1.5x OT Hrs]],Hours_Sum[[#This Row],[2x OT Hrs]])</f>
        <v>0</v>
      </c>
      <c r="F161">
        <f>SUMIFS(Shift_Track[Reg
Hrs],Shift_Track[Pay Period],Hours_Sum[[#This Row],[Pay Due]])</f>
        <v>0</v>
      </c>
      <c r="G161">
        <f>SUMIFS(Shift_Track[1.5x OT
Hrs],Shift_Track[Pay Period],Hours_Sum[[#This Row],[Pay Due]])</f>
        <v>0</v>
      </c>
      <c r="H161">
        <f>SUMIFS(Shift_Track[2x OT
Hrs],Shift_Track[Pay Period],Hours_Sum[[#This Row],[Pay Due]])</f>
        <v>0</v>
      </c>
      <c r="I161">
        <f>SUM(Hours_Sum[[#This Row],[Reg Hrs]],1.5*Hours_Sum[[#This Row],[1.5x OT Hrs]],2*Hours_Sum[[#This Row],[2x OT Hrs]])</f>
        <v>0</v>
      </c>
      <c r="J161">
        <f>Hours_Sum[[#This Row],[Tot Hrs
(Converted)]]*22</f>
        <v>0</v>
      </c>
      <c r="K161">
        <f>YEAR(Hours_Sum[[#This Row],[Pay Due]])</f>
        <v>2028</v>
      </c>
      <c r="L161" t="str">
        <f>TEXT(Hours_Sum[[#This Row],[Pay Due]],"MMMM")</f>
        <v>November</v>
      </c>
    </row>
    <row r="162" spans="2:12" x14ac:dyDescent="0.25">
      <c r="B162" s="39">
        <v>47095</v>
      </c>
      <c r="C162" s="5">
        <f>_xlfn.XLOOKUP(Hours_Sum[[#This Row],[Pay Due]],Dates_Ref[QCH due],Dates_Ref[Start],"",0)</f>
        <v>47077</v>
      </c>
      <c r="D162" s="5">
        <f>Hours_Sum[[#This Row],[PP Start]]+13</f>
        <v>47090</v>
      </c>
      <c r="E162">
        <f>SUM(Hours_Sum[[#This Row],[Reg Hrs]],Hours_Sum[[#This Row],[1.5x OT Hrs]],Hours_Sum[[#This Row],[2x OT Hrs]])</f>
        <v>0</v>
      </c>
      <c r="F162">
        <f>SUMIFS(Shift_Track[Reg
Hrs],Shift_Track[Pay Period],Hours_Sum[[#This Row],[Pay Due]])</f>
        <v>0</v>
      </c>
      <c r="G162">
        <f>SUMIFS(Shift_Track[1.5x OT
Hrs],Shift_Track[Pay Period],Hours_Sum[[#This Row],[Pay Due]])</f>
        <v>0</v>
      </c>
      <c r="H162">
        <f>SUMIFS(Shift_Track[2x OT
Hrs],Shift_Track[Pay Period],Hours_Sum[[#This Row],[Pay Due]])</f>
        <v>0</v>
      </c>
      <c r="I162">
        <f>SUM(Hours_Sum[[#This Row],[Reg Hrs]],1.5*Hours_Sum[[#This Row],[1.5x OT Hrs]],2*Hours_Sum[[#This Row],[2x OT Hrs]])</f>
        <v>0</v>
      </c>
      <c r="J162">
        <f>Hours_Sum[[#This Row],[Tot Hrs
(Converted)]]*22</f>
        <v>0</v>
      </c>
      <c r="K162">
        <f>YEAR(Hours_Sum[[#This Row],[Pay Due]])</f>
        <v>2028</v>
      </c>
      <c r="L162" t="str">
        <f>TEXT(Hours_Sum[[#This Row],[Pay Due]],"MMMM")</f>
        <v>December</v>
      </c>
    </row>
    <row r="163" spans="2:12" x14ac:dyDescent="0.25">
      <c r="B163" s="39">
        <v>47109</v>
      </c>
      <c r="C163" s="5">
        <f>_xlfn.XLOOKUP(Hours_Sum[[#This Row],[Pay Due]],Dates_Ref[QCH due],Dates_Ref[Start],"",0)</f>
        <v>47091</v>
      </c>
      <c r="D163" s="5">
        <f>Hours_Sum[[#This Row],[PP Start]]+13</f>
        <v>47104</v>
      </c>
      <c r="E163">
        <f>SUM(Hours_Sum[[#This Row],[Reg Hrs]],Hours_Sum[[#This Row],[1.5x OT Hrs]],Hours_Sum[[#This Row],[2x OT Hrs]])</f>
        <v>0</v>
      </c>
      <c r="F163">
        <f>SUMIFS(Shift_Track[Reg
Hrs],Shift_Track[Pay Period],Hours_Sum[[#This Row],[Pay Due]])</f>
        <v>0</v>
      </c>
      <c r="G163">
        <f>SUMIFS(Shift_Track[1.5x OT
Hrs],Shift_Track[Pay Period],Hours_Sum[[#This Row],[Pay Due]])</f>
        <v>0</v>
      </c>
      <c r="H163">
        <f>SUMIFS(Shift_Track[2x OT
Hrs],Shift_Track[Pay Period],Hours_Sum[[#This Row],[Pay Due]])</f>
        <v>0</v>
      </c>
      <c r="I163">
        <f>SUM(Hours_Sum[[#This Row],[Reg Hrs]],1.5*Hours_Sum[[#This Row],[1.5x OT Hrs]],2*Hours_Sum[[#This Row],[2x OT Hrs]])</f>
        <v>0</v>
      </c>
      <c r="J163">
        <f>Hours_Sum[[#This Row],[Tot Hrs
(Converted)]]*22</f>
        <v>0</v>
      </c>
      <c r="K163">
        <f>YEAR(Hours_Sum[[#This Row],[Pay Due]])</f>
        <v>2028</v>
      </c>
      <c r="L163" t="str">
        <f>TEXT(Hours_Sum[[#This Row],[Pay Due]],"MMMM")</f>
        <v>December</v>
      </c>
    </row>
    <row r="164" spans="2:12" x14ac:dyDescent="0.25">
      <c r="B164" s="39">
        <v>47123</v>
      </c>
      <c r="C164" s="5">
        <f>_xlfn.XLOOKUP(Hours_Sum[[#This Row],[Pay Due]],Dates_Ref[QCH due],Dates_Ref[Start],"",0)</f>
        <v>47105</v>
      </c>
      <c r="D164" s="5">
        <f>Hours_Sum[[#This Row],[PP Start]]+13</f>
        <v>47118</v>
      </c>
      <c r="E164">
        <f>SUM(Hours_Sum[[#This Row],[Reg Hrs]],Hours_Sum[[#This Row],[1.5x OT Hrs]],Hours_Sum[[#This Row],[2x OT Hrs]])</f>
        <v>0</v>
      </c>
      <c r="F164">
        <f>SUMIFS(Shift_Track[Reg
Hrs],Shift_Track[Pay Period],Hours_Sum[[#This Row],[Pay Due]])</f>
        <v>0</v>
      </c>
      <c r="G164">
        <f>SUMIFS(Shift_Track[1.5x OT
Hrs],Shift_Track[Pay Period],Hours_Sum[[#This Row],[Pay Due]])</f>
        <v>0</v>
      </c>
      <c r="H164">
        <f>SUMIFS(Shift_Track[2x OT
Hrs],Shift_Track[Pay Period],Hours_Sum[[#This Row],[Pay Due]])</f>
        <v>0</v>
      </c>
      <c r="I164">
        <f>SUM(Hours_Sum[[#This Row],[Reg Hrs]],1.5*Hours_Sum[[#This Row],[1.5x OT Hrs]],2*Hours_Sum[[#This Row],[2x OT Hrs]])</f>
        <v>0</v>
      </c>
      <c r="J164">
        <f>Hours_Sum[[#This Row],[Tot Hrs
(Converted)]]*22</f>
        <v>0</v>
      </c>
      <c r="K164">
        <f>YEAR(Hours_Sum[[#This Row],[Pay Due]])</f>
        <v>2029</v>
      </c>
      <c r="L164" t="str">
        <f>TEXT(Hours_Sum[[#This Row],[Pay Due]],"MMMM")</f>
        <v>January</v>
      </c>
    </row>
    <row r="165" spans="2:12" x14ac:dyDescent="0.25">
      <c r="B165" s="39">
        <v>47137</v>
      </c>
      <c r="C165" s="5">
        <f>_xlfn.XLOOKUP(Hours_Sum[[#This Row],[Pay Due]],Dates_Ref[QCH due],Dates_Ref[Start],"",0)</f>
        <v>47119</v>
      </c>
      <c r="D165" s="5">
        <f>Hours_Sum[[#This Row],[PP Start]]+13</f>
        <v>47132</v>
      </c>
      <c r="E165">
        <f>SUM(Hours_Sum[[#This Row],[Reg Hrs]],Hours_Sum[[#This Row],[1.5x OT Hrs]],Hours_Sum[[#This Row],[2x OT Hrs]])</f>
        <v>0</v>
      </c>
      <c r="F165">
        <f>SUMIFS(Shift_Track[Reg
Hrs],Shift_Track[Pay Period],Hours_Sum[[#This Row],[Pay Due]])</f>
        <v>0</v>
      </c>
      <c r="G165">
        <f>SUMIFS(Shift_Track[1.5x OT
Hrs],Shift_Track[Pay Period],Hours_Sum[[#This Row],[Pay Due]])</f>
        <v>0</v>
      </c>
      <c r="H165">
        <f>SUMIFS(Shift_Track[2x OT
Hrs],Shift_Track[Pay Period],Hours_Sum[[#This Row],[Pay Due]])</f>
        <v>0</v>
      </c>
      <c r="I165">
        <f>SUM(Hours_Sum[[#This Row],[Reg Hrs]],1.5*Hours_Sum[[#This Row],[1.5x OT Hrs]],2*Hours_Sum[[#This Row],[2x OT Hrs]])</f>
        <v>0</v>
      </c>
      <c r="J165">
        <f>Hours_Sum[[#This Row],[Tot Hrs
(Converted)]]*22</f>
        <v>0</v>
      </c>
      <c r="K165">
        <f>YEAR(Hours_Sum[[#This Row],[Pay Due]])</f>
        <v>2029</v>
      </c>
      <c r="L165" t="str">
        <f>TEXT(Hours_Sum[[#This Row],[Pay Due]],"MMMM")</f>
        <v>January</v>
      </c>
    </row>
    <row r="166" spans="2:12" x14ac:dyDescent="0.25">
      <c r="B166" s="39">
        <v>47151</v>
      </c>
      <c r="C166" s="5">
        <f>_xlfn.XLOOKUP(Hours_Sum[[#This Row],[Pay Due]],Dates_Ref[QCH due],Dates_Ref[Start],"",0)</f>
        <v>47133</v>
      </c>
      <c r="D166" s="5">
        <f>Hours_Sum[[#This Row],[PP Start]]+13</f>
        <v>47146</v>
      </c>
      <c r="E166">
        <f>SUM(Hours_Sum[[#This Row],[Reg Hrs]],Hours_Sum[[#This Row],[1.5x OT Hrs]],Hours_Sum[[#This Row],[2x OT Hrs]])</f>
        <v>0</v>
      </c>
      <c r="F166">
        <f>SUMIFS(Shift_Track[Reg
Hrs],Shift_Track[Pay Period],Hours_Sum[[#This Row],[Pay Due]])</f>
        <v>0</v>
      </c>
      <c r="G166">
        <f>SUMIFS(Shift_Track[1.5x OT
Hrs],Shift_Track[Pay Period],Hours_Sum[[#This Row],[Pay Due]])</f>
        <v>0</v>
      </c>
      <c r="H166">
        <f>SUMIFS(Shift_Track[2x OT
Hrs],Shift_Track[Pay Period],Hours_Sum[[#This Row],[Pay Due]])</f>
        <v>0</v>
      </c>
      <c r="I166">
        <f>SUM(Hours_Sum[[#This Row],[Reg Hrs]],1.5*Hours_Sum[[#This Row],[1.5x OT Hrs]],2*Hours_Sum[[#This Row],[2x OT Hrs]])</f>
        <v>0</v>
      </c>
      <c r="J166">
        <f>Hours_Sum[[#This Row],[Tot Hrs
(Converted)]]*22</f>
        <v>0</v>
      </c>
      <c r="K166">
        <f>YEAR(Hours_Sum[[#This Row],[Pay Due]])</f>
        <v>2029</v>
      </c>
      <c r="L166" t="str">
        <f>TEXT(Hours_Sum[[#This Row],[Pay Due]],"MMMM")</f>
        <v>February</v>
      </c>
    </row>
    <row r="167" spans="2:12" x14ac:dyDescent="0.25">
      <c r="B167" s="39">
        <v>47165</v>
      </c>
      <c r="C167" s="5">
        <f>_xlfn.XLOOKUP(Hours_Sum[[#This Row],[Pay Due]],Dates_Ref[QCH due],Dates_Ref[Start],"",0)</f>
        <v>47147</v>
      </c>
      <c r="D167" s="5">
        <f>Hours_Sum[[#This Row],[PP Start]]+13</f>
        <v>47160</v>
      </c>
      <c r="E167">
        <f>SUM(Hours_Sum[[#This Row],[Reg Hrs]],Hours_Sum[[#This Row],[1.5x OT Hrs]],Hours_Sum[[#This Row],[2x OT Hrs]])</f>
        <v>0</v>
      </c>
      <c r="F167">
        <f>SUMIFS(Shift_Track[Reg
Hrs],Shift_Track[Pay Period],Hours_Sum[[#This Row],[Pay Due]])</f>
        <v>0</v>
      </c>
      <c r="G167">
        <f>SUMIFS(Shift_Track[1.5x OT
Hrs],Shift_Track[Pay Period],Hours_Sum[[#This Row],[Pay Due]])</f>
        <v>0</v>
      </c>
      <c r="H167">
        <f>SUMIFS(Shift_Track[2x OT
Hrs],Shift_Track[Pay Period],Hours_Sum[[#This Row],[Pay Due]])</f>
        <v>0</v>
      </c>
      <c r="I167">
        <f>SUM(Hours_Sum[[#This Row],[Reg Hrs]],1.5*Hours_Sum[[#This Row],[1.5x OT Hrs]],2*Hours_Sum[[#This Row],[2x OT Hrs]])</f>
        <v>0</v>
      </c>
      <c r="J167">
        <f>Hours_Sum[[#This Row],[Tot Hrs
(Converted)]]*22</f>
        <v>0</v>
      </c>
      <c r="K167">
        <f>YEAR(Hours_Sum[[#This Row],[Pay Due]])</f>
        <v>2029</v>
      </c>
      <c r="L167" t="str">
        <f>TEXT(Hours_Sum[[#This Row],[Pay Due]],"MMMM")</f>
        <v>February</v>
      </c>
    </row>
    <row r="168" spans="2:12" x14ac:dyDescent="0.25">
      <c r="B168" s="39">
        <v>47179</v>
      </c>
      <c r="C168" s="5">
        <f>_xlfn.XLOOKUP(Hours_Sum[[#This Row],[Pay Due]],Dates_Ref[QCH due],Dates_Ref[Start],"",0)</f>
        <v>47161</v>
      </c>
      <c r="D168" s="5">
        <f>Hours_Sum[[#This Row],[PP Start]]+13</f>
        <v>47174</v>
      </c>
      <c r="E168">
        <f>SUM(Hours_Sum[[#This Row],[Reg Hrs]],Hours_Sum[[#This Row],[1.5x OT Hrs]],Hours_Sum[[#This Row],[2x OT Hrs]])</f>
        <v>0</v>
      </c>
      <c r="F168">
        <f>SUMIFS(Shift_Track[Reg
Hrs],Shift_Track[Pay Period],Hours_Sum[[#This Row],[Pay Due]])</f>
        <v>0</v>
      </c>
      <c r="G168">
        <f>SUMIFS(Shift_Track[1.5x OT
Hrs],Shift_Track[Pay Period],Hours_Sum[[#This Row],[Pay Due]])</f>
        <v>0</v>
      </c>
      <c r="H168">
        <f>SUMIFS(Shift_Track[2x OT
Hrs],Shift_Track[Pay Period],Hours_Sum[[#This Row],[Pay Due]])</f>
        <v>0</v>
      </c>
      <c r="I168">
        <f>SUM(Hours_Sum[[#This Row],[Reg Hrs]],1.5*Hours_Sum[[#This Row],[1.5x OT Hrs]],2*Hours_Sum[[#This Row],[2x OT Hrs]])</f>
        <v>0</v>
      </c>
      <c r="J168">
        <f>Hours_Sum[[#This Row],[Tot Hrs
(Converted)]]*22</f>
        <v>0</v>
      </c>
      <c r="K168">
        <f>YEAR(Hours_Sum[[#This Row],[Pay Due]])</f>
        <v>2029</v>
      </c>
      <c r="L168" t="str">
        <f>TEXT(Hours_Sum[[#This Row],[Pay Due]],"MMMM")</f>
        <v>March</v>
      </c>
    </row>
    <row r="169" spans="2:12" x14ac:dyDescent="0.25">
      <c r="B169" s="39">
        <v>47193</v>
      </c>
      <c r="C169" s="5">
        <f>_xlfn.XLOOKUP(Hours_Sum[[#This Row],[Pay Due]],Dates_Ref[QCH due],Dates_Ref[Start],"",0)</f>
        <v>47175</v>
      </c>
      <c r="D169" s="5">
        <f>Hours_Sum[[#This Row],[PP Start]]+13</f>
        <v>47188</v>
      </c>
      <c r="E169">
        <f>SUM(Hours_Sum[[#This Row],[Reg Hrs]],Hours_Sum[[#This Row],[1.5x OT Hrs]],Hours_Sum[[#This Row],[2x OT Hrs]])</f>
        <v>0</v>
      </c>
      <c r="F169">
        <f>SUMIFS(Shift_Track[Reg
Hrs],Shift_Track[Pay Period],Hours_Sum[[#This Row],[Pay Due]])</f>
        <v>0</v>
      </c>
      <c r="G169">
        <f>SUMIFS(Shift_Track[1.5x OT
Hrs],Shift_Track[Pay Period],Hours_Sum[[#This Row],[Pay Due]])</f>
        <v>0</v>
      </c>
      <c r="H169">
        <f>SUMIFS(Shift_Track[2x OT
Hrs],Shift_Track[Pay Period],Hours_Sum[[#This Row],[Pay Due]])</f>
        <v>0</v>
      </c>
      <c r="I169">
        <f>SUM(Hours_Sum[[#This Row],[Reg Hrs]],1.5*Hours_Sum[[#This Row],[1.5x OT Hrs]],2*Hours_Sum[[#This Row],[2x OT Hrs]])</f>
        <v>0</v>
      </c>
      <c r="J169">
        <f>Hours_Sum[[#This Row],[Tot Hrs
(Converted)]]*22</f>
        <v>0</v>
      </c>
      <c r="K169">
        <f>YEAR(Hours_Sum[[#This Row],[Pay Due]])</f>
        <v>2029</v>
      </c>
      <c r="L169" t="str">
        <f>TEXT(Hours_Sum[[#This Row],[Pay Due]],"MMMM")</f>
        <v>March</v>
      </c>
    </row>
    <row r="170" spans="2:12" x14ac:dyDescent="0.25">
      <c r="B170" s="39">
        <v>47207</v>
      </c>
      <c r="C170" s="5">
        <f>_xlfn.XLOOKUP(Hours_Sum[[#This Row],[Pay Due]],Dates_Ref[QCH due],Dates_Ref[Start],"",0)</f>
        <v>47189</v>
      </c>
      <c r="D170" s="5">
        <f>Hours_Sum[[#This Row],[PP Start]]+13</f>
        <v>47202</v>
      </c>
      <c r="E170">
        <f>SUM(Hours_Sum[[#This Row],[Reg Hrs]],Hours_Sum[[#This Row],[1.5x OT Hrs]],Hours_Sum[[#This Row],[2x OT Hrs]])</f>
        <v>0</v>
      </c>
      <c r="F170">
        <f>SUMIFS(Shift_Track[Reg
Hrs],Shift_Track[Pay Period],Hours_Sum[[#This Row],[Pay Due]])</f>
        <v>0</v>
      </c>
      <c r="G170">
        <f>SUMIFS(Shift_Track[1.5x OT
Hrs],Shift_Track[Pay Period],Hours_Sum[[#This Row],[Pay Due]])</f>
        <v>0</v>
      </c>
      <c r="H170">
        <f>SUMIFS(Shift_Track[2x OT
Hrs],Shift_Track[Pay Period],Hours_Sum[[#This Row],[Pay Due]])</f>
        <v>0</v>
      </c>
      <c r="I170">
        <f>SUM(Hours_Sum[[#This Row],[Reg Hrs]],1.5*Hours_Sum[[#This Row],[1.5x OT Hrs]],2*Hours_Sum[[#This Row],[2x OT Hrs]])</f>
        <v>0</v>
      </c>
      <c r="J170">
        <f>Hours_Sum[[#This Row],[Tot Hrs
(Converted)]]*22</f>
        <v>0</v>
      </c>
      <c r="K170">
        <f>YEAR(Hours_Sum[[#This Row],[Pay Due]])</f>
        <v>2029</v>
      </c>
      <c r="L170" t="str">
        <f>TEXT(Hours_Sum[[#This Row],[Pay Due]],"MMMM")</f>
        <v>March</v>
      </c>
    </row>
    <row r="171" spans="2:12" x14ac:dyDescent="0.25">
      <c r="B171" s="39">
        <v>47221</v>
      </c>
      <c r="C171" s="5">
        <f>_xlfn.XLOOKUP(Hours_Sum[[#This Row],[Pay Due]],Dates_Ref[QCH due],Dates_Ref[Start],"",0)</f>
        <v>47203</v>
      </c>
      <c r="D171" s="5">
        <f>Hours_Sum[[#This Row],[PP Start]]+13</f>
        <v>47216</v>
      </c>
      <c r="E171">
        <f>SUM(Hours_Sum[[#This Row],[Reg Hrs]],Hours_Sum[[#This Row],[1.5x OT Hrs]],Hours_Sum[[#This Row],[2x OT Hrs]])</f>
        <v>0</v>
      </c>
      <c r="F171">
        <f>SUMIFS(Shift_Track[Reg
Hrs],Shift_Track[Pay Period],Hours_Sum[[#This Row],[Pay Due]])</f>
        <v>0</v>
      </c>
      <c r="G171">
        <f>SUMIFS(Shift_Track[1.5x OT
Hrs],Shift_Track[Pay Period],Hours_Sum[[#This Row],[Pay Due]])</f>
        <v>0</v>
      </c>
      <c r="H171">
        <f>SUMIFS(Shift_Track[2x OT
Hrs],Shift_Track[Pay Period],Hours_Sum[[#This Row],[Pay Due]])</f>
        <v>0</v>
      </c>
      <c r="I171">
        <f>SUM(Hours_Sum[[#This Row],[Reg Hrs]],1.5*Hours_Sum[[#This Row],[1.5x OT Hrs]],2*Hours_Sum[[#This Row],[2x OT Hrs]])</f>
        <v>0</v>
      </c>
      <c r="J171">
        <f>Hours_Sum[[#This Row],[Tot Hrs
(Converted)]]*22</f>
        <v>0</v>
      </c>
      <c r="K171">
        <f>YEAR(Hours_Sum[[#This Row],[Pay Due]])</f>
        <v>2029</v>
      </c>
      <c r="L171" t="str">
        <f>TEXT(Hours_Sum[[#This Row],[Pay Due]],"MMMM")</f>
        <v>April</v>
      </c>
    </row>
    <row r="172" spans="2:12" x14ac:dyDescent="0.25">
      <c r="B172" s="39">
        <v>47235</v>
      </c>
      <c r="C172" s="5">
        <f>_xlfn.XLOOKUP(Hours_Sum[[#This Row],[Pay Due]],Dates_Ref[QCH due],Dates_Ref[Start],"",0)</f>
        <v>47217</v>
      </c>
      <c r="D172" s="5">
        <f>Hours_Sum[[#This Row],[PP Start]]+13</f>
        <v>47230</v>
      </c>
      <c r="E172">
        <f>SUM(Hours_Sum[[#This Row],[Reg Hrs]],Hours_Sum[[#This Row],[1.5x OT Hrs]],Hours_Sum[[#This Row],[2x OT Hrs]])</f>
        <v>0</v>
      </c>
      <c r="F172">
        <f>SUMIFS(Shift_Track[Reg
Hrs],Shift_Track[Pay Period],Hours_Sum[[#This Row],[Pay Due]])</f>
        <v>0</v>
      </c>
      <c r="G172">
        <f>SUMIFS(Shift_Track[1.5x OT
Hrs],Shift_Track[Pay Period],Hours_Sum[[#This Row],[Pay Due]])</f>
        <v>0</v>
      </c>
      <c r="H172">
        <f>SUMIFS(Shift_Track[2x OT
Hrs],Shift_Track[Pay Period],Hours_Sum[[#This Row],[Pay Due]])</f>
        <v>0</v>
      </c>
      <c r="I172">
        <f>SUM(Hours_Sum[[#This Row],[Reg Hrs]],1.5*Hours_Sum[[#This Row],[1.5x OT Hrs]],2*Hours_Sum[[#This Row],[2x OT Hrs]])</f>
        <v>0</v>
      </c>
      <c r="J172">
        <f>Hours_Sum[[#This Row],[Tot Hrs
(Converted)]]*22</f>
        <v>0</v>
      </c>
      <c r="K172">
        <f>YEAR(Hours_Sum[[#This Row],[Pay Due]])</f>
        <v>2029</v>
      </c>
      <c r="L172" t="str">
        <f>TEXT(Hours_Sum[[#This Row],[Pay Due]],"MMMM")</f>
        <v>April</v>
      </c>
    </row>
    <row r="173" spans="2:12" x14ac:dyDescent="0.25">
      <c r="B173" s="39">
        <v>47249</v>
      </c>
      <c r="C173" s="5">
        <f>_xlfn.XLOOKUP(Hours_Sum[[#This Row],[Pay Due]],Dates_Ref[QCH due],Dates_Ref[Start],"",0)</f>
        <v>47231</v>
      </c>
      <c r="D173" s="5">
        <f>Hours_Sum[[#This Row],[PP Start]]+13</f>
        <v>47244</v>
      </c>
      <c r="E173">
        <f>SUM(Hours_Sum[[#This Row],[Reg Hrs]],Hours_Sum[[#This Row],[1.5x OT Hrs]],Hours_Sum[[#This Row],[2x OT Hrs]])</f>
        <v>0</v>
      </c>
      <c r="F173">
        <f>SUMIFS(Shift_Track[Reg
Hrs],Shift_Track[Pay Period],Hours_Sum[[#This Row],[Pay Due]])</f>
        <v>0</v>
      </c>
      <c r="G173">
        <f>SUMIFS(Shift_Track[1.5x OT
Hrs],Shift_Track[Pay Period],Hours_Sum[[#This Row],[Pay Due]])</f>
        <v>0</v>
      </c>
      <c r="H173">
        <f>SUMIFS(Shift_Track[2x OT
Hrs],Shift_Track[Pay Period],Hours_Sum[[#This Row],[Pay Due]])</f>
        <v>0</v>
      </c>
      <c r="I173">
        <f>SUM(Hours_Sum[[#This Row],[Reg Hrs]],1.5*Hours_Sum[[#This Row],[1.5x OT Hrs]],2*Hours_Sum[[#This Row],[2x OT Hrs]])</f>
        <v>0</v>
      </c>
      <c r="J173">
        <f>Hours_Sum[[#This Row],[Tot Hrs
(Converted)]]*22</f>
        <v>0</v>
      </c>
      <c r="K173">
        <f>YEAR(Hours_Sum[[#This Row],[Pay Due]])</f>
        <v>2029</v>
      </c>
      <c r="L173" t="str">
        <f>TEXT(Hours_Sum[[#This Row],[Pay Due]],"MMMM")</f>
        <v>May</v>
      </c>
    </row>
    <row r="174" spans="2:12" x14ac:dyDescent="0.25">
      <c r="B174" s="39">
        <v>47263</v>
      </c>
      <c r="C174" s="5">
        <f>_xlfn.XLOOKUP(Hours_Sum[[#This Row],[Pay Due]],Dates_Ref[QCH due],Dates_Ref[Start],"",0)</f>
        <v>47245</v>
      </c>
      <c r="D174" s="5">
        <f>Hours_Sum[[#This Row],[PP Start]]+13</f>
        <v>47258</v>
      </c>
      <c r="E174">
        <f>SUM(Hours_Sum[[#This Row],[Reg Hrs]],Hours_Sum[[#This Row],[1.5x OT Hrs]],Hours_Sum[[#This Row],[2x OT Hrs]])</f>
        <v>0</v>
      </c>
      <c r="F174">
        <f>SUMIFS(Shift_Track[Reg
Hrs],Shift_Track[Pay Period],Hours_Sum[[#This Row],[Pay Due]])</f>
        <v>0</v>
      </c>
      <c r="G174">
        <f>SUMIFS(Shift_Track[1.5x OT
Hrs],Shift_Track[Pay Period],Hours_Sum[[#This Row],[Pay Due]])</f>
        <v>0</v>
      </c>
      <c r="H174">
        <f>SUMIFS(Shift_Track[2x OT
Hrs],Shift_Track[Pay Period],Hours_Sum[[#This Row],[Pay Due]])</f>
        <v>0</v>
      </c>
      <c r="I174">
        <f>SUM(Hours_Sum[[#This Row],[Reg Hrs]],1.5*Hours_Sum[[#This Row],[1.5x OT Hrs]],2*Hours_Sum[[#This Row],[2x OT Hrs]])</f>
        <v>0</v>
      </c>
      <c r="J174">
        <f>Hours_Sum[[#This Row],[Tot Hrs
(Converted)]]*22</f>
        <v>0</v>
      </c>
      <c r="K174">
        <f>YEAR(Hours_Sum[[#This Row],[Pay Due]])</f>
        <v>2029</v>
      </c>
      <c r="L174" t="str">
        <f>TEXT(Hours_Sum[[#This Row],[Pay Due]],"MMMM")</f>
        <v>May</v>
      </c>
    </row>
    <row r="175" spans="2:12" x14ac:dyDescent="0.25">
      <c r="B175" s="39">
        <v>47277</v>
      </c>
      <c r="C175" s="5">
        <f>_xlfn.XLOOKUP(Hours_Sum[[#This Row],[Pay Due]],Dates_Ref[QCH due],Dates_Ref[Start],"",0)</f>
        <v>47259</v>
      </c>
      <c r="D175" s="5">
        <f>Hours_Sum[[#This Row],[PP Start]]+13</f>
        <v>47272</v>
      </c>
      <c r="E175">
        <f>SUM(Hours_Sum[[#This Row],[Reg Hrs]],Hours_Sum[[#This Row],[1.5x OT Hrs]],Hours_Sum[[#This Row],[2x OT Hrs]])</f>
        <v>0</v>
      </c>
      <c r="F175">
        <f>SUMIFS(Shift_Track[Reg
Hrs],Shift_Track[Pay Period],Hours_Sum[[#This Row],[Pay Due]])</f>
        <v>0</v>
      </c>
      <c r="G175">
        <f>SUMIFS(Shift_Track[1.5x OT
Hrs],Shift_Track[Pay Period],Hours_Sum[[#This Row],[Pay Due]])</f>
        <v>0</v>
      </c>
      <c r="H175">
        <f>SUMIFS(Shift_Track[2x OT
Hrs],Shift_Track[Pay Period],Hours_Sum[[#This Row],[Pay Due]])</f>
        <v>0</v>
      </c>
      <c r="I175">
        <f>SUM(Hours_Sum[[#This Row],[Reg Hrs]],1.5*Hours_Sum[[#This Row],[1.5x OT Hrs]],2*Hours_Sum[[#This Row],[2x OT Hrs]])</f>
        <v>0</v>
      </c>
      <c r="J175">
        <f>Hours_Sum[[#This Row],[Tot Hrs
(Converted)]]*22</f>
        <v>0</v>
      </c>
      <c r="K175">
        <f>YEAR(Hours_Sum[[#This Row],[Pay Due]])</f>
        <v>2029</v>
      </c>
      <c r="L175" t="str">
        <f>TEXT(Hours_Sum[[#This Row],[Pay Due]],"MMMM")</f>
        <v>June</v>
      </c>
    </row>
    <row r="176" spans="2:12" x14ac:dyDescent="0.25">
      <c r="B176" s="39">
        <v>47291</v>
      </c>
      <c r="C176" s="5">
        <f>_xlfn.XLOOKUP(Hours_Sum[[#This Row],[Pay Due]],Dates_Ref[QCH due],Dates_Ref[Start],"",0)</f>
        <v>47273</v>
      </c>
      <c r="D176" s="5">
        <f>Hours_Sum[[#This Row],[PP Start]]+13</f>
        <v>47286</v>
      </c>
      <c r="E176">
        <f>SUM(Hours_Sum[[#This Row],[Reg Hrs]],Hours_Sum[[#This Row],[1.5x OT Hrs]],Hours_Sum[[#This Row],[2x OT Hrs]])</f>
        <v>0</v>
      </c>
      <c r="F176">
        <f>SUMIFS(Shift_Track[Reg
Hrs],Shift_Track[Pay Period],Hours_Sum[[#This Row],[Pay Due]])</f>
        <v>0</v>
      </c>
      <c r="G176">
        <f>SUMIFS(Shift_Track[1.5x OT
Hrs],Shift_Track[Pay Period],Hours_Sum[[#This Row],[Pay Due]])</f>
        <v>0</v>
      </c>
      <c r="H176">
        <f>SUMIFS(Shift_Track[2x OT
Hrs],Shift_Track[Pay Period],Hours_Sum[[#This Row],[Pay Due]])</f>
        <v>0</v>
      </c>
      <c r="I176">
        <f>SUM(Hours_Sum[[#This Row],[Reg Hrs]],1.5*Hours_Sum[[#This Row],[1.5x OT Hrs]],2*Hours_Sum[[#This Row],[2x OT Hrs]])</f>
        <v>0</v>
      </c>
      <c r="J176">
        <f>Hours_Sum[[#This Row],[Tot Hrs
(Converted)]]*22</f>
        <v>0</v>
      </c>
      <c r="K176">
        <f>YEAR(Hours_Sum[[#This Row],[Pay Due]])</f>
        <v>2029</v>
      </c>
      <c r="L176" t="str">
        <f>TEXT(Hours_Sum[[#This Row],[Pay Due]],"MMMM")</f>
        <v>June</v>
      </c>
    </row>
    <row r="177" spans="2:12" x14ac:dyDescent="0.25">
      <c r="B177" s="39">
        <v>47305</v>
      </c>
      <c r="C177" s="5">
        <f>_xlfn.XLOOKUP(Hours_Sum[[#This Row],[Pay Due]],Dates_Ref[QCH due],Dates_Ref[Start],"",0)</f>
        <v>47287</v>
      </c>
      <c r="D177" s="5">
        <f>Hours_Sum[[#This Row],[PP Start]]+13</f>
        <v>47300</v>
      </c>
      <c r="E177">
        <f>SUM(Hours_Sum[[#This Row],[Reg Hrs]],Hours_Sum[[#This Row],[1.5x OT Hrs]],Hours_Sum[[#This Row],[2x OT Hrs]])</f>
        <v>0</v>
      </c>
      <c r="F177">
        <f>SUMIFS(Shift_Track[Reg
Hrs],Shift_Track[Pay Period],Hours_Sum[[#This Row],[Pay Due]])</f>
        <v>0</v>
      </c>
      <c r="G177">
        <f>SUMIFS(Shift_Track[1.5x OT
Hrs],Shift_Track[Pay Period],Hours_Sum[[#This Row],[Pay Due]])</f>
        <v>0</v>
      </c>
      <c r="H177">
        <f>SUMIFS(Shift_Track[2x OT
Hrs],Shift_Track[Pay Period],Hours_Sum[[#This Row],[Pay Due]])</f>
        <v>0</v>
      </c>
      <c r="I177">
        <f>SUM(Hours_Sum[[#This Row],[Reg Hrs]],1.5*Hours_Sum[[#This Row],[1.5x OT Hrs]],2*Hours_Sum[[#This Row],[2x OT Hrs]])</f>
        <v>0</v>
      </c>
      <c r="J177">
        <f>Hours_Sum[[#This Row],[Tot Hrs
(Converted)]]*22</f>
        <v>0</v>
      </c>
      <c r="K177">
        <f>YEAR(Hours_Sum[[#This Row],[Pay Due]])</f>
        <v>2029</v>
      </c>
      <c r="L177" t="str">
        <f>TEXT(Hours_Sum[[#This Row],[Pay Due]],"MMMM")</f>
        <v>July</v>
      </c>
    </row>
    <row r="178" spans="2:12" x14ac:dyDescent="0.25">
      <c r="B178" s="39">
        <v>47319</v>
      </c>
      <c r="C178" s="5">
        <f>_xlfn.XLOOKUP(Hours_Sum[[#This Row],[Pay Due]],Dates_Ref[QCH due],Dates_Ref[Start],"",0)</f>
        <v>47301</v>
      </c>
      <c r="D178" s="5">
        <f>Hours_Sum[[#This Row],[PP Start]]+13</f>
        <v>47314</v>
      </c>
      <c r="E178">
        <f>SUM(Hours_Sum[[#This Row],[Reg Hrs]],Hours_Sum[[#This Row],[1.5x OT Hrs]],Hours_Sum[[#This Row],[2x OT Hrs]])</f>
        <v>0</v>
      </c>
      <c r="F178">
        <f>SUMIFS(Shift_Track[Reg
Hrs],Shift_Track[Pay Period],Hours_Sum[[#This Row],[Pay Due]])</f>
        <v>0</v>
      </c>
      <c r="G178">
        <f>SUMIFS(Shift_Track[1.5x OT
Hrs],Shift_Track[Pay Period],Hours_Sum[[#This Row],[Pay Due]])</f>
        <v>0</v>
      </c>
      <c r="H178">
        <f>SUMIFS(Shift_Track[2x OT
Hrs],Shift_Track[Pay Period],Hours_Sum[[#This Row],[Pay Due]])</f>
        <v>0</v>
      </c>
      <c r="I178">
        <f>SUM(Hours_Sum[[#This Row],[Reg Hrs]],1.5*Hours_Sum[[#This Row],[1.5x OT Hrs]],2*Hours_Sum[[#This Row],[2x OT Hrs]])</f>
        <v>0</v>
      </c>
      <c r="J178">
        <f>Hours_Sum[[#This Row],[Tot Hrs
(Converted)]]*22</f>
        <v>0</v>
      </c>
      <c r="K178">
        <f>YEAR(Hours_Sum[[#This Row],[Pay Due]])</f>
        <v>2029</v>
      </c>
      <c r="L178" t="str">
        <f>TEXT(Hours_Sum[[#This Row],[Pay Due]],"MMMM")</f>
        <v>July</v>
      </c>
    </row>
    <row r="179" spans="2:12" x14ac:dyDescent="0.25">
      <c r="B179" s="39">
        <v>47333</v>
      </c>
      <c r="C179" s="5">
        <f>_xlfn.XLOOKUP(Hours_Sum[[#This Row],[Pay Due]],Dates_Ref[QCH due],Dates_Ref[Start],"",0)</f>
        <v>47315</v>
      </c>
      <c r="D179" s="5">
        <f>Hours_Sum[[#This Row],[PP Start]]+13</f>
        <v>47328</v>
      </c>
      <c r="E179">
        <f>SUM(Hours_Sum[[#This Row],[Reg Hrs]],Hours_Sum[[#This Row],[1.5x OT Hrs]],Hours_Sum[[#This Row],[2x OT Hrs]])</f>
        <v>0</v>
      </c>
      <c r="F179">
        <f>SUMIFS(Shift_Track[Reg
Hrs],Shift_Track[Pay Period],Hours_Sum[[#This Row],[Pay Due]])</f>
        <v>0</v>
      </c>
      <c r="G179">
        <f>SUMIFS(Shift_Track[1.5x OT
Hrs],Shift_Track[Pay Period],Hours_Sum[[#This Row],[Pay Due]])</f>
        <v>0</v>
      </c>
      <c r="H179">
        <f>SUMIFS(Shift_Track[2x OT
Hrs],Shift_Track[Pay Period],Hours_Sum[[#This Row],[Pay Due]])</f>
        <v>0</v>
      </c>
      <c r="I179">
        <f>SUM(Hours_Sum[[#This Row],[Reg Hrs]],1.5*Hours_Sum[[#This Row],[1.5x OT Hrs]],2*Hours_Sum[[#This Row],[2x OT Hrs]])</f>
        <v>0</v>
      </c>
      <c r="J179">
        <f>Hours_Sum[[#This Row],[Tot Hrs
(Converted)]]*22</f>
        <v>0</v>
      </c>
      <c r="K179">
        <f>YEAR(Hours_Sum[[#This Row],[Pay Due]])</f>
        <v>2029</v>
      </c>
      <c r="L179" t="str">
        <f>TEXT(Hours_Sum[[#This Row],[Pay Due]],"MMMM")</f>
        <v>August</v>
      </c>
    </row>
    <row r="180" spans="2:12" x14ac:dyDescent="0.25">
      <c r="B180" s="39">
        <v>47347</v>
      </c>
      <c r="C180" s="5">
        <f>_xlfn.XLOOKUP(Hours_Sum[[#This Row],[Pay Due]],Dates_Ref[QCH due],Dates_Ref[Start],"",0)</f>
        <v>47329</v>
      </c>
      <c r="D180" s="5">
        <f>Hours_Sum[[#This Row],[PP Start]]+13</f>
        <v>47342</v>
      </c>
      <c r="E180">
        <f>SUM(Hours_Sum[[#This Row],[Reg Hrs]],Hours_Sum[[#This Row],[1.5x OT Hrs]],Hours_Sum[[#This Row],[2x OT Hrs]])</f>
        <v>0</v>
      </c>
      <c r="F180">
        <f>SUMIFS(Shift_Track[Reg
Hrs],Shift_Track[Pay Period],Hours_Sum[[#This Row],[Pay Due]])</f>
        <v>0</v>
      </c>
      <c r="G180">
        <f>SUMIFS(Shift_Track[1.5x OT
Hrs],Shift_Track[Pay Period],Hours_Sum[[#This Row],[Pay Due]])</f>
        <v>0</v>
      </c>
      <c r="H180">
        <f>SUMIFS(Shift_Track[2x OT
Hrs],Shift_Track[Pay Period],Hours_Sum[[#This Row],[Pay Due]])</f>
        <v>0</v>
      </c>
      <c r="I180">
        <f>SUM(Hours_Sum[[#This Row],[Reg Hrs]],1.5*Hours_Sum[[#This Row],[1.5x OT Hrs]],2*Hours_Sum[[#This Row],[2x OT Hrs]])</f>
        <v>0</v>
      </c>
      <c r="J180">
        <f>Hours_Sum[[#This Row],[Tot Hrs
(Converted)]]*22</f>
        <v>0</v>
      </c>
      <c r="K180">
        <f>YEAR(Hours_Sum[[#This Row],[Pay Due]])</f>
        <v>2029</v>
      </c>
      <c r="L180" t="str">
        <f>TEXT(Hours_Sum[[#This Row],[Pay Due]],"MMMM")</f>
        <v>August</v>
      </c>
    </row>
    <row r="181" spans="2:12" x14ac:dyDescent="0.25">
      <c r="B181" s="39">
        <v>47361</v>
      </c>
      <c r="C181" s="5">
        <f>_xlfn.XLOOKUP(Hours_Sum[[#This Row],[Pay Due]],Dates_Ref[QCH due],Dates_Ref[Start],"",0)</f>
        <v>47343</v>
      </c>
      <c r="D181" s="5">
        <f>Hours_Sum[[#This Row],[PP Start]]+13</f>
        <v>47356</v>
      </c>
      <c r="E181">
        <f>SUM(Hours_Sum[[#This Row],[Reg Hrs]],Hours_Sum[[#This Row],[1.5x OT Hrs]],Hours_Sum[[#This Row],[2x OT Hrs]])</f>
        <v>0</v>
      </c>
      <c r="F181">
        <f>SUMIFS(Shift_Track[Reg
Hrs],Shift_Track[Pay Period],Hours_Sum[[#This Row],[Pay Due]])</f>
        <v>0</v>
      </c>
      <c r="G181">
        <f>SUMIFS(Shift_Track[1.5x OT
Hrs],Shift_Track[Pay Period],Hours_Sum[[#This Row],[Pay Due]])</f>
        <v>0</v>
      </c>
      <c r="H181">
        <f>SUMIFS(Shift_Track[2x OT
Hrs],Shift_Track[Pay Period],Hours_Sum[[#This Row],[Pay Due]])</f>
        <v>0</v>
      </c>
      <c r="I181">
        <f>SUM(Hours_Sum[[#This Row],[Reg Hrs]],1.5*Hours_Sum[[#This Row],[1.5x OT Hrs]],2*Hours_Sum[[#This Row],[2x OT Hrs]])</f>
        <v>0</v>
      </c>
      <c r="J181">
        <f>Hours_Sum[[#This Row],[Tot Hrs
(Converted)]]*22</f>
        <v>0</v>
      </c>
      <c r="K181">
        <f>YEAR(Hours_Sum[[#This Row],[Pay Due]])</f>
        <v>2029</v>
      </c>
      <c r="L181" t="str">
        <f>TEXT(Hours_Sum[[#This Row],[Pay Due]],"MMMM")</f>
        <v>August</v>
      </c>
    </row>
    <row r="182" spans="2:12" x14ac:dyDescent="0.25">
      <c r="B182" s="39">
        <v>47375</v>
      </c>
      <c r="C182" s="5">
        <f>_xlfn.XLOOKUP(Hours_Sum[[#This Row],[Pay Due]],Dates_Ref[QCH due],Dates_Ref[Start],"",0)</f>
        <v>47357</v>
      </c>
      <c r="D182" s="5">
        <f>Hours_Sum[[#This Row],[PP Start]]+13</f>
        <v>47370</v>
      </c>
      <c r="E182">
        <f>SUM(Hours_Sum[[#This Row],[Reg Hrs]],Hours_Sum[[#This Row],[1.5x OT Hrs]],Hours_Sum[[#This Row],[2x OT Hrs]])</f>
        <v>0</v>
      </c>
      <c r="F182">
        <f>SUMIFS(Shift_Track[Reg
Hrs],Shift_Track[Pay Period],Hours_Sum[[#This Row],[Pay Due]])</f>
        <v>0</v>
      </c>
      <c r="G182">
        <f>SUMIFS(Shift_Track[1.5x OT
Hrs],Shift_Track[Pay Period],Hours_Sum[[#This Row],[Pay Due]])</f>
        <v>0</v>
      </c>
      <c r="H182">
        <f>SUMIFS(Shift_Track[2x OT
Hrs],Shift_Track[Pay Period],Hours_Sum[[#This Row],[Pay Due]])</f>
        <v>0</v>
      </c>
      <c r="I182">
        <f>SUM(Hours_Sum[[#This Row],[Reg Hrs]],1.5*Hours_Sum[[#This Row],[1.5x OT Hrs]],2*Hours_Sum[[#This Row],[2x OT Hrs]])</f>
        <v>0</v>
      </c>
      <c r="J182">
        <f>Hours_Sum[[#This Row],[Tot Hrs
(Converted)]]*22</f>
        <v>0</v>
      </c>
      <c r="K182">
        <f>YEAR(Hours_Sum[[#This Row],[Pay Due]])</f>
        <v>2029</v>
      </c>
      <c r="L182" t="str">
        <f>TEXT(Hours_Sum[[#This Row],[Pay Due]],"MMMM")</f>
        <v>September</v>
      </c>
    </row>
    <row r="183" spans="2:12" x14ac:dyDescent="0.25">
      <c r="B183" s="39">
        <v>47389</v>
      </c>
      <c r="C183" s="5">
        <f>_xlfn.XLOOKUP(Hours_Sum[[#This Row],[Pay Due]],Dates_Ref[QCH due],Dates_Ref[Start],"",0)</f>
        <v>47371</v>
      </c>
      <c r="D183" s="5">
        <f>Hours_Sum[[#This Row],[PP Start]]+13</f>
        <v>47384</v>
      </c>
      <c r="E183">
        <f>SUM(Hours_Sum[[#This Row],[Reg Hrs]],Hours_Sum[[#This Row],[1.5x OT Hrs]],Hours_Sum[[#This Row],[2x OT Hrs]])</f>
        <v>0</v>
      </c>
      <c r="F183">
        <f>SUMIFS(Shift_Track[Reg
Hrs],Shift_Track[Pay Period],Hours_Sum[[#This Row],[Pay Due]])</f>
        <v>0</v>
      </c>
      <c r="G183">
        <f>SUMIFS(Shift_Track[1.5x OT
Hrs],Shift_Track[Pay Period],Hours_Sum[[#This Row],[Pay Due]])</f>
        <v>0</v>
      </c>
      <c r="H183">
        <f>SUMIFS(Shift_Track[2x OT
Hrs],Shift_Track[Pay Period],Hours_Sum[[#This Row],[Pay Due]])</f>
        <v>0</v>
      </c>
      <c r="I183">
        <f>SUM(Hours_Sum[[#This Row],[Reg Hrs]],1.5*Hours_Sum[[#This Row],[1.5x OT Hrs]],2*Hours_Sum[[#This Row],[2x OT Hrs]])</f>
        <v>0</v>
      </c>
      <c r="J183">
        <f>Hours_Sum[[#This Row],[Tot Hrs
(Converted)]]*22</f>
        <v>0</v>
      </c>
      <c r="K183">
        <f>YEAR(Hours_Sum[[#This Row],[Pay Due]])</f>
        <v>2029</v>
      </c>
      <c r="L183" t="str">
        <f>TEXT(Hours_Sum[[#This Row],[Pay Due]],"MMMM")</f>
        <v>September</v>
      </c>
    </row>
    <row r="184" spans="2:12" x14ac:dyDescent="0.25">
      <c r="B184" s="39">
        <v>47403</v>
      </c>
      <c r="C184" s="5">
        <f>_xlfn.XLOOKUP(Hours_Sum[[#This Row],[Pay Due]],Dates_Ref[QCH due],Dates_Ref[Start],"",0)</f>
        <v>47385</v>
      </c>
      <c r="D184" s="5">
        <f>Hours_Sum[[#This Row],[PP Start]]+13</f>
        <v>47398</v>
      </c>
      <c r="E184">
        <f>SUM(Hours_Sum[[#This Row],[Reg Hrs]],Hours_Sum[[#This Row],[1.5x OT Hrs]],Hours_Sum[[#This Row],[2x OT Hrs]])</f>
        <v>0</v>
      </c>
      <c r="F184">
        <f>SUMIFS(Shift_Track[Reg
Hrs],Shift_Track[Pay Period],Hours_Sum[[#This Row],[Pay Due]])</f>
        <v>0</v>
      </c>
      <c r="G184">
        <f>SUMIFS(Shift_Track[1.5x OT
Hrs],Shift_Track[Pay Period],Hours_Sum[[#This Row],[Pay Due]])</f>
        <v>0</v>
      </c>
      <c r="H184">
        <f>SUMIFS(Shift_Track[2x OT
Hrs],Shift_Track[Pay Period],Hours_Sum[[#This Row],[Pay Due]])</f>
        <v>0</v>
      </c>
      <c r="I184">
        <f>SUM(Hours_Sum[[#This Row],[Reg Hrs]],1.5*Hours_Sum[[#This Row],[1.5x OT Hrs]],2*Hours_Sum[[#This Row],[2x OT Hrs]])</f>
        <v>0</v>
      </c>
      <c r="J184">
        <f>Hours_Sum[[#This Row],[Tot Hrs
(Converted)]]*22</f>
        <v>0</v>
      </c>
      <c r="K184">
        <f>YEAR(Hours_Sum[[#This Row],[Pay Due]])</f>
        <v>2029</v>
      </c>
      <c r="L184" t="str">
        <f>TEXT(Hours_Sum[[#This Row],[Pay Due]],"MMMM")</f>
        <v>October</v>
      </c>
    </row>
    <row r="185" spans="2:12" x14ac:dyDescent="0.25">
      <c r="B185" s="39">
        <v>47417</v>
      </c>
      <c r="C185" s="5">
        <f>_xlfn.XLOOKUP(Hours_Sum[[#This Row],[Pay Due]],Dates_Ref[QCH due],Dates_Ref[Start],"",0)</f>
        <v>47399</v>
      </c>
      <c r="D185" s="5">
        <f>Hours_Sum[[#This Row],[PP Start]]+13</f>
        <v>47412</v>
      </c>
      <c r="E185">
        <f>SUM(Hours_Sum[[#This Row],[Reg Hrs]],Hours_Sum[[#This Row],[1.5x OT Hrs]],Hours_Sum[[#This Row],[2x OT Hrs]])</f>
        <v>0</v>
      </c>
      <c r="F185">
        <f>SUMIFS(Shift_Track[Reg
Hrs],Shift_Track[Pay Period],Hours_Sum[[#This Row],[Pay Due]])</f>
        <v>0</v>
      </c>
      <c r="G185">
        <f>SUMIFS(Shift_Track[1.5x OT
Hrs],Shift_Track[Pay Period],Hours_Sum[[#This Row],[Pay Due]])</f>
        <v>0</v>
      </c>
      <c r="H185">
        <f>SUMIFS(Shift_Track[2x OT
Hrs],Shift_Track[Pay Period],Hours_Sum[[#This Row],[Pay Due]])</f>
        <v>0</v>
      </c>
      <c r="I185">
        <f>SUM(Hours_Sum[[#This Row],[Reg Hrs]],1.5*Hours_Sum[[#This Row],[1.5x OT Hrs]],2*Hours_Sum[[#This Row],[2x OT Hrs]])</f>
        <v>0</v>
      </c>
      <c r="J185">
        <f>Hours_Sum[[#This Row],[Tot Hrs
(Converted)]]*22</f>
        <v>0</v>
      </c>
      <c r="K185">
        <f>YEAR(Hours_Sum[[#This Row],[Pay Due]])</f>
        <v>2029</v>
      </c>
      <c r="L185" t="str">
        <f>TEXT(Hours_Sum[[#This Row],[Pay Due]],"MMMM")</f>
        <v>October</v>
      </c>
    </row>
    <row r="186" spans="2:12" x14ac:dyDescent="0.25">
      <c r="B186" s="39">
        <v>47431</v>
      </c>
      <c r="C186" s="5">
        <f>_xlfn.XLOOKUP(Hours_Sum[[#This Row],[Pay Due]],Dates_Ref[QCH due],Dates_Ref[Start],"",0)</f>
        <v>47413</v>
      </c>
      <c r="D186" s="5">
        <f>Hours_Sum[[#This Row],[PP Start]]+13</f>
        <v>47426</v>
      </c>
      <c r="E186">
        <f>SUM(Hours_Sum[[#This Row],[Reg Hrs]],Hours_Sum[[#This Row],[1.5x OT Hrs]],Hours_Sum[[#This Row],[2x OT Hrs]])</f>
        <v>0</v>
      </c>
      <c r="F186">
        <f>SUMIFS(Shift_Track[Reg
Hrs],Shift_Track[Pay Period],Hours_Sum[[#This Row],[Pay Due]])</f>
        <v>0</v>
      </c>
      <c r="G186">
        <f>SUMIFS(Shift_Track[1.5x OT
Hrs],Shift_Track[Pay Period],Hours_Sum[[#This Row],[Pay Due]])</f>
        <v>0</v>
      </c>
      <c r="H186">
        <f>SUMIFS(Shift_Track[2x OT
Hrs],Shift_Track[Pay Period],Hours_Sum[[#This Row],[Pay Due]])</f>
        <v>0</v>
      </c>
      <c r="I186">
        <f>SUM(Hours_Sum[[#This Row],[Reg Hrs]],1.5*Hours_Sum[[#This Row],[1.5x OT Hrs]],2*Hours_Sum[[#This Row],[2x OT Hrs]])</f>
        <v>0</v>
      </c>
      <c r="J186">
        <f>Hours_Sum[[#This Row],[Tot Hrs
(Converted)]]*22</f>
        <v>0</v>
      </c>
      <c r="K186">
        <f>YEAR(Hours_Sum[[#This Row],[Pay Due]])</f>
        <v>2029</v>
      </c>
      <c r="L186" t="str">
        <f>TEXT(Hours_Sum[[#This Row],[Pay Due]],"MMMM")</f>
        <v>November</v>
      </c>
    </row>
    <row r="187" spans="2:12" x14ac:dyDescent="0.25">
      <c r="B187" s="39">
        <v>47445</v>
      </c>
      <c r="C187" s="5">
        <f>_xlfn.XLOOKUP(Hours_Sum[[#This Row],[Pay Due]],Dates_Ref[QCH due],Dates_Ref[Start],"",0)</f>
        <v>47427</v>
      </c>
      <c r="D187" s="5">
        <f>Hours_Sum[[#This Row],[PP Start]]+13</f>
        <v>47440</v>
      </c>
      <c r="E187">
        <f>SUM(Hours_Sum[[#This Row],[Reg Hrs]],Hours_Sum[[#This Row],[1.5x OT Hrs]],Hours_Sum[[#This Row],[2x OT Hrs]])</f>
        <v>0</v>
      </c>
      <c r="F187">
        <f>SUMIFS(Shift_Track[Reg
Hrs],Shift_Track[Pay Period],Hours_Sum[[#This Row],[Pay Due]])</f>
        <v>0</v>
      </c>
      <c r="G187">
        <f>SUMIFS(Shift_Track[1.5x OT
Hrs],Shift_Track[Pay Period],Hours_Sum[[#This Row],[Pay Due]])</f>
        <v>0</v>
      </c>
      <c r="H187">
        <f>SUMIFS(Shift_Track[2x OT
Hrs],Shift_Track[Pay Period],Hours_Sum[[#This Row],[Pay Due]])</f>
        <v>0</v>
      </c>
      <c r="I187">
        <f>SUM(Hours_Sum[[#This Row],[Reg Hrs]],1.5*Hours_Sum[[#This Row],[1.5x OT Hrs]],2*Hours_Sum[[#This Row],[2x OT Hrs]])</f>
        <v>0</v>
      </c>
      <c r="J187">
        <f>Hours_Sum[[#This Row],[Tot Hrs
(Converted)]]*22</f>
        <v>0</v>
      </c>
      <c r="K187">
        <f>YEAR(Hours_Sum[[#This Row],[Pay Due]])</f>
        <v>2029</v>
      </c>
      <c r="L187" t="str">
        <f>TEXT(Hours_Sum[[#This Row],[Pay Due]],"MMMM")</f>
        <v>November</v>
      </c>
    </row>
    <row r="188" spans="2:12" x14ac:dyDescent="0.25">
      <c r="B188" s="39">
        <v>47459</v>
      </c>
      <c r="C188" s="5">
        <f>_xlfn.XLOOKUP(Hours_Sum[[#This Row],[Pay Due]],Dates_Ref[QCH due],Dates_Ref[Start],"",0)</f>
        <v>47441</v>
      </c>
      <c r="D188" s="5">
        <f>Hours_Sum[[#This Row],[PP Start]]+13</f>
        <v>47454</v>
      </c>
      <c r="E188">
        <f>SUM(Hours_Sum[[#This Row],[Reg Hrs]],Hours_Sum[[#This Row],[1.5x OT Hrs]],Hours_Sum[[#This Row],[2x OT Hrs]])</f>
        <v>0</v>
      </c>
      <c r="F188">
        <f>SUMIFS(Shift_Track[Reg
Hrs],Shift_Track[Pay Period],Hours_Sum[[#This Row],[Pay Due]])</f>
        <v>0</v>
      </c>
      <c r="G188">
        <f>SUMIFS(Shift_Track[1.5x OT
Hrs],Shift_Track[Pay Period],Hours_Sum[[#This Row],[Pay Due]])</f>
        <v>0</v>
      </c>
      <c r="H188">
        <f>SUMIFS(Shift_Track[2x OT
Hrs],Shift_Track[Pay Period],Hours_Sum[[#This Row],[Pay Due]])</f>
        <v>0</v>
      </c>
      <c r="I188">
        <f>SUM(Hours_Sum[[#This Row],[Reg Hrs]],1.5*Hours_Sum[[#This Row],[1.5x OT Hrs]],2*Hours_Sum[[#This Row],[2x OT Hrs]])</f>
        <v>0</v>
      </c>
      <c r="J188">
        <f>Hours_Sum[[#This Row],[Tot Hrs
(Converted)]]*22</f>
        <v>0</v>
      </c>
      <c r="K188">
        <f>YEAR(Hours_Sum[[#This Row],[Pay Due]])</f>
        <v>2029</v>
      </c>
      <c r="L188" t="str">
        <f>TEXT(Hours_Sum[[#This Row],[Pay Due]],"MMMM")</f>
        <v>December</v>
      </c>
    </row>
    <row r="189" spans="2:12" x14ac:dyDescent="0.25">
      <c r="B189" s="39">
        <v>47473</v>
      </c>
      <c r="C189" s="5">
        <f>_xlfn.XLOOKUP(Hours_Sum[[#This Row],[Pay Due]],Dates_Ref[QCH due],Dates_Ref[Start],"",0)</f>
        <v>47455</v>
      </c>
      <c r="D189" s="5">
        <f>Hours_Sum[[#This Row],[PP Start]]+13</f>
        <v>47468</v>
      </c>
      <c r="E189">
        <f>SUM(Hours_Sum[[#This Row],[Reg Hrs]],Hours_Sum[[#This Row],[1.5x OT Hrs]],Hours_Sum[[#This Row],[2x OT Hrs]])</f>
        <v>0</v>
      </c>
      <c r="F189">
        <f>SUMIFS(Shift_Track[Reg
Hrs],Shift_Track[Pay Period],Hours_Sum[[#This Row],[Pay Due]])</f>
        <v>0</v>
      </c>
      <c r="G189">
        <f>SUMIFS(Shift_Track[1.5x OT
Hrs],Shift_Track[Pay Period],Hours_Sum[[#This Row],[Pay Due]])</f>
        <v>0</v>
      </c>
      <c r="H189">
        <f>SUMIFS(Shift_Track[2x OT
Hrs],Shift_Track[Pay Period],Hours_Sum[[#This Row],[Pay Due]])</f>
        <v>0</v>
      </c>
      <c r="I189">
        <f>SUM(Hours_Sum[[#This Row],[Reg Hrs]],1.5*Hours_Sum[[#This Row],[1.5x OT Hrs]],2*Hours_Sum[[#This Row],[2x OT Hrs]])</f>
        <v>0</v>
      </c>
      <c r="J189">
        <f>Hours_Sum[[#This Row],[Tot Hrs
(Converted)]]*22</f>
        <v>0</v>
      </c>
      <c r="K189">
        <f>YEAR(Hours_Sum[[#This Row],[Pay Due]])</f>
        <v>2029</v>
      </c>
      <c r="L189" t="str">
        <f>TEXT(Hours_Sum[[#This Row],[Pay Due]],"MMMM")</f>
        <v>December</v>
      </c>
    </row>
    <row r="190" spans="2:12" x14ac:dyDescent="0.25">
      <c r="B190" s="39">
        <v>47487</v>
      </c>
      <c r="C190" s="5">
        <f>_xlfn.XLOOKUP(Hours_Sum[[#This Row],[Pay Due]],Dates_Ref[QCH due],Dates_Ref[Start],"",0)</f>
        <v>47469</v>
      </c>
      <c r="D190" s="5">
        <f>Hours_Sum[[#This Row],[PP Start]]+13</f>
        <v>47482</v>
      </c>
      <c r="E190">
        <f>SUM(Hours_Sum[[#This Row],[Reg Hrs]],Hours_Sum[[#This Row],[1.5x OT Hrs]],Hours_Sum[[#This Row],[2x OT Hrs]])</f>
        <v>0</v>
      </c>
      <c r="F190">
        <f>SUMIFS(Shift_Track[Reg
Hrs],Shift_Track[Pay Period],Hours_Sum[[#This Row],[Pay Due]])</f>
        <v>0</v>
      </c>
      <c r="G190">
        <f>SUMIFS(Shift_Track[1.5x OT
Hrs],Shift_Track[Pay Period],Hours_Sum[[#This Row],[Pay Due]])</f>
        <v>0</v>
      </c>
      <c r="H190">
        <f>SUMIFS(Shift_Track[2x OT
Hrs],Shift_Track[Pay Period],Hours_Sum[[#This Row],[Pay Due]])</f>
        <v>0</v>
      </c>
      <c r="I190">
        <f>SUM(Hours_Sum[[#This Row],[Reg Hrs]],1.5*Hours_Sum[[#This Row],[1.5x OT Hrs]],2*Hours_Sum[[#This Row],[2x OT Hrs]])</f>
        <v>0</v>
      </c>
      <c r="J190">
        <f>Hours_Sum[[#This Row],[Tot Hrs
(Converted)]]*22</f>
        <v>0</v>
      </c>
      <c r="K190">
        <f>YEAR(Hours_Sum[[#This Row],[Pay Due]])</f>
        <v>2030</v>
      </c>
      <c r="L190" t="str">
        <f>TEXT(Hours_Sum[[#This Row],[Pay Due]],"MMMM")</f>
        <v>January</v>
      </c>
    </row>
    <row r="191" spans="2:12" x14ac:dyDescent="0.25">
      <c r="B191" s="39">
        <v>47501</v>
      </c>
      <c r="C191" s="5">
        <f>_xlfn.XLOOKUP(Hours_Sum[[#This Row],[Pay Due]],Dates_Ref[QCH due],Dates_Ref[Start],"",0)</f>
        <v>47483</v>
      </c>
      <c r="D191" s="5">
        <f>Hours_Sum[[#This Row],[PP Start]]+13</f>
        <v>47496</v>
      </c>
      <c r="E191">
        <f>SUM(Hours_Sum[[#This Row],[Reg Hrs]],Hours_Sum[[#This Row],[1.5x OT Hrs]],Hours_Sum[[#This Row],[2x OT Hrs]])</f>
        <v>0</v>
      </c>
      <c r="F191">
        <f>SUMIFS(Shift_Track[Reg
Hrs],Shift_Track[Pay Period],Hours_Sum[[#This Row],[Pay Due]])</f>
        <v>0</v>
      </c>
      <c r="G191">
        <f>SUMIFS(Shift_Track[1.5x OT
Hrs],Shift_Track[Pay Period],Hours_Sum[[#This Row],[Pay Due]])</f>
        <v>0</v>
      </c>
      <c r="H191">
        <f>SUMIFS(Shift_Track[2x OT
Hrs],Shift_Track[Pay Period],Hours_Sum[[#This Row],[Pay Due]])</f>
        <v>0</v>
      </c>
      <c r="I191">
        <f>SUM(Hours_Sum[[#This Row],[Reg Hrs]],1.5*Hours_Sum[[#This Row],[1.5x OT Hrs]],2*Hours_Sum[[#This Row],[2x OT Hrs]])</f>
        <v>0</v>
      </c>
      <c r="J191">
        <f>Hours_Sum[[#This Row],[Tot Hrs
(Converted)]]*22</f>
        <v>0</v>
      </c>
      <c r="K191">
        <f>YEAR(Hours_Sum[[#This Row],[Pay Due]])</f>
        <v>2030</v>
      </c>
      <c r="L191" t="str">
        <f>TEXT(Hours_Sum[[#This Row],[Pay Due]],"MMMM")</f>
        <v>January</v>
      </c>
    </row>
    <row r="192" spans="2:12" x14ac:dyDescent="0.25">
      <c r="B192" s="39">
        <v>47515</v>
      </c>
      <c r="C192" s="5">
        <f>_xlfn.XLOOKUP(Hours_Sum[[#This Row],[Pay Due]],Dates_Ref[QCH due],Dates_Ref[Start],"",0)</f>
        <v>47497</v>
      </c>
      <c r="D192" s="5">
        <f>Hours_Sum[[#This Row],[PP Start]]+13</f>
        <v>47510</v>
      </c>
      <c r="E192">
        <f>SUM(Hours_Sum[[#This Row],[Reg Hrs]],Hours_Sum[[#This Row],[1.5x OT Hrs]],Hours_Sum[[#This Row],[2x OT Hrs]])</f>
        <v>0</v>
      </c>
      <c r="F192">
        <f>SUMIFS(Shift_Track[Reg
Hrs],Shift_Track[Pay Period],Hours_Sum[[#This Row],[Pay Due]])</f>
        <v>0</v>
      </c>
      <c r="G192">
        <f>SUMIFS(Shift_Track[1.5x OT
Hrs],Shift_Track[Pay Period],Hours_Sum[[#This Row],[Pay Due]])</f>
        <v>0</v>
      </c>
      <c r="H192">
        <f>SUMIFS(Shift_Track[2x OT
Hrs],Shift_Track[Pay Period],Hours_Sum[[#This Row],[Pay Due]])</f>
        <v>0</v>
      </c>
      <c r="I192">
        <f>SUM(Hours_Sum[[#This Row],[Reg Hrs]],1.5*Hours_Sum[[#This Row],[1.5x OT Hrs]],2*Hours_Sum[[#This Row],[2x OT Hrs]])</f>
        <v>0</v>
      </c>
      <c r="J192">
        <f>Hours_Sum[[#This Row],[Tot Hrs
(Converted)]]*22</f>
        <v>0</v>
      </c>
      <c r="K192">
        <f>YEAR(Hours_Sum[[#This Row],[Pay Due]])</f>
        <v>2030</v>
      </c>
      <c r="L192" t="str">
        <f>TEXT(Hours_Sum[[#This Row],[Pay Due]],"MMMM")</f>
        <v>February</v>
      </c>
    </row>
    <row r="193" spans="2:12" x14ac:dyDescent="0.25">
      <c r="B193" s="39">
        <v>47529</v>
      </c>
      <c r="C193" s="5">
        <f>_xlfn.XLOOKUP(Hours_Sum[[#This Row],[Pay Due]],Dates_Ref[QCH due],Dates_Ref[Start],"",0)</f>
        <v>47511</v>
      </c>
      <c r="D193" s="5">
        <f>Hours_Sum[[#This Row],[PP Start]]+13</f>
        <v>47524</v>
      </c>
      <c r="E193">
        <f>SUM(Hours_Sum[[#This Row],[Reg Hrs]],Hours_Sum[[#This Row],[1.5x OT Hrs]],Hours_Sum[[#This Row],[2x OT Hrs]])</f>
        <v>0</v>
      </c>
      <c r="F193">
        <f>SUMIFS(Shift_Track[Reg
Hrs],Shift_Track[Pay Period],Hours_Sum[[#This Row],[Pay Due]])</f>
        <v>0</v>
      </c>
      <c r="G193">
        <f>SUMIFS(Shift_Track[1.5x OT
Hrs],Shift_Track[Pay Period],Hours_Sum[[#This Row],[Pay Due]])</f>
        <v>0</v>
      </c>
      <c r="H193">
        <f>SUMIFS(Shift_Track[2x OT
Hrs],Shift_Track[Pay Period],Hours_Sum[[#This Row],[Pay Due]])</f>
        <v>0</v>
      </c>
      <c r="I193">
        <f>SUM(Hours_Sum[[#This Row],[Reg Hrs]],1.5*Hours_Sum[[#This Row],[1.5x OT Hrs]],2*Hours_Sum[[#This Row],[2x OT Hrs]])</f>
        <v>0</v>
      </c>
      <c r="J193">
        <f>Hours_Sum[[#This Row],[Tot Hrs
(Converted)]]*22</f>
        <v>0</v>
      </c>
      <c r="K193">
        <f>YEAR(Hours_Sum[[#This Row],[Pay Due]])</f>
        <v>2030</v>
      </c>
      <c r="L193" t="str">
        <f>TEXT(Hours_Sum[[#This Row],[Pay Due]],"MMMM")</f>
        <v>February</v>
      </c>
    </row>
    <row r="194" spans="2:12" x14ac:dyDescent="0.25">
      <c r="B194" s="39">
        <v>47543</v>
      </c>
      <c r="C194" s="5">
        <f>_xlfn.XLOOKUP(Hours_Sum[[#This Row],[Pay Due]],Dates_Ref[QCH due],Dates_Ref[Start],"",0)</f>
        <v>47525</v>
      </c>
      <c r="D194" s="5">
        <f>Hours_Sum[[#This Row],[PP Start]]+13</f>
        <v>47538</v>
      </c>
      <c r="E194">
        <f>SUM(Hours_Sum[[#This Row],[Reg Hrs]],Hours_Sum[[#This Row],[1.5x OT Hrs]],Hours_Sum[[#This Row],[2x OT Hrs]])</f>
        <v>0</v>
      </c>
      <c r="F194">
        <f>SUMIFS(Shift_Track[Reg
Hrs],Shift_Track[Pay Period],Hours_Sum[[#This Row],[Pay Due]])</f>
        <v>0</v>
      </c>
      <c r="G194">
        <f>SUMIFS(Shift_Track[1.5x OT
Hrs],Shift_Track[Pay Period],Hours_Sum[[#This Row],[Pay Due]])</f>
        <v>0</v>
      </c>
      <c r="H194">
        <f>SUMIFS(Shift_Track[2x OT
Hrs],Shift_Track[Pay Period],Hours_Sum[[#This Row],[Pay Due]])</f>
        <v>0</v>
      </c>
      <c r="I194">
        <f>SUM(Hours_Sum[[#This Row],[Reg Hrs]],1.5*Hours_Sum[[#This Row],[1.5x OT Hrs]],2*Hours_Sum[[#This Row],[2x OT Hrs]])</f>
        <v>0</v>
      </c>
      <c r="J194">
        <f>Hours_Sum[[#This Row],[Tot Hrs
(Converted)]]*22</f>
        <v>0</v>
      </c>
      <c r="K194">
        <f>YEAR(Hours_Sum[[#This Row],[Pay Due]])</f>
        <v>2030</v>
      </c>
      <c r="L194" t="str">
        <f>TEXT(Hours_Sum[[#This Row],[Pay Due]],"MMMM")</f>
        <v>March</v>
      </c>
    </row>
    <row r="195" spans="2:12" x14ac:dyDescent="0.25">
      <c r="B195" s="39">
        <v>47557</v>
      </c>
      <c r="C195" s="5">
        <f>_xlfn.XLOOKUP(Hours_Sum[[#This Row],[Pay Due]],Dates_Ref[QCH due],Dates_Ref[Start],"",0)</f>
        <v>47539</v>
      </c>
      <c r="D195" s="5">
        <f>Hours_Sum[[#This Row],[PP Start]]+13</f>
        <v>47552</v>
      </c>
      <c r="E195">
        <f>SUM(Hours_Sum[[#This Row],[Reg Hrs]],Hours_Sum[[#This Row],[1.5x OT Hrs]],Hours_Sum[[#This Row],[2x OT Hrs]])</f>
        <v>0</v>
      </c>
      <c r="F195">
        <f>SUMIFS(Shift_Track[Reg
Hrs],Shift_Track[Pay Period],Hours_Sum[[#This Row],[Pay Due]])</f>
        <v>0</v>
      </c>
      <c r="G195">
        <f>SUMIFS(Shift_Track[1.5x OT
Hrs],Shift_Track[Pay Period],Hours_Sum[[#This Row],[Pay Due]])</f>
        <v>0</v>
      </c>
      <c r="H195">
        <f>SUMIFS(Shift_Track[2x OT
Hrs],Shift_Track[Pay Period],Hours_Sum[[#This Row],[Pay Due]])</f>
        <v>0</v>
      </c>
      <c r="I195">
        <f>SUM(Hours_Sum[[#This Row],[Reg Hrs]],1.5*Hours_Sum[[#This Row],[1.5x OT Hrs]],2*Hours_Sum[[#This Row],[2x OT Hrs]])</f>
        <v>0</v>
      </c>
      <c r="J195">
        <f>Hours_Sum[[#This Row],[Tot Hrs
(Converted)]]*22</f>
        <v>0</v>
      </c>
      <c r="K195">
        <f>YEAR(Hours_Sum[[#This Row],[Pay Due]])</f>
        <v>2030</v>
      </c>
      <c r="L195" t="str">
        <f>TEXT(Hours_Sum[[#This Row],[Pay Due]],"MMMM")</f>
        <v>March</v>
      </c>
    </row>
    <row r="196" spans="2:12" x14ac:dyDescent="0.25">
      <c r="B196" s="39">
        <v>47571</v>
      </c>
      <c r="C196" s="5">
        <f>_xlfn.XLOOKUP(Hours_Sum[[#This Row],[Pay Due]],Dates_Ref[QCH due],Dates_Ref[Start],"",0)</f>
        <v>47553</v>
      </c>
      <c r="D196" s="5">
        <f>Hours_Sum[[#This Row],[PP Start]]+13</f>
        <v>47566</v>
      </c>
      <c r="E196">
        <f>SUM(Hours_Sum[[#This Row],[Reg Hrs]],Hours_Sum[[#This Row],[1.5x OT Hrs]],Hours_Sum[[#This Row],[2x OT Hrs]])</f>
        <v>0</v>
      </c>
      <c r="F196">
        <f>SUMIFS(Shift_Track[Reg
Hrs],Shift_Track[Pay Period],Hours_Sum[[#This Row],[Pay Due]])</f>
        <v>0</v>
      </c>
      <c r="G196">
        <f>SUMIFS(Shift_Track[1.5x OT
Hrs],Shift_Track[Pay Period],Hours_Sum[[#This Row],[Pay Due]])</f>
        <v>0</v>
      </c>
      <c r="H196">
        <f>SUMIFS(Shift_Track[2x OT
Hrs],Shift_Track[Pay Period],Hours_Sum[[#This Row],[Pay Due]])</f>
        <v>0</v>
      </c>
      <c r="I196">
        <f>SUM(Hours_Sum[[#This Row],[Reg Hrs]],1.5*Hours_Sum[[#This Row],[1.5x OT Hrs]],2*Hours_Sum[[#This Row],[2x OT Hrs]])</f>
        <v>0</v>
      </c>
      <c r="J196">
        <f>Hours_Sum[[#This Row],[Tot Hrs
(Converted)]]*22</f>
        <v>0</v>
      </c>
      <c r="K196">
        <f>YEAR(Hours_Sum[[#This Row],[Pay Due]])</f>
        <v>2030</v>
      </c>
      <c r="L196" t="str">
        <f>TEXT(Hours_Sum[[#This Row],[Pay Due]],"MMMM")</f>
        <v>March</v>
      </c>
    </row>
    <row r="197" spans="2:12" x14ac:dyDescent="0.25">
      <c r="B197" s="39">
        <v>47585</v>
      </c>
      <c r="C197" s="5">
        <f>_xlfn.XLOOKUP(Hours_Sum[[#This Row],[Pay Due]],Dates_Ref[QCH due],Dates_Ref[Start],"",0)</f>
        <v>47567</v>
      </c>
      <c r="D197" s="5">
        <f>Hours_Sum[[#This Row],[PP Start]]+13</f>
        <v>47580</v>
      </c>
      <c r="E197">
        <f>SUM(Hours_Sum[[#This Row],[Reg Hrs]],Hours_Sum[[#This Row],[1.5x OT Hrs]],Hours_Sum[[#This Row],[2x OT Hrs]])</f>
        <v>0</v>
      </c>
      <c r="F197">
        <f>SUMIFS(Shift_Track[Reg
Hrs],Shift_Track[Pay Period],Hours_Sum[[#This Row],[Pay Due]])</f>
        <v>0</v>
      </c>
      <c r="G197">
        <f>SUMIFS(Shift_Track[1.5x OT
Hrs],Shift_Track[Pay Period],Hours_Sum[[#This Row],[Pay Due]])</f>
        <v>0</v>
      </c>
      <c r="H197">
        <f>SUMIFS(Shift_Track[2x OT
Hrs],Shift_Track[Pay Period],Hours_Sum[[#This Row],[Pay Due]])</f>
        <v>0</v>
      </c>
      <c r="I197">
        <f>SUM(Hours_Sum[[#This Row],[Reg Hrs]],1.5*Hours_Sum[[#This Row],[1.5x OT Hrs]],2*Hours_Sum[[#This Row],[2x OT Hrs]])</f>
        <v>0</v>
      </c>
      <c r="J197">
        <f>Hours_Sum[[#This Row],[Tot Hrs
(Converted)]]*22</f>
        <v>0</v>
      </c>
      <c r="K197">
        <f>YEAR(Hours_Sum[[#This Row],[Pay Due]])</f>
        <v>2030</v>
      </c>
      <c r="L197" t="str">
        <f>TEXT(Hours_Sum[[#This Row],[Pay Due]],"MMMM")</f>
        <v>April</v>
      </c>
    </row>
    <row r="198" spans="2:12" x14ac:dyDescent="0.25">
      <c r="B198" s="39">
        <v>47599</v>
      </c>
      <c r="C198" s="5">
        <f>_xlfn.XLOOKUP(Hours_Sum[[#This Row],[Pay Due]],Dates_Ref[QCH due],Dates_Ref[Start],"",0)</f>
        <v>47581</v>
      </c>
      <c r="D198" s="5">
        <f>Hours_Sum[[#This Row],[PP Start]]+13</f>
        <v>47594</v>
      </c>
      <c r="E198">
        <f>SUM(Hours_Sum[[#This Row],[Reg Hrs]],Hours_Sum[[#This Row],[1.5x OT Hrs]],Hours_Sum[[#This Row],[2x OT Hrs]])</f>
        <v>0</v>
      </c>
      <c r="F198">
        <f>SUMIFS(Shift_Track[Reg
Hrs],Shift_Track[Pay Period],Hours_Sum[[#This Row],[Pay Due]])</f>
        <v>0</v>
      </c>
      <c r="G198">
        <f>SUMIFS(Shift_Track[1.5x OT
Hrs],Shift_Track[Pay Period],Hours_Sum[[#This Row],[Pay Due]])</f>
        <v>0</v>
      </c>
      <c r="H198">
        <f>SUMIFS(Shift_Track[2x OT
Hrs],Shift_Track[Pay Period],Hours_Sum[[#This Row],[Pay Due]])</f>
        <v>0</v>
      </c>
      <c r="I198">
        <f>SUM(Hours_Sum[[#This Row],[Reg Hrs]],1.5*Hours_Sum[[#This Row],[1.5x OT Hrs]],2*Hours_Sum[[#This Row],[2x OT Hrs]])</f>
        <v>0</v>
      </c>
      <c r="J198">
        <f>Hours_Sum[[#This Row],[Tot Hrs
(Converted)]]*22</f>
        <v>0</v>
      </c>
      <c r="K198">
        <f>YEAR(Hours_Sum[[#This Row],[Pay Due]])</f>
        <v>2030</v>
      </c>
      <c r="L198" t="str">
        <f>TEXT(Hours_Sum[[#This Row],[Pay Due]],"MMMM")</f>
        <v>April</v>
      </c>
    </row>
    <row r="199" spans="2:12" x14ac:dyDescent="0.25">
      <c r="B199" s="39">
        <v>47613</v>
      </c>
      <c r="C199" s="5">
        <f>_xlfn.XLOOKUP(Hours_Sum[[#This Row],[Pay Due]],Dates_Ref[QCH due],Dates_Ref[Start],"",0)</f>
        <v>47595</v>
      </c>
      <c r="D199" s="5">
        <f>Hours_Sum[[#This Row],[PP Start]]+13</f>
        <v>47608</v>
      </c>
      <c r="E199">
        <f>SUM(Hours_Sum[[#This Row],[Reg Hrs]],Hours_Sum[[#This Row],[1.5x OT Hrs]],Hours_Sum[[#This Row],[2x OT Hrs]])</f>
        <v>0</v>
      </c>
      <c r="F199">
        <f>SUMIFS(Shift_Track[Reg
Hrs],Shift_Track[Pay Period],Hours_Sum[[#This Row],[Pay Due]])</f>
        <v>0</v>
      </c>
      <c r="G199">
        <f>SUMIFS(Shift_Track[1.5x OT
Hrs],Shift_Track[Pay Period],Hours_Sum[[#This Row],[Pay Due]])</f>
        <v>0</v>
      </c>
      <c r="H199">
        <f>SUMIFS(Shift_Track[2x OT
Hrs],Shift_Track[Pay Period],Hours_Sum[[#This Row],[Pay Due]])</f>
        <v>0</v>
      </c>
      <c r="I199">
        <f>SUM(Hours_Sum[[#This Row],[Reg Hrs]],1.5*Hours_Sum[[#This Row],[1.5x OT Hrs]],2*Hours_Sum[[#This Row],[2x OT Hrs]])</f>
        <v>0</v>
      </c>
      <c r="J199">
        <f>Hours_Sum[[#This Row],[Tot Hrs
(Converted)]]*22</f>
        <v>0</v>
      </c>
      <c r="K199">
        <f>YEAR(Hours_Sum[[#This Row],[Pay Due]])</f>
        <v>2030</v>
      </c>
      <c r="L199" t="str">
        <f>TEXT(Hours_Sum[[#This Row],[Pay Due]],"MMMM")</f>
        <v>May</v>
      </c>
    </row>
    <row r="200" spans="2:12" x14ac:dyDescent="0.25">
      <c r="B200" s="39">
        <v>47627</v>
      </c>
      <c r="C200" s="5">
        <f>_xlfn.XLOOKUP(Hours_Sum[[#This Row],[Pay Due]],Dates_Ref[QCH due],Dates_Ref[Start],"",0)</f>
        <v>47609</v>
      </c>
      <c r="D200" s="5">
        <f>Hours_Sum[[#This Row],[PP Start]]+13</f>
        <v>47622</v>
      </c>
      <c r="E200">
        <f>SUM(Hours_Sum[[#This Row],[Reg Hrs]],Hours_Sum[[#This Row],[1.5x OT Hrs]],Hours_Sum[[#This Row],[2x OT Hrs]])</f>
        <v>0</v>
      </c>
      <c r="F200">
        <f>SUMIFS(Shift_Track[Reg
Hrs],Shift_Track[Pay Period],Hours_Sum[[#This Row],[Pay Due]])</f>
        <v>0</v>
      </c>
      <c r="G200">
        <f>SUMIFS(Shift_Track[1.5x OT
Hrs],Shift_Track[Pay Period],Hours_Sum[[#This Row],[Pay Due]])</f>
        <v>0</v>
      </c>
      <c r="H200">
        <f>SUMIFS(Shift_Track[2x OT
Hrs],Shift_Track[Pay Period],Hours_Sum[[#This Row],[Pay Due]])</f>
        <v>0</v>
      </c>
      <c r="I200">
        <f>SUM(Hours_Sum[[#This Row],[Reg Hrs]],1.5*Hours_Sum[[#This Row],[1.5x OT Hrs]],2*Hours_Sum[[#This Row],[2x OT Hrs]])</f>
        <v>0</v>
      </c>
      <c r="J200">
        <f>Hours_Sum[[#This Row],[Tot Hrs
(Converted)]]*22</f>
        <v>0</v>
      </c>
      <c r="K200">
        <f>YEAR(Hours_Sum[[#This Row],[Pay Due]])</f>
        <v>2030</v>
      </c>
      <c r="L200" t="str">
        <f>TEXT(Hours_Sum[[#This Row],[Pay Due]],"MMMM")</f>
        <v>May</v>
      </c>
    </row>
    <row r="201" spans="2:12" x14ac:dyDescent="0.25">
      <c r="B201" s="39">
        <v>47641</v>
      </c>
      <c r="C201" s="5">
        <f>_xlfn.XLOOKUP(Hours_Sum[[#This Row],[Pay Due]],Dates_Ref[QCH due],Dates_Ref[Start],"",0)</f>
        <v>47623</v>
      </c>
      <c r="D201" s="5">
        <f>Hours_Sum[[#This Row],[PP Start]]+13</f>
        <v>47636</v>
      </c>
      <c r="E201">
        <f>SUM(Hours_Sum[[#This Row],[Reg Hrs]],Hours_Sum[[#This Row],[1.5x OT Hrs]],Hours_Sum[[#This Row],[2x OT Hrs]])</f>
        <v>0</v>
      </c>
      <c r="F201">
        <f>SUMIFS(Shift_Track[Reg
Hrs],Shift_Track[Pay Period],Hours_Sum[[#This Row],[Pay Due]])</f>
        <v>0</v>
      </c>
      <c r="G201">
        <f>SUMIFS(Shift_Track[1.5x OT
Hrs],Shift_Track[Pay Period],Hours_Sum[[#This Row],[Pay Due]])</f>
        <v>0</v>
      </c>
      <c r="H201">
        <f>SUMIFS(Shift_Track[2x OT
Hrs],Shift_Track[Pay Period],Hours_Sum[[#This Row],[Pay Due]])</f>
        <v>0</v>
      </c>
      <c r="I201">
        <f>SUM(Hours_Sum[[#This Row],[Reg Hrs]],1.5*Hours_Sum[[#This Row],[1.5x OT Hrs]],2*Hours_Sum[[#This Row],[2x OT Hrs]])</f>
        <v>0</v>
      </c>
      <c r="J201">
        <f>Hours_Sum[[#This Row],[Tot Hrs
(Converted)]]*22</f>
        <v>0</v>
      </c>
      <c r="K201">
        <f>YEAR(Hours_Sum[[#This Row],[Pay Due]])</f>
        <v>2030</v>
      </c>
      <c r="L201" t="str">
        <f>TEXT(Hours_Sum[[#This Row],[Pay Due]],"MMMM")</f>
        <v>June</v>
      </c>
    </row>
    <row r="202" spans="2:12" x14ac:dyDescent="0.25">
      <c r="B202" s="39">
        <v>47655</v>
      </c>
      <c r="C202" s="5">
        <f>_xlfn.XLOOKUP(Hours_Sum[[#This Row],[Pay Due]],Dates_Ref[QCH due],Dates_Ref[Start],"",0)</f>
        <v>47637</v>
      </c>
      <c r="D202" s="5">
        <f>Hours_Sum[[#This Row],[PP Start]]+13</f>
        <v>47650</v>
      </c>
      <c r="E202">
        <f>SUM(Hours_Sum[[#This Row],[Reg Hrs]],Hours_Sum[[#This Row],[1.5x OT Hrs]],Hours_Sum[[#This Row],[2x OT Hrs]])</f>
        <v>0</v>
      </c>
      <c r="F202">
        <f>SUMIFS(Shift_Track[Reg
Hrs],Shift_Track[Pay Period],Hours_Sum[[#This Row],[Pay Due]])</f>
        <v>0</v>
      </c>
      <c r="G202">
        <f>SUMIFS(Shift_Track[1.5x OT
Hrs],Shift_Track[Pay Period],Hours_Sum[[#This Row],[Pay Due]])</f>
        <v>0</v>
      </c>
      <c r="H202">
        <f>SUMIFS(Shift_Track[2x OT
Hrs],Shift_Track[Pay Period],Hours_Sum[[#This Row],[Pay Due]])</f>
        <v>0</v>
      </c>
      <c r="I202">
        <f>SUM(Hours_Sum[[#This Row],[Reg Hrs]],1.5*Hours_Sum[[#This Row],[1.5x OT Hrs]],2*Hours_Sum[[#This Row],[2x OT Hrs]])</f>
        <v>0</v>
      </c>
      <c r="J202">
        <f>Hours_Sum[[#This Row],[Tot Hrs
(Converted)]]*22</f>
        <v>0</v>
      </c>
      <c r="K202">
        <f>YEAR(Hours_Sum[[#This Row],[Pay Due]])</f>
        <v>2030</v>
      </c>
      <c r="L202" t="str">
        <f>TEXT(Hours_Sum[[#This Row],[Pay Due]],"MMMM")</f>
        <v>June</v>
      </c>
    </row>
    <row r="203" spans="2:12" x14ac:dyDescent="0.25">
      <c r="B203" s="39">
        <v>47669</v>
      </c>
      <c r="C203" s="5">
        <f>_xlfn.XLOOKUP(Hours_Sum[[#This Row],[Pay Due]],Dates_Ref[QCH due],Dates_Ref[Start],"",0)</f>
        <v>47651</v>
      </c>
      <c r="D203" s="5">
        <f>Hours_Sum[[#This Row],[PP Start]]+13</f>
        <v>47664</v>
      </c>
      <c r="E203">
        <f>SUM(Hours_Sum[[#This Row],[Reg Hrs]],Hours_Sum[[#This Row],[1.5x OT Hrs]],Hours_Sum[[#This Row],[2x OT Hrs]])</f>
        <v>0</v>
      </c>
      <c r="F203">
        <f>SUMIFS(Shift_Track[Reg
Hrs],Shift_Track[Pay Period],Hours_Sum[[#This Row],[Pay Due]])</f>
        <v>0</v>
      </c>
      <c r="G203">
        <f>SUMIFS(Shift_Track[1.5x OT
Hrs],Shift_Track[Pay Period],Hours_Sum[[#This Row],[Pay Due]])</f>
        <v>0</v>
      </c>
      <c r="H203">
        <f>SUMIFS(Shift_Track[2x OT
Hrs],Shift_Track[Pay Period],Hours_Sum[[#This Row],[Pay Due]])</f>
        <v>0</v>
      </c>
      <c r="I203">
        <f>SUM(Hours_Sum[[#This Row],[Reg Hrs]],1.5*Hours_Sum[[#This Row],[1.5x OT Hrs]],2*Hours_Sum[[#This Row],[2x OT Hrs]])</f>
        <v>0</v>
      </c>
      <c r="J203">
        <f>Hours_Sum[[#This Row],[Tot Hrs
(Converted)]]*22</f>
        <v>0</v>
      </c>
      <c r="K203">
        <f>YEAR(Hours_Sum[[#This Row],[Pay Due]])</f>
        <v>2030</v>
      </c>
      <c r="L203" t="str">
        <f>TEXT(Hours_Sum[[#This Row],[Pay Due]],"MMMM")</f>
        <v>July</v>
      </c>
    </row>
    <row r="204" spans="2:12" x14ac:dyDescent="0.25">
      <c r="B204" s="39">
        <v>47683</v>
      </c>
      <c r="C204" s="5">
        <f>_xlfn.XLOOKUP(Hours_Sum[[#This Row],[Pay Due]],Dates_Ref[QCH due],Dates_Ref[Start],"",0)</f>
        <v>47665</v>
      </c>
      <c r="D204" s="5">
        <f>Hours_Sum[[#This Row],[PP Start]]+13</f>
        <v>47678</v>
      </c>
      <c r="E204">
        <f>SUM(Hours_Sum[[#This Row],[Reg Hrs]],Hours_Sum[[#This Row],[1.5x OT Hrs]],Hours_Sum[[#This Row],[2x OT Hrs]])</f>
        <v>0</v>
      </c>
      <c r="F204">
        <f>SUMIFS(Shift_Track[Reg
Hrs],Shift_Track[Pay Period],Hours_Sum[[#This Row],[Pay Due]])</f>
        <v>0</v>
      </c>
      <c r="G204">
        <f>SUMIFS(Shift_Track[1.5x OT
Hrs],Shift_Track[Pay Period],Hours_Sum[[#This Row],[Pay Due]])</f>
        <v>0</v>
      </c>
      <c r="H204">
        <f>SUMIFS(Shift_Track[2x OT
Hrs],Shift_Track[Pay Period],Hours_Sum[[#This Row],[Pay Due]])</f>
        <v>0</v>
      </c>
      <c r="I204">
        <f>SUM(Hours_Sum[[#This Row],[Reg Hrs]],1.5*Hours_Sum[[#This Row],[1.5x OT Hrs]],2*Hours_Sum[[#This Row],[2x OT Hrs]])</f>
        <v>0</v>
      </c>
      <c r="J204">
        <f>Hours_Sum[[#This Row],[Tot Hrs
(Converted)]]*22</f>
        <v>0</v>
      </c>
      <c r="K204">
        <f>YEAR(Hours_Sum[[#This Row],[Pay Due]])</f>
        <v>2030</v>
      </c>
      <c r="L204" t="str">
        <f>TEXT(Hours_Sum[[#This Row],[Pay Due]],"MMMM")</f>
        <v>July</v>
      </c>
    </row>
    <row r="205" spans="2:12" x14ac:dyDescent="0.25">
      <c r="B205" s="39">
        <v>47697</v>
      </c>
      <c r="C205" s="5">
        <f>_xlfn.XLOOKUP(Hours_Sum[[#This Row],[Pay Due]],Dates_Ref[QCH due],Dates_Ref[Start],"",0)</f>
        <v>47679</v>
      </c>
      <c r="D205" s="5">
        <f>Hours_Sum[[#This Row],[PP Start]]+13</f>
        <v>47692</v>
      </c>
      <c r="E205">
        <f>SUM(Hours_Sum[[#This Row],[Reg Hrs]],Hours_Sum[[#This Row],[1.5x OT Hrs]],Hours_Sum[[#This Row],[2x OT Hrs]])</f>
        <v>0</v>
      </c>
      <c r="F205">
        <f>SUMIFS(Shift_Track[Reg
Hrs],Shift_Track[Pay Period],Hours_Sum[[#This Row],[Pay Due]])</f>
        <v>0</v>
      </c>
      <c r="G205">
        <f>SUMIFS(Shift_Track[1.5x OT
Hrs],Shift_Track[Pay Period],Hours_Sum[[#This Row],[Pay Due]])</f>
        <v>0</v>
      </c>
      <c r="H205">
        <f>SUMIFS(Shift_Track[2x OT
Hrs],Shift_Track[Pay Period],Hours_Sum[[#This Row],[Pay Due]])</f>
        <v>0</v>
      </c>
      <c r="I205">
        <f>SUM(Hours_Sum[[#This Row],[Reg Hrs]],1.5*Hours_Sum[[#This Row],[1.5x OT Hrs]],2*Hours_Sum[[#This Row],[2x OT Hrs]])</f>
        <v>0</v>
      </c>
      <c r="J205">
        <f>Hours_Sum[[#This Row],[Tot Hrs
(Converted)]]*22</f>
        <v>0</v>
      </c>
      <c r="K205">
        <f>YEAR(Hours_Sum[[#This Row],[Pay Due]])</f>
        <v>2030</v>
      </c>
      <c r="L205" t="str">
        <f>TEXT(Hours_Sum[[#This Row],[Pay Due]],"MMMM")</f>
        <v>August</v>
      </c>
    </row>
    <row r="206" spans="2:12" x14ac:dyDescent="0.25">
      <c r="B206" s="39">
        <v>47711</v>
      </c>
      <c r="C206" s="5">
        <f>_xlfn.XLOOKUP(Hours_Sum[[#This Row],[Pay Due]],Dates_Ref[QCH due],Dates_Ref[Start],"",0)</f>
        <v>47693</v>
      </c>
      <c r="D206" s="5">
        <f>Hours_Sum[[#This Row],[PP Start]]+13</f>
        <v>47706</v>
      </c>
      <c r="E206">
        <f>SUM(Hours_Sum[[#This Row],[Reg Hrs]],Hours_Sum[[#This Row],[1.5x OT Hrs]],Hours_Sum[[#This Row],[2x OT Hrs]])</f>
        <v>0</v>
      </c>
      <c r="F206">
        <f>SUMIFS(Shift_Track[Reg
Hrs],Shift_Track[Pay Period],Hours_Sum[[#This Row],[Pay Due]])</f>
        <v>0</v>
      </c>
      <c r="G206">
        <f>SUMIFS(Shift_Track[1.5x OT
Hrs],Shift_Track[Pay Period],Hours_Sum[[#This Row],[Pay Due]])</f>
        <v>0</v>
      </c>
      <c r="H206">
        <f>SUMIFS(Shift_Track[2x OT
Hrs],Shift_Track[Pay Period],Hours_Sum[[#This Row],[Pay Due]])</f>
        <v>0</v>
      </c>
      <c r="I206">
        <f>SUM(Hours_Sum[[#This Row],[Reg Hrs]],1.5*Hours_Sum[[#This Row],[1.5x OT Hrs]],2*Hours_Sum[[#This Row],[2x OT Hrs]])</f>
        <v>0</v>
      </c>
      <c r="J206">
        <f>Hours_Sum[[#This Row],[Tot Hrs
(Converted)]]*22</f>
        <v>0</v>
      </c>
      <c r="K206">
        <f>YEAR(Hours_Sum[[#This Row],[Pay Due]])</f>
        <v>2030</v>
      </c>
      <c r="L206" t="str">
        <f>TEXT(Hours_Sum[[#This Row],[Pay Due]],"MMMM")</f>
        <v>August</v>
      </c>
    </row>
    <row r="207" spans="2:12" x14ac:dyDescent="0.25">
      <c r="B207" s="39">
        <v>47725</v>
      </c>
      <c r="C207" s="5">
        <f>_xlfn.XLOOKUP(Hours_Sum[[#This Row],[Pay Due]],Dates_Ref[QCH due],Dates_Ref[Start],"",0)</f>
        <v>47707</v>
      </c>
      <c r="D207" s="5">
        <f>Hours_Sum[[#This Row],[PP Start]]+13</f>
        <v>47720</v>
      </c>
      <c r="E207">
        <f>SUM(Hours_Sum[[#This Row],[Reg Hrs]],Hours_Sum[[#This Row],[1.5x OT Hrs]],Hours_Sum[[#This Row],[2x OT Hrs]])</f>
        <v>0</v>
      </c>
      <c r="F207">
        <f>SUMIFS(Shift_Track[Reg
Hrs],Shift_Track[Pay Period],Hours_Sum[[#This Row],[Pay Due]])</f>
        <v>0</v>
      </c>
      <c r="G207">
        <f>SUMIFS(Shift_Track[1.5x OT
Hrs],Shift_Track[Pay Period],Hours_Sum[[#This Row],[Pay Due]])</f>
        <v>0</v>
      </c>
      <c r="H207">
        <f>SUMIFS(Shift_Track[2x OT
Hrs],Shift_Track[Pay Period],Hours_Sum[[#This Row],[Pay Due]])</f>
        <v>0</v>
      </c>
      <c r="I207">
        <f>SUM(Hours_Sum[[#This Row],[Reg Hrs]],1.5*Hours_Sum[[#This Row],[1.5x OT Hrs]],2*Hours_Sum[[#This Row],[2x OT Hrs]])</f>
        <v>0</v>
      </c>
      <c r="J207">
        <f>Hours_Sum[[#This Row],[Tot Hrs
(Converted)]]*22</f>
        <v>0</v>
      </c>
      <c r="K207">
        <f>YEAR(Hours_Sum[[#This Row],[Pay Due]])</f>
        <v>2030</v>
      </c>
      <c r="L207" t="str">
        <f>TEXT(Hours_Sum[[#This Row],[Pay Due]],"MMMM")</f>
        <v>August</v>
      </c>
    </row>
    <row r="208" spans="2:12" x14ac:dyDescent="0.25">
      <c r="B208" s="39">
        <v>47739</v>
      </c>
      <c r="C208" s="5">
        <f>_xlfn.XLOOKUP(Hours_Sum[[#This Row],[Pay Due]],Dates_Ref[QCH due],Dates_Ref[Start],"",0)</f>
        <v>47721</v>
      </c>
      <c r="D208" s="5">
        <f>Hours_Sum[[#This Row],[PP Start]]+13</f>
        <v>47734</v>
      </c>
      <c r="E208">
        <f>SUM(Hours_Sum[[#This Row],[Reg Hrs]],Hours_Sum[[#This Row],[1.5x OT Hrs]],Hours_Sum[[#This Row],[2x OT Hrs]])</f>
        <v>0</v>
      </c>
      <c r="F208">
        <f>SUMIFS(Shift_Track[Reg
Hrs],Shift_Track[Pay Period],Hours_Sum[[#This Row],[Pay Due]])</f>
        <v>0</v>
      </c>
      <c r="G208">
        <f>SUMIFS(Shift_Track[1.5x OT
Hrs],Shift_Track[Pay Period],Hours_Sum[[#This Row],[Pay Due]])</f>
        <v>0</v>
      </c>
      <c r="H208">
        <f>SUMIFS(Shift_Track[2x OT
Hrs],Shift_Track[Pay Period],Hours_Sum[[#This Row],[Pay Due]])</f>
        <v>0</v>
      </c>
      <c r="I208">
        <f>SUM(Hours_Sum[[#This Row],[Reg Hrs]],1.5*Hours_Sum[[#This Row],[1.5x OT Hrs]],2*Hours_Sum[[#This Row],[2x OT Hrs]])</f>
        <v>0</v>
      </c>
      <c r="J208">
        <f>Hours_Sum[[#This Row],[Tot Hrs
(Converted)]]*22</f>
        <v>0</v>
      </c>
      <c r="K208">
        <f>YEAR(Hours_Sum[[#This Row],[Pay Due]])</f>
        <v>2030</v>
      </c>
      <c r="L208" t="str">
        <f>TEXT(Hours_Sum[[#This Row],[Pay Due]],"MMMM")</f>
        <v>September</v>
      </c>
    </row>
    <row r="209" spans="2:12" x14ac:dyDescent="0.25">
      <c r="B209" s="39">
        <v>47753</v>
      </c>
      <c r="C209" s="5">
        <f>_xlfn.XLOOKUP(Hours_Sum[[#This Row],[Pay Due]],Dates_Ref[QCH due],Dates_Ref[Start],"",0)</f>
        <v>47735</v>
      </c>
      <c r="D209" s="5">
        <f>Hours_Sum[[#This Row],[PP Start]]+13</f>
        <v>47748</v>
      </c>
      <c r="E209">
        <f>SUM(Hours_Sum[[#This Row],[Reg Hrs]],Hours_Sum[[#This Row],[1.5x OT Hrs]],Hours_Sum[[#This Row],[2x OT Hrs]])</f>
        <v>0</v>
      </c>
      <c r="F209">
        <f>SUMIFS(Shift_Track[Reg
Hrs],Shift_Track[Pay Period],Hours_Sum[[#This Row],[Pay Due]])</f>
        <v>0</v>
      </c>
      <c r="G209">
        <f>SUMIFS(Shift_Track[1.5x OT
Hrs],Shift_Track[Pay Period],Hours_Sum[[#This Row],[Pay Due]])</f>
        <v>0</v>
      </c>
      <c r="H209">
        <f>SUMIFS(Shift_Track[2x OT
Hrs],Shift_Track[Pay Period],Hours_Sum[[#This Row],[Pay Due]])</f>
        <v>0</v>
      </c>
      <c r="I209">
        <f>SUM(Hours_Sum[[#This Row],[Reg Hrs]],1.5*Hours_Sum[[#This Row],[1.5x OT Hrs]],2*Hours_Sum[[#This Row],[2x OT Hrs]])</f>
        <v>0</v>
      </c>
      <c r="J209">
        <f>Hours_Sum[[#This Row],[Tot Hrs
(Converted)]]*22</f>
        <v>0</v>
      </c>
      <c r="K209">
        <f>YEAR(Hours_Sum[[#This Row],[Pay Due]])</f>
        <v>2030</v>
      </c>
      <c r="L209" t="str">
        <f>TEXT(Hours_Sum[[#This Row],[Pay Due]],"MMMM")</f>
        <v>September</v>
      </c>
    </row>
    <row r="210" spans="2:12" x14ac:dyDescent="0.25">
      <c r="B210" s="39">
        <v>47767</v>
      </c>
      <c r="C210" s="5">
        <f>_xlfn.XLOOKUP(Hours_Sum[[#This Row],[Pay Due]],Dates_Ref[QCH due],Dates_Ref[Start],"",0)</f>
        <v>47749</v>
      </c>
      <c r="D210" s="5">
        <f>Hours_Sum[[#This Row],[PP Start]]+13</f>
        <v>47762</v>
      </c>
      <c r="E210">
        <f>SUM(Hours_Sum[[#This Row],[Reg Hrs]],Hours_Sum[[#This Row],[1.5x OT Hrs]],Hours_Sum[[#This Row],[2x OT Hrs]])</f>
        <v>0</v>
      </c>
      <c r="F210">
        <f>SUMIFS(Shift_Track[Reg
Hrs],Shift_Track[Pay Period],Hours_Sum[[#This Row],[Pay Due]])</f>
        <v>0</v>
      </c>
      <c r="G210">
        <f>SUMIFS(Shift_Track[1.5x OT
Hrs],Shift_Track[Pay Period],Hours_Sum[[#This Row],[Pay Due]])</f>
        <v>0</v>
      </c>
      <c r="H210">
        <f>SUMIFS(Shift_Track[2x OT
Hrs],Shift_Track[Pay Period],Hours_Sum[[#This Row],[Pay Due]])</f>
        <v>0</v>
      </c>
      <c r="I210">
        <f>SUM(Hours_Sum[[#This Row],[Reg Hrs]],1.5*Hours_Sum[[#This Row],[1.5x OT Hrs]],2*Hours_Sum[[#This Row],[2x OT Hrs]])</f>
        <v>0</v>
      </c>
      <c r="J210">
        <f>Hours_Sum[[#This Row],[Tot Hrs
(Converted)]]*22</f>
        <v>0</v>
      </c>
      <c r="K210">
        <f>YEAR(Hours_Sum[[#This Row],[Pay Due]])</f>
        <v>2030</v>
      </c>
      <c r="L210" t="str">
        <f>TEXT(Hours_Sum[[#This Row],[Pay Due]],"MMMM")</f>
        <v>October</v>
      </c>
    </row>
    <row r="211" spans="2:12" x14ac:dyDescent="0.25">
      <c r="B211" s="39">
        <v>47781</v>
      </c>
      <c r="C211" s="5">
        <f>_xlfn.XLOOKUP(Hours_Sum[[#This Row],[Pay Due]],Dates_Ref[QCH due],Dates_Ref[Start],"",0)</f>
        <v>47763</v>
      </c>
      <c r="D211" s="5">
        <f>Hours_Sum[[#This Row],[PP Start]]+13</f>
        <v>47776</v>
      </c>
      <c r="E211">
        <f>SUM(Hours_Sum[[#This Row],[Reg Hrs]],Hours_Sum[[#This Row],[1.5x OT Hrs]],Hours_Sum[[#This Row],[2x OT Hrs]])</f>
        <v>0</v>
      </c>
      <c r="F211">
        <f>SUMIFS(Shift_Track[Reg
Hrs],Shift_Track[Pay Period],Hours_Sum[[#This Row],[Pay Due]])</f>
        <v>0</v>
      </c>
      <c r="G211">
        <f>SUMIFS(Shift_Track[1.5x OT
Hrs],Shift_Track[Pay Period],Hours_Sum[[#This Row],[Pay Due]])</f>
        <v>0</v>
      </c>
      <c r="H211">
        <f>SUMIFS(Shift_Track[2x OT
Hrs],Shift_Track[Pay Period],Hours_Sum[[#This Row],[Pay Due]])</f>
        <v>0</v>
      </c>
      <c r="I211">
        <f>SUM(Hours_Sum[[#This Row],[Reg Hrs]],1.5*Hours_Sum[[#This Row],[1.5x OT Hrs]],2*Hours_Sum[[#This Row],[2x OT Hrs]])</f>
        <v>0</v>
      </c>
      <c r="J211">
        <f>Hours_Sum[[#This Row],[Tot Hrs
(Converted)]]*22</f>
        <v>0</v>
      </c>
      <c r="K211">
        <f>YEAR(Hours_Sum[[#This Row],[Pay Due]])</f>
        <v>2030</v>
      </c>
      <c r="L211" t="str">
        <f>TEXT(Hours_Sum[[#This Row],[Pay Due]],"MMMM")</f>
        <v>October</v>
      </c>
    </row>
    <row r="212" spans="2:12" x14ac:dyDescent="0.25">
      <c r="B212" s="39">
        <v>47795</v>
      </c>
      <c r="C212" s="5">
        <f>_xlfn.XLOOKUP(Hours_Sum[[#This Row],[Pay Due]],Dates_Ref[QCH due],Dates_Ref[Start],"",0)</f>
        <v>47777</v>
      </c>
      <c r="D212" s="5">
        <f>Hours_Sum[[#This Row],[PP Start]]+13</f>
        <v>47790</v>
      </c>
      <c r="E212">
        <f>SUM(Hours_Sum[[#This Row],[Reg Hrs]],Hours_Sum[[#This Row],[1.5x OT Hrs]],Hours_Sum[[#This Row],[2x OT Hrs]])</f>
        <v>0</v>
      </c>
      <c r="F212">
        <f>SUMIFS(Shift_Track[Reg
Hrs],Shift_Track[Pay Period],Hours_Sum[[#This Row],[Pay Due]])</f>
        <v>0</v>
      </c>
      <c r="G212">
        <f>SUMIFS(Shift_Track[1.5x OT
Hrs],Shift_Track[Pay Period],Hours_Sum[[#This Row],[Pay Due]])</f>
        <v>0</v>
      </c>
      <c r="H212">
        <f>SUMIFS(Shift_Track[2x OT
Hrs],Shift_Track[Pay Period],Hours_Sum[[#This Row],[Pay Due]])</f>
        <v>0</v>
      </c>
      <c r="I212">
        <f>SUM(Hours_Sum[[#This Row],[Reg Hrs]],1.5*Hours_Sum[[#This Row],[1.5x OT Hrs]],2*Hours_Sum[[#This Row],[2x OT Hrs]])</f>
        <v>0</v>
      </c>
      <c r="J212">
        <f>Hours_Sum[[#This Row],[Tot Hrs
(Converted)]]*22</f>
        <v>0</v>
      </c>
      <c r="K212">
        <f>YEAR(Hours_Sum[[#This Row],[Pay Due]])</f>
        <v>2030</v>
      </c>
      <c r="L212" t="str">
        <f>TEXT(Hours_Sum[[#This Row],[Pay Due]],"MMMM")</f>
        <v>November</v>
      </c>
    </row>
    <row r="213" spans="2:12" x14ac:dyDescent="0.25">
      <c r="B213" s="39">
        <v>47809</v>
      </c>
      <c r="C213" s="5">
        <f>_xlfn.XLOOKUP(Hours_Sum[[#This Row],[Pay Due]],Dates_Ref[QCH due],Dates_Ref[Start],"",0)</f>
        <v>47791</v>
      </c>
      <c r="D213" s="5">
        <f>Hours_Sum[[#This Row],[PP Start]]+13</f>
        <v>47804</v>
      </c>
      <c r="E213">
        <f>SUM(Hours_Sum[[#This Row],[Reg Hrs]],Hours_Sum[[#This Row],[1.5x OT Hrs]],Hours_Sum[[#This Row],[2x OT Hrs]])</f>
        <v>0</v>
      </c>
      <c r="F213">
        <f>SUMIFS(Shift_Track[Reg
Hrs],Shift_Track[Pay Period],Hours_Sum[[#This Row],[Pay Due]])</f>
        <v>0</v>
      </c>
      <c r="G213">
        <f>SUMIFS(Shift_Track[1.5x OT
Hrs],Shift_Track[Pay Period],Hours_Sum[[#This Row],[Pay Due]])</f>
        <v>0</v>
      </c>
      <c r="H213">
        <f>SUMIFS(Shift_Track[2x OT
Hrs],Shift_Track[Pay Period],Hours_Sum[[#This Row],[Pay Due]])</f>
        <v>0</v>
      </c>
      <c r="I213">
        <f>SUM(Hours_Sum[[#This Row],[Reg Hrs]],1.5*Hours_Sum[[#This Row],[1.5x OT Hrs]],2*Hours_Sum[[#This Row],[2x OT Hrs]])</f>
        <v>0</v>
      </c>
      <c r="J213">
        <f>Hours_Sum[[#This Row],[Tot Hrs
(Converted)]]*22</f>
        <v>0</v>
      </c>
      <c r="K213">
        <f>YEAR(Hours_Sum[[#This Row],[Pay Due]])</f>
        <v>2030</v>
      </c>
      <c r="L213" t="str">
        <f>TEXT(Hours_Sum[[#This Row],[Pay Due]],"MMMM")</f>
        <v>November</v>
      </c>
    </row>
    <row r="214" spans="2:12" x14ac:dyDescent="0.25">
      <c r="B214" s="39">
        <v>47823</v>
      </c>
      <c r="C214" s="5">
        <f>_xlfn.XLOOKUP(Hours_Sum[[#This Row],[Pay Due]],Dates_Ref[QCH due],Dates_Ref[Start],"",0)</f>
        <v>47805</v>
      </c>
      <c r="D214" s="5">
        <f>Hours_Sum[[#This Row],[PP Start]]+13</f>
        <v>47818</v>
      </c>
      <c r="E214">
        <f>SUM(Hours_Sum[[#This Row],[Reg Hrs]],Hours_Sum[[#This Row],[1.5x OT Hrs]],Hours_Sum[[#This Row],[2x OT Hrs]])</f>
        <v>0</v>
      </c>
      <c r="F214">
        <f>SUMIFS(Shift_Track[Reg
Hrs],Shift_Track[Pay Period],Hours_Sum[[#This Row],[Pay Due]])</f>
        <v>0</v>
      </c>
      <c r="G214">
        <f>SUMIFS(Shift_Track[1.5x OT
Hrs],Shift_Track[Pay Period],Hours_Sum[[#This Row],[Pay Due]])</f>
        <v>0</v>
      </c>
      <c r="H214">
        <f>SUMIFS(Shift_Track[2x OT
Hrs],Shift_Track[Pay Period],Hours_Sum[[#This Row],[Pay Due]])</f>
        <v>0</v>
      </c>
      <c r="I214">
        <f>SUM(Hours_Sum[[#This Row],[Reg Hrs]],1.5*Hours_Sum[[#This Row],[1.5x OT Hrs]],2*Hours_Sum[[#This Row],[2x OT Hrs]])</f>
        <v>0</v>
      </c>
      <c r="J214">
        <f>Hours_Sum[[#This Row],[Tot Hrs
(Converted)]]*22</f>
        <v>0</v>
      </c>
      <c r="K214">
        <f>YEAR(Hours_Sum[[#This Row],[Pay Due]])</f>
        <v>2030</v>
      </c>
      <c r="L214" t="str">
        <f>TEXT(Hours_Sum[[#This Row],[Pay Due]],"MMMM")</f>
        <v>December</v>
      </c>
    </row>
    <row r="215" spans="2:12" x14ac:dyDescent="0.25">
      <c r="B215" s="39">
        <v>47837</v>
      </c>
      <c r="C215" s="5">
        <f>_xlfn.XLOOKUP(Hours_Sum[[#This Row],[Pay Due]],Dates_Ref[QCH due],Dates_Ref[Start],"",0)</f>
        <v>47819</v>
      </c>
      <c r="D215" s="5">
        <f>Hours_Sum[[#This Row],[PP Start]]+13</f>
        <v>47832</v>
      </c>
      <c r="E215">
        <f>SUM(Hours_Sum[[#This Row],[Reg Hrs]],Hours_Sum[[#This Row],[1.5x OT Hrs]],Hours_Sum[[#This Row],[2x OT Hrs]])</f>
        <v>0</v>
      </c>
      <c r="F215">
        <f>SUMIFS(Shift_Track[Reg
Hrs],Shift_Track[Pay Period],Hours_Sum[[#This Row],[Pay Due]])</f>
        <v>0</v>
      </c>
      <c r="G215">
        <f>SUMIFS(Shift_Track[1.5x OT
Hrs],Shift_Track[Pay Period],Hours_Sum[[#This Row],[Pay Due]])</f>
        <v>0</v>
      </c>
      <c r="H215">
        <f>SUMIFS(Shift_Track[2x OT
Hrs],Shift_Track[Pay Period],Hours_Sum[[#This Row],[Pay Due]])</f>
        <v>0</v>
      </c>
      <c r="I215">
        <f>SUM(Hours_Sum[[#This Row],[Reg Hrs]],1.5*Hours_Sum[[#This Row],[1.5x OT Hrs]],2*Hours_Sum[[#This Row],[2x OT Hrs]])</f>
        <v>0</v>
      </c>
      <c r="J215">
        <f>Hours_Sum[[#This Row],[Tot Hrs
(Converted)]]*22</f>
        <v>0</v>
      </c>
      <c r="K215">
        <f>YEAR(Hours_Sum[[#This Row],[Pay Due]])</f>
        <v>2030</v>
      </c>
      <c r="L215" t="str">
        <f>TEXT(Hours_Sum[[#This Row],[Pay Due]],"MMMM")</f>
        <v>December</v>
      </c>
    </row>
    <row r="216" spans="2:12" x14ac:dyDescent="0.25">
      <c r="B216" s="39">
        <v>47851</v>
      </c>
      <c r="C216" s="5">
        <f>_xlfn.XLOOKUP(Hours_Sum[[#This Row],[Pay Due]],Dates_Ref[QCH due],Dates_Ref[Start],"",0)</f>
        <v>47833</v>
      </c>
      <c r="D216" s="5">
        <f>Hours_Sum[[#This Row],[PP Start]]+13</f>
        <v>47846</v>
      </c>
      <c r="E216">
        <f>SUM(Hours_Sum[[#This Row],[Reg Hrs]],Hours_Sum[[#This Row],[1.5x OT Hrs]],Hours_Sum[[#This Row],[2x OT Hrs]])</f>
        <v>0</v>
      </c>
      <c r="F216">
        <f>SUMIFS(Shift_Track[Reg
Hrs],Shift_Track[Pay Period],Hours_Sum[[#This Row],[Pay Due]])</f>
        <v>0</v>
      </c>
      <c r="G216">
        <f>SUMIFS(Shift_Track[1.5x OT
Hrs],Shift_Track[Pay Period],Hours_Sum[[#This Row],[Pay Due]])</f>
        <v>0</v>
      </c>
      <c r="H216">
        <f>SUMIFS(Shift_Track[2x OT
Hrs],Shift_Track[Pay Period],Hours_Sum[[#This Row],[Pay Due]])</f>
        <v>0</v>
      </c>
      <c r="I216">
        <f>SUM(Hours_Sum[[#This Row],[Reg Hrs]],1.5*Hours_Sum[[#This Row],[1.5x OT Hrs]],2*Hours_Sum[[#This Row],[2x OT Hrs]])</f>
        <v>0</v>
      </c>
      <c r="J216">
        <f>Hours_Sum[[#This Row],[Tot Hrs
(Converted)]]*22</f>
        <v>0</v>
      </c>
      <c r="K216">
        <f>YEAR(Hours_Sum[[#This Row],[Pay Due]])</f>
        <v>2031</v>
      </c>
      <c r="L216" t="str">
        <f>TEXT(Hours_Sum[[#This Row],[Pay Due]],"MMMM")</f>
        <v>January</v>
      </c>
    </row>
    <row r="217" spans="2:12" x14ac:dyDescent="0.25">
      <c r="B217" s="39">
        <v>47865</v>
      </c>
      <c r="C217" s="5">
        <f>_xlfn.XLOOKUP(Hours_Sum[[#This Row],[Pay Due]],Dates_Ref[QCH due],Dates_Ref[Start],"",0)</f>
        <v>47847</v>
      </c>
      <c r="D217" s="5">
        <f>Hours_Sum[[#This Row],[PP Start]]+13</f>
        <v>47860</v>
      </c>
      <c r="E217">
        <f>SUM(Hours_Sum[[#This Row],[Reg Hrs]],Hours_Sum[[#This Row],[1.5x OT Hrs]],Hours_Sum[[#This Row],[2x OT Hrs]])</f>
        <v>0</v>
      </c>
      <c r="F217">
        <f>SUMIFS(Shift_Track[Reg
Hrs],Shift_Track[Pay Period],Hours_Sum[[#This Row],[Pay Due]])</f>
        <v>0</v>
      </c>
      <c r="G217">
        <f>SUMIFS(Shift_Track[1.5x OT
Hrs],Shift_Track[Pay Period],Hours_Sum[[#This Row],[Pay Due]])</f>
        <v>0</v>
      </c>
      <c r="H217">
        <f>SUMIFS(Shift_Track[2x OT
Hrs],Shift_Track[Pay Period],Hours_Sum[[#This Row],[Pay Due]])</f>
        <v>0</v>
      </c>
      <c r="I217">
        <f>SUM(Hours_Sum[[#This Row],[Reg Hrs]],1.5*Hours_Sum[[#This Row],[1.5x OT Hrs]],2*Hours_Sum[[#This Row],[2x OT Hrs]])</f>
        <v>0</v>
      </c>
      <c r="J217">
        <f>Hours_Sum[[#This Row],[Tot Hrs
(Converted)]]*22</f>
        <v>0</v>
      </c>
      <c r="K217">
        <f>YEAR(Hours_Sum[[#This Row],[Pay Due]])</f>
        <v>2031</v>
      </c>
      <c r="L217" t="str">
        <f>TEXT(Hours_Sum[[#This Row],[Pay Due]],"MMMM")</f>
        <v>January</v>
      </c>
    </row>
    <row r="218" spans="2:12" x14ac:dyDescent="0.25">
      <c r="B218" s="39">
        <v>47879</v>
      </c>
      <c r="C218" s="5">
        <f>_xlfn.XLOOKUP(Hours_Sum[[#This Row],[Pay Due]],Dates_Ref[QCH due],Dates_Ref[Start],"",0)</f>
        <v>47861</v>
      </c>
      <c r="D218" s="5">
        <f>Hours_Sum[[#This Row],[PP Start]]+13</f>
        <v>47874</v>
      </c>
      <c r="E218">
        <f>SUM(Hours_Sum[[#This Row],[Reg Hrs]],Hours_Sum[[#This Row],[1.5x OT Hrs]],Hours_Sum[[#This Row],[2x OT Hrs]])</f>
        <v>0</v>
      </c>
      <c r="F218">
        <f>SUMIFS(Shift_Track[Reg
Hrs],Shift_Track[Pay Period],Hours_Sum[[#This Row],[Pay Due]])</f>
        <v>0</v>
      </c>
      <c r="G218">
        <f>SUMIFS(Shift_Track[1.5x OT
Hrs],Shift_Track[Pay Period],Hours_Sum[[#This Row],[Pay Due]])</f>
        <v>0</v>
      </c>
      <c r="H218">
        <f>SUMIFS(Shift_Track[2x OT
Hrs],Shift_Track[Pay Period],Hours_Sum[[#This Row],[Pay Due]])</f>
        <v>0</v>
      </c>
      <c r="I218">
        <f>SUM(Hours_Sum[[#This Row],[Reg Hrs]],1.5*Hours_Sum[[#This Row],[1.5x OT Hrs]],2*Hours_Sum[[#This Row],[2x OT Hrs]])</f>
        <v>0</v>
      </c>
      <c r="J218">
        <f>Hours_Sum[[#This Row],[Tot Hrs
(Converted)]]*22</f>
        <v>0</v>
      </c>
      <c r="K218">
        <f>YEAR(Hours_Sum[[#This Row],[Pay Due]])</f>
        <v>2031</v>
      </c>
      <c r="L218" t="str">
        <f>TEXT(Hours_Sum[[#This Row],[Pay Due]],"MMMM")</f>
        <v>January</v>
      </c>
    </row>
    <row r="219" spans="2:12" x14ac:dyDescent="0.25">
      <c r="B219" s="39">
        <v>47893</v>
      </c>
      <c r="C219" s="5">
        <f>_xlfn.XLOOKUP(Hours_Sum[[#This Row],[Pay Due]],Dates_Ref[QCH due],Dates_Ref[Start],"",0)</f>
        <v>47875</v>
      </c>
      <c r="D219" s="5">
        <f>Hours_Sum[[#This Row],[PP Start]]+13</f>
        <v>47888</v>
      </c>
      <c r="E219">
        <f>SUM(Hours_Sum[[#This Row],[Reg Hrs]],Hours_Sum[[#This Row],[1.5x OT Hrs]],Hours_Sum[[#This Row],[2x OT Hrs]])</f>
        <v>0</v>
      </c>
      <c r="F219">
        <f>SUMIFS(Shift_Track[Reg
Hrs],Shift_Track[Pay Period],Hours_Sum[[#This Row],[Pay Due]])</f>
        <v>0</v>
      </c>
      <c r="G219">
        <f>SUMIFS(Shift_Track[1.5x OT
Hrs],Shift_Track[Pay Period],Hours_Sum[[#This Row],[Pay Due]])</f>
        <v>0</v>
      </c>
      <c r="H219">
        <f>SUMIFS(Shift_Track[2x OT
Hrs],Shift_Track[Pay Period],Hours_Sum[[#This Row],[Pay Due]])</f>
        <v>0</v>
      </c>
      <c r="I219">
        <f>SUM(Hours_Sum[[#This Row],[Reg Hrs]],1.5*Hours_Sum[[#This Row],[1.5x OT Hrs]],2*Hours_Sum[[#This Row],[2x OT Hrs]])</f>
        <v>0</v>
      </c>
      <c r="J219">
        <f>Hours_Sum[[#This Row],[Tot Hrs
(Converted)]]*22</f>
        <v>0</v>
      </c>
      <c r="K219">
        <f>YEAR(Hours_Sum[[#This Row],[Pay Due]])</f>
        <v>2031</v>
      </c>
      <c r="L219" t="str">
        <f>TEXT(Hours_Sum[[#This Row],[Pay Due]],"MMMM")</f>
        <v>February</v>
      </c>
    </row>
    <row r="220" spans="2:12" x14ac:dyDescent="0.25">
      <c r="B220" s="39">
        <v>47907</v>
      </c>
      <c r="C220" s="5">
        <f>_xlfn.XLOOKUP(Hours_Sum[[#This Row],[Pay Due]],Dates_Ref[QCH due],Dates_Ref[Start],"",0)</f>
        <v>47889</v>
      </c>
      <c r="D220" s="5">
        <f>Hours_Sum[[#This Row],[PP Start]]+13</f>
        <v>47902</v>
      </c>
      <c r="E220">
        <f>SUM(Hours_Sum[[#This Row],[Reg Hrs]],Hours_Sum[[#This Row],[1.5x OT Hrs]],Hours_Sum[[#This Row],[2x OT Hrs]])</f>
        <v>0</v>
      </c>
      <c r="F220">
        <f>SUMIFS(Shift_Track[Reg
Hrs],Shift_Track[Pay Period],Hours_Sum[[#This Row],[Pay Due]])</f>
        <v>0</v>
      </c>
      <c r="G220">
        <f>SUMIFS(Shift_Track[1.5x OT
Hrs],Shift_Track[Pay Period],Hours_Sum[[#This Row],[Pay Due]])</f>
        <v>0</v>
      </c>
      <c r="H220">
        <f>SUMIFS(Shift_Track[2x OT
Hrs],Shift_Track[Pay Period],Hours_Sum[[#This Row],[Pay Due]])</f>
        <v>0</v>
      </c>
      <c r="I220">
        <f>SUM(Hours_Sum[[#This Row],[Reg Hrs]],1.5*Hours_Sum[[#This Row],[1.5x OT Hrs]],2*Hours_Sum[[#This Row],[2x OT Hrs]])</f>
        <v>0</v>
      </c>
      <c r="J220">
        <f>Hours_Sum[[#This Row],[Tot Hrs
(Converted)]]*22</f>
        <v>0</v>
      </c>
      <c r="K220">
        <f>YEAR(Hours_Sum[[#This Row],[Pay Due]])</f>
        <v>2031</v>
      </c>
      <c r="L220" t="str">
        <f>TEXT(Hours_Sum[[#This Row],[Pay Due]],"MMMM")</f>
        <v>February</v>
      </c>
    </row>
    <row r="221" spans="2:12" x14ac:dyDescent="0.25">
      <c r="B221" s="39">
        <v>47921</v>
      </c>
      <c r="C221" s="5">
        <f>_xlfn.XLOOKUP(Hours_Sum[[#This Row],[Pay Due]],Dates_Ref[QCH due],Dates_Ref[Start],"",0)</f>
        <v>47903</v>
      </c>
      <c r="D221" s="5">
        <f>Hours_Sum[[#This Row],[PP Start]]+13</f>
        <v>47916</v>
      </c>
      <c r="E221">
        <f>SUM(Hours_Sum[[#This Row],[Reg Hrs]],Hours_Sum[[#This Row],[1.5x OT Hrs]],Hours_Sum[[#This Row],[2x OT Hrs]])</f>
        <v>0</v>
      </c>
      <c r="F221">
        <f>SUMIFS(Shift_Track[Reg
Hrs],Shift_Track[Pay Period],Hours_Sum[[#This Row],[Pay Due]])</f>
        <v>0</v>
      </c>
      <c r="G221">
        <f>SUMIFS(Shift_Track[1.5x OT
Hrs],Shift_Track[Pay Period],Hours_Sum[[#This Row],[Pay Due]])</f>
        <v>0</v>
      </c>
      <c r="H221">
        <f>SUMIFS(Shift_Track[2x OT
Hrs],Shift_Track[Pay Period],Hours_Sum[[#This Row],[Pay Due]])</f>
        <v>0</v>
      </c>
      <c r="I221">
        <f>SUM(Hours_Sum[[#This Row],[Reg Hrs]],1.5*Hours_Sum[[#This Row],[1.5x OT Hrs]],2*Hours_Sum[[#This Row],[2x OT Hrs]])</f>
        <v>0</v>
      </c>
      <c r="J221">
        <f>Hours_Sum[[#This Row],[Tot Hrs
(Converted)]]*22</f>
        <v>0</v>
      </c>
      <c r="K221">
        <f>YEAR(Hours_Sum[[#This Row],[Pay Due]])</f>
        <v>2031</v>
      </c>
      <c r="L221" t="str">
        <f>TEXT(Hours_Sum[[#This Row],[Pay Due]],"MMMM")</f>
        <v>March</v>
      </c>
    </row>
    <row r="222" spans="2:12" x14ac:dyDescent="0.25">
      <c r="B222" s="39">
        <v>47935</v>
      </c>
      <c r="C222" s="5">
        <f>_xlfn.XLOOKUP(Hours_Sum[[#This Row],[Pay Due]],Dates_Ref[QCH due],Dates_Ref[Start],"",0)</f>
        <v>47917</v>
      </c>
      <c r="D222" s="5">
        <f>Hours_Sum[[#This Row],[PP Start]]+13</f>
        <v>47930</v>
      </c>
      <c r="E222">
        <f>SUM(Hours_Sum[[#This Row],[Reg Hrs]],Hours_Sum[[#This Row],[1.5x OT Hrs]],Hours_Sum[[#This Row],[2x OT Hrs]])</f>
        <v>0</v>
      </c>
      <c r="F222">
        <f>SUMIFS(Shift_Track[Reg
Hrs],Shift_Track[Pay Period],Hours_Sum[[#This Row],[Pay Due]])</f>
        <v>0</v>
      </c>
      <c r="G222">
        <f>SUMIFS(Shift_Track[1.5x OT
Hrs],Shift_Track[Pay Period],Hours_Sum[[#This Row],[Pay Due]])</f>
        <v>0</v>
      </c>
      <c r="H222">
        <f>SUMIFS(Shift_Track[2x OT
Hrs],Shift_Track[Pay Period],Hours_Sum[[#This Row],[Pay Due]])</f>
        <v>0</v>
      </c>
      <c r="I222">
        <f>SUM(Hours_Sum[[#This Row],[Reg Hrs]],1.5*Hours_Sum[[#This Row],[1.5x OT Hrs]],2*Hours_Sum[[#This Row],[2x OT Hrs]])</f>
        <v>0</v>
      </c>
      <c r="J222">
        <f>Hours_Sum[[#This Row],[Tot Hrs
(Converted)]]*22</f>
        <v>0</v>
      </c>
      <c r="K222">
        <f>YEAR(Hours_Sum[[#This Row],[Pay Due]])</f>
        <v>2031</v>
      </c>
      <c r="L222" t="str">
        <f>TEXT(Hours_Sum[[#This Row],[Pay Due]],"MMMM")</f>
        <v>March</v>
      </c>
    </row>
    <row r="223" spans="2:12" x14ac:dyDescent="0.25">
      <c r="B223" s="39">
        <v>47949</v>
      </c>
      <c r="C223" s="5">
        <f>_xlfn.XLOOKUP(Hours_Sum[[#This Row],[Pay Due]],Dates_Ref[QCH due],Dates_Ref[Start],"",0)</f>
        <v>47931</v>
      </c>
      <c r="D223" s="5">
        <f>Hours_Sum[[#This Row],[PP Start]]+13</f>
        <v>47944</v>
      </c>
      <c r="E223">
        <f>SUM(Hours_Sum[[#This Row],[Reg Hrs]],Hours_Sum[[#This Row],[1.5x OT Hrs]],Hours_Sum[[#This Row],[2x OT Hrs]])</f>
        <v>0</v>
      </c>
      <c r="F223">
        <f>SUMIFS(Shift_Track[Reg
Hrs],Shift_Track[Pay Period],Hours_Sum[[#This Row],[Pay Due]])</f>
        <v>0</v>
      </c>
      <c r="G223">
        <f>SUMIFS(Shift_Track[1.5x OT
Hrs],Shift_Track[Pay Period],Hours_Sum[[#This Row],[Pay Due]])</f>
        <v>0</v>
      </c>
      <c r="H223">
        <f>SUMIFS(Shift_Track[2x OT
Hrs],Shift_Track[Pay Period],Hours_Sum[[#This Row],[Pay Due]])</f>
        <v>0</v>
      </c>
      <c r="I223">
        <f>SUM(Hours_Sum[[#This Row],[Reg Hrs]],1.5*Hours_Sum[[#This Row],[1.5x OT Hrs]],2*Hours_Sum[[#This Row],[2x OT Hrs]])</f>
        <v>0</v>
      </c>
      <c r="J223">
        <f>Hours_Sum[[#This Row],[Tot Hrs
(Converted)]]*22</f>
        <v>0</v>
      </c>
      <c r="K223">
        <f>YEAR(Hours_Sum[[#This Row],[Pay Due]])</f>
        <v>2031</v>
      </c>
      <c r="L223" t="str">
        <f>TEXT(Hours_Sum[[#This Row],[Pay Due]],"MMMM")</f>
        <v>April</v>
      </c>
    </row>
    <row r="224" spans="2:12" x14ac:dyDescent="0.25">
      <c r="B224" s="39">
        <v>47963</v>
      </c>
      <c r="C224" s="5">
        <f>_xlfn.XLOOKUP(Hours_Sum[[#This Row],[Pay Due]],Dates_Ref[QCH due],Dates_Ref[Start],"",0)</f>
        <v>47945</v>
      </c>
      <c r="D224" s="5">
        <f>Hours_Sum[[#This Row],[PP Start]]+13</f>
        <v>47958</v>
      </c>
      <c r="E224">
        <f>SUM(Hours_Sum[[#This Row],[Reg Hrs]],Hours_Sum[[#This Row],[1.5x OT Hrs]],Hours_Sum[[#This Row],[2x OT Hrs]])</f>
        <v>0</v>
      </c>
      <c r="F224">
        <f>SUMIFS(Shift_Track[Reg
Hrs],Shift_Track[Pay Period],Hours_Sum[[#This Row],[Pay Due]])</f>
        <v>0</v>
      </c>
      <c r="G224">
        <f>SUMIFS(Shift_Track[1.5x OT
Hrs],Shift_Track[Pay Period],Hours_Sum[[#This Row],[Pay Due]])</f>
        <v>0</v>
      </c>
      <c r="H224">
        <f>SUMIFS(Shift_Track[2x OT
Hrs],Shift_Track[Pay Period],Hours_Sum[[#This Row],[Pay Due]])</f>
        <v>0</v>
      </c>
      <c r="I224">
        <f>SUM(Hours_Sum[[#This Row],[Reg Hrs]],1.5*Hours_Sum[[#This Row],[1.5x OT Hrs]],2*Hours_Sum[[#This Row],[2x OT Hrs]])</f>
        <v>0</v>
      </c>
      <c r="J224">
        <f>Hours_Sum[[#This Row],[Tot Hrs
(Converted)]]*22</f>
        <v>0</v>
      </c>
      <c r="K224">
        <f>YEAR(Hours_Sum[[#This Row],[Pay Due]])</f>
        <v>2031</v>
      </c>
      <c r="L224" t="str">
        <f>TEXT(Hours_Sum[[#This Row],[Pay Due]],"MMMM")</f>
        <v>April</v>
      </c>
    </row>
    <row r="225" spans="2:12" x14ac:dyDescent="0.25">
      <c r="B225" s="39">
        <v>47977</v>
      </c>
      <c r="C225" s="5">
        <f>_xlfn.XLOOKUP(Hours_Sum[[#This Row],[Pay Due]],Dates_Ref[QCH due],Dates_Ref[Start],"",0)</f>
        <v>47959</v>
      </c>
      <c r="D225" s="5">
        <f>Hours_Sum[[#This Row],[PP Start]]+13</f>
        <v>47972</v>
      </c>
      <c r="E225">
        <f>SUM(Hours_Sum[[#This Row],[Reg Hrs]],Hours_Sum[[#This Row],[1.5x OT Hrs]],Hours_Sum[[#This Row],[2x OT Hrs]])</f>
        <v>0</v>
      </c>
      <c r="F225">
        <f>SUMIFS(Shift_Track[Reg
Hrs],Shift_Track[Pay Period],Hours_Sum[[#This Row],[Pay Due]])</f>
        <v>0</v>
      </c>
      <c r="G225">
        <f>SUMIFS(Shift_Track[1.5x OT
Hrs],Shift_Track[Pay Period],Hours_Sum[[#This Row],[Pay Due]])</f>
        <v>0</v>
      </c>
      <c r="H225">
        <f>SUMIFS(Shift_Track[2x OT
Hrs],Shift_Track[Pay Period],Hours_Sum[[#This Row],[Pay Due]])</f>
        <v>0</v>
      </c>
      <c r="I225">
        <f>SUM(Hours_Sum[[#This Row],[Reg Hrs]],1.5*Hours_Sum[[#This Row],[1.5x OT Hrs]],2*Hours_Sum[[#This Row],[2x OT Hrs]])</f>
        <v>0</v>
      </c>
      <c r="J225">
        <f>Hours_Sum[[#This Row],[Tot Hrs
(Converted)]]*22</f>
        <v>0</v>
      </c>
      <c r="K225">
        <f>YEAR(Hours_Sum[[#This Row],[Pay Due]])</f>
        <v>2031</v>
      </c>
      <c r="L225" t="str">
        <f>TEXT(Hours_Sum[[#This Row],[Pay Due]],"MMMM")</f>
        <v>May</v>
      </c>
    </row>
    <row r="226" spans="2:12" x14ac:dyDescent="0.25">
      <c r="B226" s="39">
        <v>47991</v>
      </c>
      <c r="C226" s="5">
        <f>_xlfn.XLOOKUP(Hours_Sum[[#This Row],[Pay Due]],Dates_Ref[QCH due],Dates_Ref[Start],"",0)</f>
        <v>47973</v>
      </c>
      <c r="D226" s="5">
        <f>Hours_Sum[[#This Row],[PP Start]]+13</f>
        <v>47986</v>
      </c>
      <c r="E226">
        <f>SUM(Hours_Sum[[#This Row],[Reg Hrs]],Hours_Sum[[#This Row],[1.5x OT Hrs]],Hours_Sum[[#This Row],[2x OT Hrs]])</f>
        <v>0</v>
      </c>
      <c r="F226">
        <f>SUMIFS(Shift_Track[Reg
Hrs],Shift_Track[Pay Period],Hours_Sum[[#This Row],[Pay Due]])</f>
        <v>0</v>
      </c>
      <c r="G226">
        <f>SUMIFS(Shift_Track[1.5x OT
Hrs],Shift_Track[Pay Period],Hours_Sum[[#This Row],[Pay Due]])</f>
        <v>0</v>
      </c>
      <c r="H226">
        <f>SUMIFS(Shift_Track[2x OT
Hrs],Shift_Track[Pay Period],Hours_Sum[[#This Row],[Pay Due]])</f>
        <v>0</v>
      </c>
      <c r="I226">
        <f>SUM(Hours_Sum[[#This Row],[Reg Hrs]],1.5*Hours_Sum[[#This Row],[1.5x OT Hrs]],2*Hours_Sum[[#This Row],[2x OT Hrs]])</f>
        <v>0</v>
      </c>
      <c r="J226">
        <f>Hours_Sum[[#This Row],[Tot Hrs
(Converted)]]*22</f>
        <v>0</v>
      </c>
      <c r="K226">
        <f>YEAR(Hours_Sum[[#This Row],[Pay Due]])</f>
        <v>2031</v>
      </c>
      <c r="L226" t="str">
        <f>TEXT(Hours_Sum[[#This Row],[Pay Due]],"MMMM")</f>
        <v>May</v>
      </c>
    </row>
    <row r="227" spans="2:12" x14ac:dyDescent="0.25">
      <c r="B227" s="39">
        <v>48005</v>
      </c>
      <c r="C227" s="5">
        <f>_xlfn.XLOOKUP(Hours_Sum[[#This Row],[Pay Due]],Dates_Ref[QCH due],Dates_Ref[Start],"",0)</f>
        <v>47987</v>
      </c>
      <c r="D227" s="5">
        <f>Hours_Sum[[#This Row],[PP Start]]+13</f>
        <v>48000</v>
      </c>
      <c r="E227">
        <f>SUM(Hours_Sum[[#This Row],[Reg Hrs]],Hours_Sum[[#This Row],[1.5x OT Hrs]],Hours_Sum[[#This Row],[2x OT Hrs]])</f>
        <v>0</v>
      </c>
      <c r="F227">
        <f>SUMIFS(Shift_Track[Reg
Hrs],Shift_Track[Pay Period],Hours_Sum[[#This Row],[Pay Due]])</f>
        <v>0</v>
      </c>
      <c r="G227">
        <f>SUMIFS(Shift_Track[1.5x OT
Hrs],Shift_Track[Pay Period],Hours_Sum[[#This Row],[Pay Due]])</f>
        <v>0</v>
      </c>
      <c r="H227">
        <f>SUMIFS(Shift_Track[2x OT
Hrs],Shift_Track[Pay Period],Hours_Sum[[#This Row],[Pay Due]])</f>
        <v>0</v>
      </c>
      <c r="I227">
        <f>SUM(Hours_Sum[[#This Row],[Reg Hrs]],1.5*Hours_Sum[[#This Row],[1.5x OT Hrs]],2*Hours_Sum[[#This Row],[2x OT Hrs]])</f>
        <v>0</v>
      </c>
      <c r="J227">
        <f>Hours_Sum[[#This Row],[Tot Hrs
(Converted)]]*22</f>
        <v>0</v>
      </c>
      <c r="K227">
        <f>YEAR(Hours_Sum[[#This Row],[Pay Due]])</f>
        <v>2031</v>
      </c>
      <c r="L227" t="str">
        <f>TEXT(Hours_Sum[[#This Row],[Pay Due]],"MMMM")</f>
        <v>June</v>
      </c>
    </row>
    <row r="228" spans="2:12" x14ac:dyDescent="0.25">
      <c r="B228" s="39">
        <v>48019</v>
      </c>
      <c r="C228" s="5">
        <f>_xlfn.XLOOKUP(Hours_Sum[[#This Row],[Pay Due]],Dates_Ref[QCH due],Dates_Ref[Start],"",0)</f>
        <v>48001</v>
      </c>
      <c r="D228" s="5">
        <f>Hours_Sum[[#This Row],[PP Start]]+13</f>
        <v>48014</v>
      </c>
      <c r="E228">
        <f>SUM(Hours_Sum[[#This Row],[Reg Hrs]],Hours_Sum[[#This Row],[1.5x OT Hrs]],Hours_Sum[[#This Row],[2x OT Hrs]])</f>
        <v>0</v>
      </c>
      <c r="F228">
        <f>SUMIFS(Shift_Track[Reg
Hrs],Shift_Track[Pay Period],Hours_Sum[[#This Row],[Pay Due]])</f>
        <v>0</v>
      </c>
      <c r="G228">
        <f>SUMIFS(Shift_Track[1.5x OT
Hrs],Shift_Track[Pay Period],Hours_Sum[[#This Row],[Pay Due]])</f>
        <v>0</v>
      </c>
      <c r="H228">
        <f>SUMIFS(Shift_Track[2x OT
Hrs],Shift_Track[Pay Period],Hours_Sum[[#This Row],[Pay Due]])</f>
        <v>0</v>
      </c>
      <c r="I228">
        <f>SUM(Hours_Sum[[#This Row],[Reg Hrs]],1.5*Hours_Sum[[#This Row],[1.5x OT Hrs]],2*Hours_Sum[[#This Row],[2x OT Hrs]])</f>
        <v>0</v>
      </c>
      <c r="J228">
        <f>Hours_Sum[[#This Row],[Tot Hrs
(Converted)]]*22</f>
        <v>0</v>
      </c>
      <c r="K228">
        <f>YEAR(Hours_Sum[[#This Row],[Pay Due]])</f>
        <v>2031</v>
      </c>
      <c r="L228" t="str">
        <f>TEXT(Hours_Sum[[#This Row],[Pay Due]],"MMMM")</f>
        <v>June</v>
      </c>
    </row>
    <row r="229" spans="2:12" x14ac:dyDescent="0.25">
      <c r="B229" s="39">
        <v>48033</v>
      </c>
      <c r="C229" s="5">
        <f>_xlfn.XLOOKUP(Hours_Sum[[#This Row],[Pay Due]],Dates_Ref[QCH due],Dates_Ref[Start],"",0)</f>
        <v>48015</v>
      </c>
      <c r="D229" s="5">
        <f>Hours_Sum[[#This Row],[PP Start]]+13</f>
        <v>48028</v>
      </c>
      <c r="E229">
        <f>SUM(Hours_Sum[[#This Row],[Reg Hrs]],Hours_Sum[[#This Row],[1.5x OT Hrs]],Hours_Sum[[#This Row],[2x OT Hrs]])</f>
        <v>0</v>
      </c>
      <c r="F229">
        <f>SUMIFS(Shift_Track[Reg
Hrs],Shift_Track[Pay Period],Hours_Sum[[#This Row],[Pay Due]])</f>
        <v>0</v>
      </c>
      <c r="G229">
        <f>SUMIFS(Shift_Track[1.5x OT
Hrs],Shift_Track[Pay Period],Hours_Sum[[#This Row],[Pay Due]])</f>
        <v>0</v>
      </c>
      <c r="H229">
        <f>SUMIFS(Shift_Track[2x OT
Hrs],Shift_Track[Pay Period],Hours_Sum[[#This Row],[Pay Due]])</f>
        <v>0</v>
      </c>
      <c r="I229">
        <f>SUM(Hours_Sum[[#This Row],[Reg Hrs]],1.5*Hours_Sum[[#This Row],[1.5x OT Hrs]],2*Hours_Sum[[#This Row],[2x OT Hrs]])</f>
        <v>0</v>
      </c>
      <c r="J229">
        <f>Hours_Sum[[#This Row],[Tot Hrs
(Converted)]]*22</f>
        <v>0</v>
      </c>
      <c r="K229">
        <f>YEAR(Hours_Sum[[#This Row],[Pay Due]])</f>
        <v>2031</v>
      </c>
      <c r="L229" t="str">
        <f>TEXT(Hours_Sum[[#This Row],[Pay Due]],"MMMM")</f>
        <v>July</v>
      </c>
    </row>
    <row r="230" spans="2:12" x14ac:dyDescent="0.25">
      <c r="B230" s="39">
        <v>48047</v>
      </c>
      <c r="C230" s="5">
        <f>_xlfn.XLOOKUP(Hours_Sum[[#This Row],[Pay Due]],Dates_Ref[QCH due],Dates_Ref[Start],"",0)</f>
        <v>48029</v>
      </c>
      <c r="D230" s="5">
        <f>Hours_Sum[[#This Row],[PP Start]]+13</f>
        <v>48042</v>
      </c>
      <c r="E230">
        <f>SUM(Hours_Sum[[#This Row],[Reg Hrs]],Hours_Sum[[#This Row],[1.5x OT Hrs]],Hours_Sum[[#This Row],[2x OT Hrs]])</f>
        <v>0</v>
      </c>
      <c r="F230">
        <f>SUMIFS(Shift_Track[Reg
Hrs],Shift_Track[Pay Period],Hours_Sum[[#This Row],[Pay Due]])</f>
        <v>0</v>
      </c>
      <c r="G230">
        <f>SUMIFS(Shift_Track[1.5x OT
Hrs],Shift_Track[Pay Period],Hours_Sum[[#This Row],[Pay Due]])</f>
        <v>0</v>
      </c>
      <c r="H230">
        <f>SUMIFS(Shift_Track[2x OT
Hrs],Shift_Track[Pay Period],Hours_Sum[[#This Row],[Pay Due]])</f>
        <v>0</v>
      </c>
      <c r="I230">
        <f>SUM(Hours_Sum[[#This Row],[Reg Hrs]],1.5*Hours_Sum[[#This Row],[1.5x OT Hrs]],2*Hours_Sum[[#This Row],[2x OT Hrs]])</f>
        <v>0</v>
      </c>
      <c r="J230">
        <f>Hours_Sum[[#This Row],[Tot Hrs
(Converted)]]*22</f>
        <v>0</v>
      </c>
      <c r="K230">
        <f>YEAR(Hours_Sum[[#This Row],[Pay Due]])</f>
        <v>2031</v>
      </c>
      <c r="L230" t="str">
        <f>TEXT(Hours_Sum[[#This Row],[Pay Due]],"MMMM")</f>
        <v>July</v>
      </c>
    </row>
    <row r="231" spans="2:12" x14ac:dyDescent="0.25">
      <c r="B231" s="39">
        <v>48061</v>
      </c>
      <c r="C231" s="5">
        <f>_xlfn.XLOOKUP(Hours_Sum[[#This Row],[Pay Due]],Dates_Ref[QCH due],Dates_Ref[Start],"",0)</f>
        <v>48043</v>
      </c>
      <c r="D231" s="5">
        <f>Hours_Sum[[#This Row],[PP Start]]+13</f>
        <v>48056</v>
      </c>
      <c r="E231">
        <f>SUM(Hours_Sum[[#This Row],[Reg Hrs]],Hours_Sum[[#This Row],[1.5x OT Hrs]],Hours_Sum[[#This Row],[2x OT Hrs]])</f>
        <v>0</v>
      </c>
      <c r="F231">
        <f>SUMIFS(Shift_Track[Reg
Hrs],Shift_Track[Pay Period],Hours_Sum[[#This Row],[Pay Due]])</f>
        <v>0</v>
      </c>
      <c r="G231">
        <f>SUMIFS(Shift_Track[1.5x OT
Hrs],Shift_Track[Pay Period],Hours_Sum[[#This Row],[Pay Due]])</f>
        <v>0</v>
      </c>
      <c r="H231">
        <f>SUMIFS(Shift_Track[2x OT
Hrs],Shift_Track[Pay Period],Hours_Sum[[#This Row],[Pay Due]])</f>
        <v>0</v>
      </c>
      <c r="I231">
        <f>SUM(Hours_Sum[[#This Row],[Reg Hrs]],1.5*Hours_Sum[[#This Row],[1.5x OT Hrs]],2*Hours_Sum[[#This Row],[2x OT Hrs]])</f>
        <v>0</v>
      </c>
      <c r="J231">
        <f>Hours_Sum[[#This Row],[Tot Hrs
(Converted)]]*22</f>
        <v>0</v>
      </c>
      <c r="K231">
        <f>YEAR(Hours_Sum[[#This Row],[Pay Due]])</f>
        <v>2031</v>
      </c>
      <c r="L231" t="str">
        <f>TEXT(Hours_Sum[[#This Row],[Pay Due]],"MMMM")</f>
        <v>August</v>
      </c>
    </row>
    <row r="232" spans="2:12" x14ac:dyDescent="0.25">
      <c r="B232" s="39">
        <v>48075</v>
      </c>
      <c r="C232" s="5">
        <f>_xlfn.XLOOKUP(Hours_Sum[[#This Row],[Pay Due]],Dates_Ref[QCH due],Dates_Ref[Start],"",0)</f>
        <v>48057</v>
      </c>
      <c r="D232" s="5">
        <f>Hours_Sum[[#This Row],[PP Start]]+13</f>
        <v>48070</v>
      </c>
      <c r="E232">
        <f>SUM(Hours_Sum[[#This Row],[Reg Hrs]],Hours_Sum[[#This Row],[1.5x OT Hrs]],Hours_Sum[[#This Row],[2x OT Hrs]])</f>
        <v>0</v>
      </c>
      <c r="F232">
        <f>SUMIFS(Shift_Track[Reg
Hrs],Shift_Track[Pay Period],Hours_Sum[[#This Row],[Pay Due]])</f>
        <v>0</v>
      </c>
      <c r="G232">
        <f>SUMIFS(Shift_Track[1.5x OT
Hrs],Shift_Track[Pay Period],Hours_Sum[[#This Row],[Pay Due]])</f>
        <v>0</v>
      </c>
      <c r="H232">
        <f>SUMIFS(Shift_Track[2x OT
Hrs],Shift_Track[Pay Period],Hours_Sum[[#This Row],[Pay Due]])</f>
        <v>0</v>
      </c>
      <c r="I232">
        <f>SUM(Hours_Sum[[#This Row],[Reg Hrs]],1.5*Hours_Sum[[#This Row],[1.5x OT Hrs]],2*Hours_Sum[[#This Row],[2x OT Hrs]])</f>
        <v>0</v>
      </c>
      <c r="J232">
        <f>Hours_Sum[[#This Row],[Tot Hrs
(Converted)]]*22</f>
        <v>0</v>
      </c>
      <c r="K232">
        <f>YEAR(Hours_Sum[[#This Row],[Pay Due]])</f>
        <v>2031</v>
      </c>
      <c r="L232" t="str">
        <f>TEXT(Hours_Sum[[#This Row],[Pay Due]],"MMMM")</f>
        <v>August</v>
      </c>
    </row>
    <row r="233" spans="2:12" x14ac:dyDescent="0.25">
      <c r="B233" s="39">
        <v>48089</v>
      </c>
      <c r="C233" s="5">
        <f>_xlfn.XLOOKUP(Hours_Sum[[#This Row],[Pay Due]],Dates_Ref[QCH due],Dates_Ref[Start],"",0)</f>
        <v>48071</v>
      </c>
      <c r="D233" s="5">
        <f>Hours_Sum[[#This Row],[PP Start]]+13</f>
        <v>48084</v>
      </c>
      <c r="E233">
        <f>SUM(Hours_Sum[[#This Row],[Reg Hrs]],Hours_Sum[[#This Row],[1.5x OT Hrs]],Hours_Sum[[#This Row],[2x OT Hrs]])</f>
        <v>0</v>
      </c>
      <c r="F233">
        <f>SUMIFS(Shift_Track[Reg
Hrs],Shift_Track[Pay Period],Hours_Sum[[#This Row],[Pay Due]])</f>
        <v>0</v>
      </c>
      <c r="G233">
        <f>SUMIFS(Shift_Track[1.5x OT
Hrs],Shift_Track[Pay Period],Hours_Sum[[#This Row],[Pay Due]])</f>
        <v>0</v>
      </c>
      <c r="H233">
        <f>SUMIFS(Shift_Track[2x OT
Hrs],Shift_Track[Pay Period],Hours_Sum[[#This Row],[Pay Due]])</f>
        <v>0</v>
      </c>
      <c r="I233">
        <f>SUM(Hours_Sum[[#This Row],[Reg Hrs]],1.5*Hours_Sum[[#This Row],[1.5x OT Hrs]],2*Hours_Sum[[#This Row],[2x OT Hrs]])</f>
        <v>0</v>
      </c>
      <c r="J233">
        <f>Hours_Sum[[#This Row],[Tot Hrs
(Converted)]]*22</f>
        <v>0</v>
      </c>
      <c r="K233">
        <f>YEAR(Hours_Sum[[#This Row],[Pay Due]])</f>
        <v>2031</v>
      </c>
      <c r="L233" t="str">
        <f>TEXT(Hours_Sum[[#This Row],[Pay Due]],"MMMM")</f>
        <v>August</v>
      </c>
    </row>
    <row r="234" spans="2:12" x14ac:dyDescent="0.25">
      <c r="B234" s="39">
        <v>48103</v>
      </c>
      <c r="C234" s="5">
        <f>_xlfn.XLOOKUP(Hours_Sum[[#This Row],[Pay Due]],Dates_Ref[QCH due],Dates_Ref[Start],"",0)</f>
        <v>48085</v>
      </c>
      <c r="D234" s="5">
        <f>Hours_Sum[[#This Row],[PP Start]]+13</f>
        <v>48098</v>
      </c>
      <c r="E234">
        <f>SUM(Hours_Sum[[#This Row],[Reg Hrs]],Hours_Sum[[#This Row],[1.5x OT Hrs]],Hours_Sum[[#This Row],[2x OT Hrs]])</f>
        <v>0</v>
      </c>
      <c r="F234">
        <f>SUMIFS(Shift_Track[Reg
Hrs],Shift_Track[Pay Period],Hours_Sum[[#This Row],[Pay Due]])</f>
        <v>0</v>
      </c>
      <c r="G234">
        <f>SUMIFS(Shift_Track[1.5x OT
Hrs],Shift_Track[Pay Period],Hours_Sum[[#This Row],[Pay Due]])</f>
        <v>0</v>
      </c>
      <c r="H234">
        <f>SUMIFS(Shift_Track[2x OT
Hrs],Shift_Track[Pay Period],Hours_Sum[[#This Row],[Pay Due]])</f>
        <v>0</v>
      </c>
      <c r="I234">
        <f>SUM(Hours_Sum[[#This Row],[Reg Hrs]],1.5*Hours_Sum[[#This Row],[1.5x OT Hrs]],2*Hours_Sum[[#This Row],[2x OT Hrs]])</f>
        <v>0</v>
      </c>
      <c r="J234">
        <f>Hours_Sum[[#This Row],[Tot Hrs
(Converted)]]*22</f>
        <v>0</v>
      </c>
      <c r="K234">
        <f>YEAR(Hours_Sum[[#This Row],[Pay Due]])</f>
        <v>2031</v>
      </c>
      <c r="L234" t="str">
        <f>TEXT(Hours_Sum[[#This Row],[Pay Due]],"MMMM")</f>
        <v>September</v>
      </c>
    </row>
    <row r="235" spans="2:12" x14ac:dyDescent="0.25">
      <c r="B235" s="39">
        <v>48117</v>
      </c>
      <c r="C235" s="5">
        <f>_xlfn.XLOOKUP(Hours_Sum[[#This Row],[Pay Due]],Dates_Ref[QCH due],Dates_Ref[Start],"",0)</f>
        <v>48099</v>
      </c>
      <c r="D235" s="5">
        <f>Hours_Sum[[#This Row],[PP Start]]+13</f>
        <v>48112</v>
      </c>
      <c r="E235">
        <f>SUM(Hours_Sum[[#This Row],[Reg Hrs]],Hours_Sum[[#This Row],[1.5x OT Hrs]],Hours_Sum[[#This Row],[2x OT Hrs]])</f>
        <v>0</v>
      </c>
      <c r="F235">
        <f>SUMIFS(Shift_Track[Reg
Hrs],Shift_Track[Pay Period],Hours_Sum[[#This Row],[Pay Due]])</f>
        <v>0</v>
      </c>
      <c r="G235">
        <f>SUMIFS(Shift_Track[1.5x OT
Hrs],Shift_Track[Pay Period],Hours_Sum[[#This Row],[Pay Due]])</f>
        <v>0</v>
      </c>
      <c r="H235">
        <f>SUMIFS(Shift_Track[2x OT
Hrs],Shift_Track[Pay Period],Hours_Sum[[#This Row],[Pay Due]])</f>
        <v>0</v>
      </c>
      <c r="I235">
        <f>SUM(Hours_Sum[[#This Row],[Reg Hrs]],1.5*Hours_Sum[[#This Row],[1.5x OT Hrs]],2*Hours_Sum[[#This Row],[2x OT Hrs]])</f>
        <v>0</v>
      </c>
      <c r="J235">
        <f>Hours_Sum[[#This Row],[Tot Hrs
(Converted)]]*22</f>
        <v>0</v>
      </c>
      <c r="K235">
        <f>YEAR(Hours_Sum[[#This Row],[Pay Due]])</f>
        <v>2031</v>
      </c>
      <c r="L235" t="str">
        <f>TEXT(Hours_Sum[[#This Row],[Pay Due]],"MMMM")</f>
        <v>September</v>
      </c>
    </row>
    <row r="236" spans="2:12" x14ac:dyDescent="0.25">
      <c r="B236" s="39">
        <v>48131</v>
      </c>
      <c r="C236" s="5">
        <f>_xlfn.XLOOKUP(Hours_Sum[[#This Row],[Pay Due]],Dates_Ref[QCH due],Dates_Ref[Start],"",0)</f>
        <v>48113</v>
      </c>
      <c r="D236" s="5">
        <f>Hours_Sum[[#This Row],[PP Start]]+13</f>
        <v>48126</v>
      </c>
      <c r="E236">
        <f>SUM(Hours_Sum[[#This Row],[Reg Hrs]],Hours_Sum[[#This Row],[1.5x OT Hrs]],Hours_Sum[[#This Row],[2x OT Hrs]])</f>
        <v>0</v>
      </c>
      <c r="F236">
        <f>SUMIFS(Shift_Track[Reg
Hrs],Shift_Track[Pay Period],Hours_Sum[[#This Row],[Pay Due]])</f>
        <v>0</v>
      </c>
      <c r="G236">
        <f>SUMIFS(Shift_Track[1.5x OT
Hrs],Shift_Track[Pay Period],Hours_Sum[[#This Row],[Pay Due]])</f>
        <v>0</v>
      </c>
      <c r="H236">
        <f>SUMIFS(Shift_Track[2x OT
Hrs],Shift_Track[Pay Period],Hours_Sum[[#This Row],[Pay Due]])</f>
        <v>0</v>
      </c>
      <c r="I236">
        <f>SUM(Hours_Sum[[#This Row],[Reg Hrs]],1.5*Hours_Sum[[#This Row],[1.5x OT Hrs]],2*Hours_Sum[[#This Row],[2x OT Hrs]])</f>
        <v>0</v>
      </c>
      <c r="J236">
        <f>Hours_Sum[[#This Row],[Tot Hrs
(Converted)]]*22</f>
        <v>0</v>
      </c>
      <c r="K236">
        <f>YEAR(Hours_Sum[[#This Row],[Pay Due]])</f>
        <v>2031</v>
      </c>
      <c r="L236" t="str">
        <f>TEXT(Hours_Sum[[#This Row],[Pay Due]],"MMMM")</f>
        <v>October</v>
      </c>
    </row>
    <row r="237" spans="2:12" x14ac:dyDescent="0.25">
      <c r="B237" s="39">
        <v>48145</v>
      </c>
      <c r="C237" s="5">
        <f>_xlfn.XLOOKUP(Hours_Sum[[#This Row],[Pay Due]],Dates_Ref[QCH due],Dates_Ref[Start],"",0)</f>
        <v>48127</v>
      </c>
      <c r="D237" s="5">
        <f>Hours_Sum[[#This Row],[PP Start]]+13</f>
        <v>48140</v>
      </c>
      <c r="E237">
        <f>SUM(Hours_Sum[[#This Row],[Reg Hrs]],Hours_Sum[[#This Row],[1.5x OT Hrs]],Hours_Sum[[#This Row],[2x OT Hrs]])</f>
        <v>0</v>
      </c>
      <c r="F237">
        <f>SUMIFS(Shift_Track[Reg
Hrs],Shift_Track[Pay Period],Hours_Sum[[#This Row],[Pay Due]])</f>
        <v>0</v>
      </c>
      <c r="G237">
        <f>SUMIFS(Shift_Track[1.5x OT
Hrs],Shift_Track[Pay Period],Hours_Sum[[#This Row],[Pay Due]])</f>
        <v>0</v>
      </c>
      <c r="H237">
        <f>SUMIFS(Shift_Track[2x OT
Hrs],Shift_Track[Pay Period],Hours_Sum[[#This Row],[Pay Due]])</f>
        <v>0</v>
      </c>
      <c r="I237">
        <f>SUM(Hours_Sum[[#This Row],[Reg Hrs]],1.5*Hours_Sum[[#This Row],[1.5x OT Hrs]],2*Hours_Sum[[#This Row],[2x OT Hrs]])</f>
        <v>0</v>
      </c>
      <c r="J237">
        <f>Hours_Sum[[#This Row],[Tot Hrs
(Converted)]]*22</f>
        <v>0</v>
      </c>
      <c r="K237">
        <f>YEAR(Hours_Sum[[#This Row],[Pay Due]])</f>
        <v>2031</v>
      </c>
      <c r="L237" t="str">
        <f>TEXT(Hours_Sum[[#This Row],[Pay Due]],"MMMM")</f>
        <v>October</v>
      </c>
    </row>
    <row r="238" spans="2:12" x14ac:dyDescent="0.25">
      <c r="B238" s="39">
        <v>48159</v>
      </c>
      <c r="C238" s="5">
        <f>_xlfn.XLOOKUP(Hours_Sum[[#This Row],[Pay Due]],Dates_Ref[QCH due],Dates_Ref[Start],"",0)</f>
        <v>48141</v>
      </c>
      <c r="D238" s="5">
        <f>Hours_Sum[[#This Row],[PP Start]]+13</f>
        <v>48154</v>
      </c>
      <c r="E238">
        <f>SUM(Hours_Sum[[#This Row],[Reg Hrs]],Hours_Sum[[#This Row],[1.5x OT Hrs]],Hours_Sum[[#This Row],[2x OT Hrs]])</f>
        <v>0</v>
      </c>
      <c r="F238">
        <f>SUMIFS(Shift_Track[Reg
Hrs],Shift_Track[Pay Period],Hours_Sum[[#This Row],[Pay Due]])</f>
        <v>0</v>
      </c>
      <c r="G238">
        <f>SUMIFS(Shift_Track[1.5x OT
Hrs],Shift_Track[Pay Period],Hours_Sum[[#This Row],[Pay Due]])</f>
        <v>0</v>
      </c>
      <c r="H238">
        <f>SUMIFS(Shift_Track[2x OT
Hrs],Shift_Track[Pay Period],Hours_Sum[[#This Row],[Pay Due]])</f>
        <v>0</v>
      </c>
      <c r="I238">
        <f>SUM(Hours_Sum[[#This Row],[Reg Hrs]],1.5*Hours_Sum[[#This Row],[1.5x OT Hrs]],2*Hours_Sum[[#This Row],[2x OT Hrs]])</f>
        <v>0</v>
      </c>
      <c r="J238">
        <f>Hours_Sum[[#This Row],[Tot Hrs
(Converted)]]*22</f>
        <v>0</v>
      </c>
      <c r="K238">
        <f>YEAR(Hours_Sum[[#This Row],[Pay Due]])</f>
        <v>2031</v>
      </c>
      <c r="L238" t="str">
        <f>TEXT(Hours_Sum[[#This Row],[Pay Due]],"MMMM")</f>
        <v>November</v>
      </c>
    </row>
    <row r="239" spans="2:12" x14ac:dyDescent="0.25">
      <c r="B239" s="39">
        <v>48173</v>
      </c>
      <c r="C239" s="5">
        <f>_xlfn.XLOOKUP(Hours_Sum[[#This Row],[Pay Due]],Dates_Ref[QCH due],Dates_Ref[Start],"",0)</f>
        <v>48155</v>
      </c>
      <c r="D239" s="5">
        <f>Hours_Sum[[#This Row],[PP Start]]+13</f>
        <v>48168</v>
      </c>
      <c r="E239">
        <f>SUM(Hours_Sum[[#This Row],[Reg Hrs]],Hours_Sum[[#This Row],[1.5x OT Hrs]],Hours_Sum[[#This Row],[2x OT Hrs]])</f>
        <v>0</v>
      </c>
      <c r="F239">
        <f>SUMIFS(Shift_Track[Reg
Hrs],Shift_Track[Pay Period],Hours_Sum[[#This Row],[Pay Due]])</f>
        <v>0</v>
      </c>
      <c r="G239">
        <f>SUMIFS(Shift_Track[1.5x OT
Hrs],Shift_Track[Pay Period],Hours_Sum[[#This Row],[Pay Due]])</f>
        <v>0</v>
      </c>
      <c r="H239">
        <f>SUMIFS(Shift_Track[2x OT
Hrs],Shift_Track[Pay Period],Hours_Sum[[#This Row],[Pay Due]])</f>
        <v>0</v>
      </c>
      <c r="I239">
        <f>SUM(Hours_Sum[[#This Row],[Reg Hrs]],1.5*Hours_Sum[[#This Row],[1.5x OT Hrs]],2*Hours_Sum[[#This Row],[2x OT Hrs]])</f>
        <v>0</v>
      </c>
      <c r="J239">
        <f>Hours_Sum[[#This Row],[Tot Hrs
(Converted)]]*22</f>
        <v>0</v>
      </c>
      <c r="K239">
        <f>YEAR(Hours_Sum[[#This Row],[Pay Due]])</f>
        <v>2031</v>
      </c>
      <c r="L239" t="str">
        <f>TEXT(Hours_Sum[[#This Row],[Pay Due]],"MMMM")</f>
        <v>November</v>
      </c>
    </row>
    <row r="240" spans="2:12" x14ac:dyDescent="0.25">
      <c r="B240" s="39">
        <v>48187</v>
      </c>
      <c r="C240" s="5">
        <f>_xlfn.XLOOKUP(Hours_Sum[[#This Row],[Pay Due]],Dates_Ref[QCH due],Dates_Ref[Start],"",0)</f>
        <v>48169</v>
      </c>
      <c r="D240" s="5">
        <f>Hours_Sum[[#This Row],[PP Start]]+13</f>
        <v>48182</v>
      </c>
      <c r="E240">
        <f>SUM(Hours_Sum[[#This Row],[Reg Hrs]],Hours_Sum[[#This Row],[1.5x OT Hrs]],Hours_Sum[[#This Row],[2x OT Hrs]])</f>
        <v>0</v>
      </c>
      <c r="F240">
        <f>SUMIFS(Shift_Track[Reg
Hrs],Shift_Track[Pay Period],Hours_Sum[[#This Row],[Pay Due]])</f>
        <v>0</v>
      </c>
      <c r="G240">
        <f>SUMIFS(Shift_Track[1.5x OT
Hrs],Shift_Track[Pay Period],Hours_Sum[[#This Row],[Pay Due]])</f>
        <v>0</v>
      </c>
      <c r="H240">
        <f>SUMIFS(Shift_Track[2x OT
Hrs],Shift_Track[Pay Period],Hours_Sum[[#This Row],[Pay Due]])</f>
        <v>0</v>
      </c>
      <c r="I240">
        <f>SUM(Hours_Sum[[#This Row],[Reg Hrs]],1.5*Hours_Sum[[#This Row],[1.5x OT Hrs]],2*Hours_Sum[[#This Row],[2x OT Hrs]])</f>
        <v>0</v>
      </c>
      <c r="J240">
        <f>Hours_Sum[[#This Row],[Tot Hrs
(Converted)]]*22</f>
        <v>0</v>
      </c>
      <c r="K240">
        <f>YEAR(Hours_Sum[[#This Row],[Pay Due]])</f>
        <v>2031</v>
      </c>
      <c r="L240" t="str">
        <f>TEXT(Hours_Sum[[#This Row],[Pay Due]],"MMMM")</f>
        <v>December</v>
      </c>
    </row>
    <row r="241" spans="2:12" x14ac:dyDescent="0.25">
      <c r="B241" s="39">
        <v>48201</v>
      </c>
      <c r="C241" s="5">
        <f>_xlfn.XLOOKUP(Hours_Sum[[#This Row],[Pay Due]],Dates_Ref[QCH due],Dates_Ref[Start],"",0)</f>
        <v>48183</v>
      </c>
      <c r="D241" s="5">
        <f>Hours_Sum[[#This Row],[PP Start]]+13</f>
        <v>48196</v>
      </c>
      <c r="E241">
        <f>SUM(Hours_Sum[[#This Row],[Reg Hrs]],Hours_Sum[[#This Row],[1.5x OT Hrs]],Hours_Sum[[#This Row],[2x OT Hrs]])</f>
        <v>0</v>
      </c>
      <c r="F241">
        <f>SUMIFS(Shift_Track[Reg
Hrs],Shift_Track[Pay Period],Hours_Sum[[#This Row],[Pay Due]])</f>
        <v>0</v>
      </c>
      <c r="G241">
        <f>SUMIFS(Shift_Track[1.5x OT
Hrs],Shift_Track[Pay Period],Hours_Sum[[#This Row],[Pay Due]])</f>
        <v>0</v>
      </c>
      <c r="H241">
        <f>SUMIFS(Shift_Track[2x OT
Hrs],Shift_Track[Pay Period],Hours_Sum[[#This Row],[Pay Due]])</f>
        <v>0</v>
      </c>
      <c r="I241">
        <f>SUM(Hours_Sum[[#This Row],[Reg Hrs]],1.5*Hours_Sum[[#This Row],[1.5x OT Hrs]],2*Hours_Sum[[#This Row],[2x OT Hrs]])</f>
        <v>0</v>
      </c>
      <c r="J241">
        <f>Hours_Sum[[#This Row],[Tot Hrs
(Converted)]]*22</f>
        <v>0</v>
      </c>
      <c r="K241">
        <f>YEAR(Hours_Sum[[#This Row],[Pay Due]])</f>
        <v>2031</v>
      </c>
      <c r="L241" t="str">
        <f>TEXT(Hours_Sum[[#This Row],[Pay Due]],"MMMM")</f>
        <v>December</v>
      </c>
    </row>
    <row r="242" spans="2:12" x14ac:dyDescent="0.25">
      <c r="B242" s="39">
        <v>48215</v>
      </c>
      <c r="C242" s="5">
        <f>_xlfn.XLOOKUP(Hours_Sum[[#This Row],[Pay Due]],Dates_Ref[QCH due],Dates_Ref[Start],"",0)</f>
        <v>48197</v>
      </c>
      <c r="D242" s="5">
        <f>Hours_Sum[[#This Row],[PP Start]]+13</f>
        <v>48210</v>
      </c>
      <c r="E242">
        <f>SUM(Hours_Sum[[#This Row],[Reg Hrs]],Hours_Sum[[#This Row],[1.5x OT Hrs]],Hours_Sum[[#This Row],[2x OT Hrs]])</f>
        <v>0</v>
      </c>
      <c r="F242">
        <f>SUMIFS(Shift_Track[Reg
Hrs],Shift_Track[Pay Period],Hours_Sum[[#This Row],[Pay Due]])</f>
        <v>0</v>
      </c>
      <c r="G242">
        <f>SUMIFS(Shift_Track[1.5x OT
Hrs],Shift_Track[Pay Period],Hours_Sum[[#This Row],[Pay Due]])</f>
        <v>0</v>
      </c>
      <c r="H242">
        <f>SUMIFS(Shift_Track[2x OT
Hrs],Shift_Track[Pay Period],Hours_Sum[[#This Row],[Pay Due]])</f>
        <v>0</v>
      </c>
      <c r="I242">
        <f>SUM(Hours_Sum[[#This Row],[Reg Hrs]],1.5*Hours_Sum[[#This Row],[1.5x OT Hrs]],2*Hours_Sum[[#This Row],[2x OT Hrs]])</f>
        <v>0</v>
      </c>
      <c r="J242">
        <f>Hours_Sum[[#This Row],[Tot Hrs
(Converted)]]*22</f>
        <v>0</v>
      </c>
      <c r="K242">
        <f>YEAR(Hours_Sum[[#This Row],[Pay Due]])</f>
        <v>2032</v>
      </c>
      <c r="L242" t="str">
        <f>TEXT(Hours_Sum[[#This Row],[Pay Due]],"MMMM")</f>
        <v>January</v>
      </c>
    </row>
    <row r="243" spans="2:12" x14ac:dyDescent="0.25">
      <c r="B243" s="39">
        <v>48229</v>
      </c>
      <c r="C243" s="5">
        <f>_xlfn.XLOOKUP(Hours_Sum[[#This Row],[Pay Due]],Dates_Ref[QCH due],Dates_Ref[Start],"",0)</f>
        <v>48211</v>
      </c>
      <c r="D243" s="5">
        <f>Hours_Sum[[#This Row],[PP Start]]+13</f>
        <v>48224</v>
      </c>
      <c r="E243">
        <f>SUM(Hours_Sum[[#This Row],[Reg Hrs]],Hours_Sum[[#This Row],[1.5x OT Hrs]],Hours_Sum[[#This Row],[2x OT Hrs]])</f>
        <v>0</v>
      </c>
      <c r="F243">
        <f>SUMIFS(Shift_Track[Reg
Hrs],Shift_Track[Pay Period],Hours_Sum[[#This Row],[Pay Due]])</f>
        <v>0</v>
      </c>
      <c r="G243">
        <f>SUMIFS(Shift_Track[1.5x OT
Hrs],Shift_Track[Pay Period],Hours_Sum[[#This Row],[Pay Due]])</f>
        <v>0</v>
      </c>
      <c r="H243">
        <f>SUMIFS(Shift_Track[2x OT
Hrs],Shift_Track[Pay Period],Hours_Sum[[#This Row],[Pay Due]])</f>
        <v>0</v>
      </c>
      <c r="I243">
        <f>SUM(Hours_Sum[[#This Row],[Reg Hrs]],1.5*Hours_Sum[[#This Row],[1.5x OT Hrs]],2*Hours_Sum[[#This Row],[2x OT Hrs]])</f>
        <v>0</v>
      </c>
      <c r="J243">
        <f>Hours_Sum[[#This Row],[Tot Hrs
(Converted)]]*22</f>
        <v>0</v>
      </c>
      <c r="K243">
        <f>YEAR(Hours_Sum[[#This Row],[Pay Due]])</f>
        <v>2032</v>
      </c>
      <c r="L243" t="str">
        <f>TEXT(Hours_Sum[[#This Row],[Pay Due]],"MMMM")</f>
        <v>January</v>
      </c>
    </row>
    <row r="244" spans="2:12" x14ac:dyDescent="0.25">
      <c r="B244" s="39">
        <v>48243</v>
      </c>
      <c r="C244" s="5">
        <f>_xlfn.XLOOKUP(Hours_Sum[[#This Row],[Pay Due]],Dates_Ref[QCH due],Dates_Ref[Start],"",0)</f>
        <v>48225</v>
      </c>
      <c r="D244" s="5">
        <f>Hours_Sum[[#This Row],[PP Start]]+13</f>
        <v>48238</v>
      </c>
      <c r="E244">
        <f>SUM(Hours_Sum[[#This Row],[Reg Hrs]],Hours_Sum[[#This Row],[1.5x OT Hrs]],Hours_Sum[[#This Row],[2x OT Hrs]])</f>
        <v>0</v>
      </c>
      <c r="F244">
        <f>SUMIFS(Shift_Track[Reg
Hrs],Shift_Track[Pay Period],Hours_Sum[[#This Row],[Pay Due]])</f>
        <v>0</v>
      </c>
      <c r="G244">
        <f>SUMIFS(Shift_Track[1.5x OT
Hrs],Shift_Track[Pay Period],Hours_Sum[[#This Row],[Pay Due]])</f>
        <v>0</v>
      </c>
      <c r="H244">
        <f>SUMIFS(Shift_Track[2x OT
Hrs],Shift_Track[Pay Period],Hours_Sum[[#This Row],[Pay Due]])</f>
        <v>0</v>
      </c>
      <c r="I244">
        <f>SUM(Hours_Sum[[#This Row],[Reg Hrs]],1.5*Hours_Sum[[#This Row],[1.5x OT Hrs]],2*Hours_Sum[[#This Row],[2x OT Hrs]])</f>
        <v>0</v>
      </c>
      <c r="J244">
        <f>Hours_Sum[[#This Row],[Tot Hrs
(Converted)]]*22</f>
        <v>0</v>
      </c>
      <c r="K244">
        <f>YEAR(Hours_Sum[[#This Row],[Pay Due]])</f>
        <v>2032</v>
      </c>
      <c r="L244" t="str">
        <f>TEXT(Hours_Sum[[#This Row],[Pay Due]],"MMMM")</f>
        <v>January</v>
      </c>
    </row>
    <row r="245" spans="2:12" x14ac:dyDescent="0.25">
      <c r="B245" s="39">
        <v>48257</v>
      </c>
      <c r="C245" s="5">
        <f>_xlfn.XLOOKUP(Hours_Sum[[#This Row],[Pay Due]],Dates_Ref[QCH due],Dates_Ref[Start],"",0)</f>
        <v>48239</v>
      </c>
      <c r="D245" s="5">
        <f>Hours_Sum[[#This Row],[PP Start]]+13</f>
        <v>48252</v>
      </c>
      <c r="E245">
        <f>SUM(Hours_Sum[[#This Row],[Reg Hrs]],Hours_Sum[[#This Row],[1.5x OT Hrs]],Hours_Sum[[#This Row],[2x OT Hrs]])</f>
        <v>0</v>
      </c>
      <c r="F245">
        <f>SUMIFS(Shift_Track[Reg
Hrs],Shift_Track[Pay Period],Hours_Sum[[#This Row],[Pay Due]])</f>
        <v>0</v>
      </c>
      <c r="G245">
        <f>SUMIFS(Shift_Track[1.5x OT
Hrs],Shift_Track[Pay Period],Hours_Sum[[#This Row],[Pay Due]])</f>
        <v>0</v>
      </c>
      <c r="H245">
        <f>SUMIFS(Shift_Track[2x OT
Hrs],Shift_Track[Pay Period],Hours_Sum[[#This Row],[Pay Due]])</f>
        <v>0</v>
      </c>
      <c r="I245">
        <f>SUM(Hours_Sum[[#This Row],[Reg Hrs]],1.5*Hours_Sum[[#This Row],[1.5x OT Hrs]],2*Hours_Sum[[#This Row],[2x OT Hrs]])</f>
        <v>0</v>
      </c>
      <c r="J245">
        <f>Hours_Sum[[#This Row],[Tot Hrs
(Converted)]]*22</f>
        <v>0</v>
      </c>
      <c r="K245">
        <f>YEAR(Hours_Sum[[#This Row],[Pay Due]])</f>
        <v>2032</v>
      </c>
      <c r="L245" t="str">
        <f>TEXT(Hours_Sum[[#This Row],[Pay Due]],"MMMM")</f>
        <v>February</v>
      </c>
    </row>
    <row r="246" spans="2:12" x14ac:dyDescent="0.25">
      <c r="B246" s="39">
        <v>48271</v>
      </c>
      <c r="C246" s="5">
        <f>_xlfn.XLOOKUP(Hours_Sum[[#This Row],[Pay Due]],Dates_Ref[QCH due],Dates_Ref[Start],"",0)</f>
        <v>48253</v>
      </c>
      <c r="D246" s="5">
        <f>Hours_Sum[[#This Row],[PP Start]]+13</f>
        <v>48266</v>
      </c>
      <c r="E246">
        <f>SUM(Hours_Sum[[#This Row],[Reg Hrs]],Hours_Sum[[#This Row],[1.5x OT Hrs]],Hours_Sum[[#This Row],[2x OT Hrs]])</f>
        <v>0</v>
      </c>
      <c r="F246">
        <f>SUMIFS(Shift_Track[Reg
Hrs],Shift_Track[Pay Period],Hours_Sum[[#This Row],[Pay Due]])</f>
        <v>0</v>
      </c>
      <c r="G246">
        <f>SUMIFS(Shift_Track[1.5x OT
Hrs],Shift_Track[Pay Period],Hours_Sum[[#This Row],[Pay Due]])</f>
        <v>0</v>
      </c>
      <c r="H246">
        <f>SUMIFS(Shift_Track[2x OT
Hrs],Shift_Track[Pay Period],Hours_Sum[[#This Row],[Pay Due]])</f>
        <v>0</v>
      </c>
      <c r="I246">
        <f>SUM(Hours_Sum[[#This Row],[Reg Hrs]],1.5*Hours_Sum[[#This Row],[1.5x OT Hrs]],2*Hours_Sum[[#This Row],[2x OT Hrs]])</f>
        <v>0</v>
      </c>
      <c r="J246">
        <f>Hours_Sum[[#This Row],[Tot Hrs
(Converted)]]*22</f>
        <v>0</v>
      </c>
      <c r="K246">
        <f>YEAR(Hours_Sum[[#This Row],[Pay Due]])</f>
        <v>2032</v>
      </c>
      <c r="L246" t="str">
        <f>TEXT(Hours_Sum[[#This Row],[Pay Due]],"MMMM")</f>
        <v>February</v>
      </c>
    </row>
    <row r="247" spans="2:12" x14ac:dyDescent="0.25">
      <c r="B247" s="39">
        <v>48285</v>
      </c>
      <c r="C247" s="5">
        <f>_xlfn.XLOOKUP(Hours_Sum[[#This Row],[Pay Due]],Dates_Ref[QCH due],Dates_Ref[Start],"",0)</f>
        <v>48267</v>
      </c>
      <c r="D247" s="5">
        <f>Hours_Sum[[#This Row],[PP Start]]+13</f>
        <v>48280</v>
      </c>
      <c r="E247">
        <f>SUM(Hours_Sum[[#This Row],[Reg Hrs]],Hours_Sum[[#This Row],[1.5x OT Hrs]],Hours_Sum[[#This Row],[2x OT Hrs]])</f>
        <v>0</v>
      </c>
      <c r="F247">
        <f>SUMIFS(Shift_Track[Reg
Hrs],Shift_Track[Pay Period],Hours_Sum[[#This Row],[Pay Due]])</f>
        <v>0</v>
      </c>
      <c r="G247">
        <f>SUMIFS(Shift_Track[1.5x OT
Hrs],Shift_Track[Pay Period],Hours_Sum[[#This Row],[Pay Due]])</f>
        <v>0</v>
      </c>
      <c r="H247">
        <f>SUMIFS(Shift_Track[2x OT
Hrs],Shift_Track[Pay Period],Hours_Sum[[#This Row],[Pay Due]])</f>
        <v>0</v>
      </c>
      <c r="I247">
        <f>SUM(Hours_Sum[[#This Row],[Reg Hrs]],1.5*Hours_Sum[[#This Row],[1.5x OT Hrs]],2*Hours_Sum[[#This Row],[2x OT Hrs]])</f>
        <v>0</v>
      </c>
      <c r="J247">
        <f>Hours_Sum[[#This Row],[Tot Hrs
(Converted)]]*22</f>
        <v>0</v>
      </c>
      <c r="K247">
        <f>YEAR(Hours_Sum[[#This Row],[Pay Due]])</f>
        <v>2032</v>
      </c>
      <c r="L247" t="str">
        <f>TEXT(Hours_Sum[[#This Row],[Pay Due]],"MMMM")</f>
        <v>March</v>
      </c>
    </row>
    <row r="248" spans="2:12" x14ac:dyDescent="0.25">
      <c r="B248" s="39">
        <v>48299</v>
      </c>
      <c r="C248" s="5">
        <f>_xlfn.XLOOKUP(Hours_Sum[[#This Row],[Pay Due]],Dates_Ref[QCH due],Dates_Ref[Start],"",0)</f>
        <v>48281</v>
      </c>
      <c r="D248" s="5">
        <f>Hours_Sum[[#This Row],[PP Start]]+13</f>
        <v>48294</v>
      </c>
      <c r="E248">
        <f>SUM(Hours_Sum[[#This Row],[Reg Hrs]],Hours_Sum[[#This Row],[1.5x OT Hrs]],Hours_Sum[[#This Row],[2x OT Hrs]])</f>
        <v>0</v>
      </c>
      <c r="F248">
        <f>SUMIFS(Shift_Track[Reg
Hrs],Shift_Track[Pay Period],Hours_Sum[[#This Row],[Pay Due]])</f>
        <v>0</v>
      </c>
      <c r="G248">
        <f>SUMIFS(Shift_Track[1.5x OT
Hrs],Shift_Track[Pay Period],Hours_Sum[[#This Row],[Pay Due]])</f>
        <v>0</v>
      </c>
      <c r="H248">
        <f>SUMIFS(Shift_Track[2x OT
Hrs],Shift_Track[Pay Period],Hours_Sum[[#This Row],[Pay Due]])</f>
        <v>0</v>
      </c>
      <c r="I248">
        <f>SUM(Hours_Sum[[#This Row],[Reg Hrs]],1.5*Hours_Sum[[#This Row],[1.5x OT Hrs]],2*Hours_Sum[[#This Row],[2x OT Hrs]])</f>
        <v>0</v>
      </c>
      <c r="J248">
        <f>Hours_Sum[[#This Row],[Tot Hrs
(Converted)]]*22</f>
        <v>0</v>
      </c>
      <c r="K248">
        <f>YEAR(Hours_Sum[[#This Row],[Pay Due]])</f>
        <v>2032</v>
      </c>
      <c r="L248" t="str">
        <f>TEXT(Hours_Sum[[#This Row],[Pay Due]],"MMMM")</f>
        <v>March</v>
      </c>
    </row>
    <row r="249" spans="2:12" x14ac:dyDescent="0.25">
      <c r="B249" s="39">
        <v>48313</v>
      </c>
      <c r="C249" s="5">
        <f>_xlfn.XLOOKUP(Hours_Sum[[#This Row],[Pay Due]],Dates_Ref[QCH due],Dates_Ref[Start],"",0)</f>
        <v>48295</v>
      </c>
      <c r="D249" s="5">
        <f>Hours_Sum[[#This Row],[PP Start]]+13</f>
        <v>48308</v>
      </c>
      <c r="E249">
        <f>SUM(Hours_Sum[[#This Row],[Reg Hrs]],Hours_Sum[[#This Row],[1.5x OT Hrs]],Hours_Sum[[#This Row],[2x OT Hrs]])</f>
        <v>0</v>
      </c>
      <c r="F249">
        <f>SUMIFS(Shift_Track[Reg
Hrs],Shift_Track[Pay Period],Hours_Sum[[#This Row],[Pay Due]])</f>
        <v>0</v>
      </c>
      <c r="G249">
        <f>SUMIFS(Shift_Track[1.5x OT
Hrs],Shift_Track[Pay Period],Hours_Sum[[#This Row],[Pay Due]])</f>
        <v>0</v>
      </c>
      <c r="H249">
        <f>SUMIFS(Shift_Track[2x OT
Hrs],Shift_Track[Pay Period],Hours_Sum[[#This Row],[Pay Due]])</f>
        <v>0</v>
      </c>
      <c r="I249">
        <f>SUM(Hours_Sum[[#This Row],[Reg Hrs]],1.5*Hours_Sum[[#This Row],[1.5x OT Hrs]],2*Hours_Sum[[#This Row],[2x OT Hrs]])</f>
        <v>0</v>
      </c>
      <c r="J249">
        <f>Hours_Sum[[#This Row],[Tot Hrs
(Converted)]]*22</f>
        <v>0</v>
      </c>
      <c r="K249">
        <f>YEAR(Hours_Sum[[#This Row],[Pay Due]])</f>
        <v>2032</v>
      </c>
      <c r="L249" t="str">
        <f>TEXT(Hours_Sum[[#This Row],[Pay Due]],"MMMM")</f>
        <v>April</v>
      </c>
    </row>
    <row r="250" spans="2:12" x14ac:dyDescent="0.25">
      <c r="B250" s="39">
        <v>48327</v>
      </c>
      <c r="C250" s="5">
        <f>_xlfn.XLOOKUP(Hours_Sum[[#This Row],[Pay Due]],Dates_Ref[QCH due],Dates_Ref[Start],"",0)</f>
        <v>48309</v>
      </c>
      <c r="D250" s="5">
        <f>Hours_Sum[[#This Row],[PP Start]]+13</f>
        <v>48322</v>
      </c>
      <c r="E250">
        <f>SUM(Hours_Sum[[#This Row],[Reg Hrs]],Hours_Sum[[#This Row],[1.5x OT Hrs]],Hours_Sum[[#This Row],[2x OT Hrs]])</f>
        <v>0</v>
      </c>
      <c r="F250">
        <f>SUMIFS(Shift_Track[Reg
Hrs],Shift_Track[Pay Period],Hours_Sum[[#This Row],[Pay Due]])</f>
        <v>0</v>
      </c>
      <c r="G250">
        <f>SUMIFS(Shift_Track[1.5x OT
Hrs],Shift_Track[Pay Period],Hours_Sum[[#This Row],[Pay Due]])</f>
        <v>0</v>
      </c>
      <c r="H250">
        <f>SUMIFS(Shift_Track[2x OT
Hrs],Shift_Track[Pay Period],Hours_Sum[[#This Row],[Pay Due]])</f>
        <v>0</v>
      </c>
      <c r="I250">
        <f>SUM(Hours_Sum[[#This Row],[Reg Hrs]],1.5*Hours_Sum[[#This Row],[1.5x OT Hrs]],2*Hours_Sum[[#This Row],[2x OT Hrs]])</f>
        <v>0</v>
      </c>
      <c r="J250">
        <f>Hours_Sum[[#This Row],[Tot Hrs
(Converted)]]*22</f>
        <v>0</v>
      </c>
      <c r="K250">
        <f>YEAR(Hours_Sum[[#This Row],[Pay Due]])</f>
        <v>2032</v>
      </c>
      <c r="L250" t="str">
        <f>TEXT(Hours_Sum[[#This Row],[Pay Due]],"MMMM")</f>
        <v>April</v>
      </c>
    </row>
    <row r="251" spans="2:12" x14ac:dyDescent="0.25">
      <c r="B251" s="39">
        <v>48341</v>
      </c>
      <c r="C251" s="5">
        <f>_xlfn.XLOOKUP(Hours_Sum[[#This Row],[Pay Due]],Dates_Ref[QCH due],Dates_Ref[Start],"",0)</f>
        <v>48323</v>
      </c>
      <c r="D251" s="5">
        <f>Hours_Sum[[#This Row],[PP Start]]+13</f>
        <v>48336</v>
      </c>
      <c r="E251">
        <f>SUM(Hours_Sum[[#This Row],[Reg Hrs]],Hours_Sum[[#This Row],[1.5x OT Hrs]],Hours_Sum[[#This Row],[2x OT Hrs]])</f>
        <v>0</v>
      </c>
      <c r="F251">
        <f>SUMIFS(Shift_Track[Reg
Hrs],Shift_Track[Pay Period],Hours_Sum[[#This Row],[Pay Due]])</f>
        <v>0</v>
      </c>
      <c r="G251">
        <f>SUMIFS(Shift_Track[1.5x OT
Hrs],Shift_Track[Pay Period],Hours_Sum[[#This Row],[Pay Due]])</f>
        <v>0</v>
      </c>
      <c r="H251">
        <f>SUMIFS(Shift_Track[2x OT
Hrs],Shift_Track[Pay Period],Hours_Sum[[#This Row],[Pay Due]])</f>
        <v>0</v>
      </c>
      <c r="I251">
        <f>SUM(Hours_Sum[[#This Row],[Reg Hrs]],1.5*Hours_Sum[[#This Row],[1.5x OT Hrs]],2*Hours_Sum[[#This Row],[2x OT Hrs]])</f>
        <v>0</v>
      </c>
      <c r="J251">
        <f>Hours_Sum[[#This Row],[Tot Hrs
(Converted)]]*22</f>
        <v>0</v>
      </c>
      <c r="K251">
        <f>YEAR(Hours_Sum[[#This Row],[Pay Due]])</f>
        <v>2032</v>
      </c>
      <c r="L251" t="str">
        <f>TEXT(Hours_Sum[[#This Row],[Pay Due]],"MMMM")</f>
        <v>May</v>
      </c>
    </row>
    <row r="252" spans="2:12" x14ac:dyDescent="0.25">
      <c r="B252" s="39">
        <v>48355</v>
      </c>
      <c r="C252" s="5">
        <f>_xlfn.XLOOKUP(Hours_Sum[[#This Row],[Pay Due]],Dates_Ref[QCH due],Dates_Ref[Start],"",0)</f>
        <v>48337</v>
      </c>
      <c r="D252" s="5">
        <f>Hours_Sum[[#This Row],[PP Start]]+13</f>
        <v>48350</v>
      </c>
      <c r="E252">
        <f>SUM(Hours_Sum[[#This Row],[Reg Hrs]],Hours_Sum[[#This Row],[1.5x OT Hrs]],Hours_Sum[[#This Row],[2x OT Hrs]])</f>
        <v>0</v>
      </c>
      <c r="F252">
        <f>SUMIFS(Shift_Track[Reg
Hrs],Shift_Track[Pay Period],Hours_Sum[[#This Row],[Pay Due]])</f>
        <v>0</v>
      </c>
      <c r="G252">
        <f>SUMIFS(Shift_Track[1.5x OT
Hrs],Shift_Track[Pay Period],Hours_Sum[[#This Row],[Pay Due]])</f>
        <v>0</v>
      </c>
      <c r="H252">
        <f>SUMIFS(Shift_Track[2x OT
Hrs],Shift_Track[Pay Period],Hours_Sum[[#This Row],[Pay Due]])</f>
        <v>0</v>
      </c>
      <c r="I252">
        <f>SUM(Hours_Sum[[#This Row],[Reg Hrs]],1.5*Hours_Sum[[#This Row],[1.5x OT Hrs]],2*Hours_Sum[[#This Row],[2x OT Hrs]])</f>
        <v>0</v>
      </c>
      <c r="J252">
        <f>Hours_Sum[[#This Row],[Tot Hrs
(Converted)]]*22</f>
        <v>0</v>
      </c>
      <c r="K252">
        <f>YEAR(Hours_Sum[[#This Row],[Pay Due]])</f>
        <v>2032</v>
      </c>
      <c r="L252" t="str">
        <f>TEXT(Hours_Sum[[#This Row],[Pay Due]],"MMMM")</f>
        <v>May</v>
      </c>
    </row>
    <row r="253" spans="2:12" x14ac:dyDescent="0.25">
      <c r="B253" s="39">
        <v>48369</v>
      </c>
      <c r="C253" s="5">
        <f>_xlfn.XLOOKUP(Hours_Sum[[#This Row],[Pay Due]],Dates_Ref[QCH due],Dates_Ref[Start],"",0)</f>
        <v>48351</v>
      </c>
      <c r="D253" s="5">
        <f>Hours_Sum[[#This Row],[PP Start]]+13</f>
        <v>48364</v>
      </c>
      <c r="E253">
        <f>SUM(Hours_Sum[[#This Row],[Reg Hrs]],Hours_Sum[[#This Row],[1.5x OT Hrs]],Hours_Sum[[#This Row],[2x OT Hrs]])</f>
        <v>0</v>
      </c>
      <c r="F253">
        <f>SUMIFS(Shift_Track[Reg
Hrs],Shift_Track[Pay Period],Hours_Sum[[#This Row],[Pay Due]])</f>
        <v>0</v>
      </c>
      <c r="G253">
        <f>SUMIFS(Shift_Track[1.5x OT
Hrs],Shift_Track[Pay Period],Hours_Sum[[#This Row],[Pay Due]])</f>
        <v>0</v>
      </c>
      <c r="H253">
        <f>SUMIFS(Shift_Track[2x OT
Hrs],Shift_Track[Pay Period],Hours_Sum[[#This Row],[Pay Due]])</f>
        <v>0</v>
      </c>
      <c r="I253">
        <f>SUM(Hours_Sum[[#This Row],[Reg Hrs]],1.5*Hours_Sum[[#This Row],[1.5x OT Hrs]],2*Hours_Sum[[#This Row],[2x OT Hrs]])</f>
        <v>0</v>
      </c>
      <c r="J253">
        <f>Hours_Sum[[#This Row],[Tot Hrs
(Converted)]]*22</f>
        <v>0</v>
      </c>
      <c r="K253">
        <f>YEAR(Hours_Sum[[#This Row],[Pay Due]])</f>
        <v>2032</v>
      </c>
      <c r="L253" t="str">
        <f>TEXT(Hours_Sum[[#This Row],[Pay Due]],"MMMM")</f>
        <v>June</v>
      </c>
    </row>
    <row r="254" spans="2:12" x14ac:dyDescent="0.25">
      <c r="B254" s="39">
        <v>48383</v>
      </c>
      <c r="C254" s="5">
        <f>_xlfn.XLOOKUP(Hours_Sum[[#This Row],[Pay Due]],Dates_Ref[QCH due],Dates_Ref[Start],"",0)</f>
        <v>48365</v>
      </c>
      <c r="D254" s="5">
        <f>Hours_Sum[[#This Row],[PP Start]]+13</f>
        <v>48378</v>
      </c>
      <c r="E254">
        <f>SUM(Hours_Sum[[#This Row],[Reg Hrs]],Hours_Sum[[#This Row],[1.5x OT Hrs]],Hours_Sum[[#This Row],[2x OT Hrs]])</f>
        <v>0</v>
      </c>
      <c r="F254">
        <f>SUMIFS(Shift_Track[Reg
Hrs],Shift_Track[Pay Period],Hours_Sum[[#This Row],[Pay Due]])</f>
        <v>0</v>
      </c>
      <c r="G254">
        <f>SUMIFS(Shift_Track[1.5x OT
Hrs],Shift_Track[Pay Period],Hours_Sum[[#This Row],[Pay Due]])</f>
        <v>0</v>
      </c>
      <c r="H254">
        <f>SUMIFS(Shift_Track[2x OT
Hrs],Shift_Track[Pay Period],Hours_Sum[[#This Row],[Pay Due]])</f>
        <v>0</v>
      </c>
      <c r="I254">
        <f>SUM(Hours_Sum[[#This Row],[Reg Hrs]],1.5*Hours_Sum[[#This Row],[1.5x OT Hrs]],2*Hours_Sum[[#This Row],[2x OT Hrs]])</f>
        <v>0</v>
      </c>
      <c r="J254">
        <f>Hours_Sum[[#This Row],[Tot Hrs
(Converted)]]*22</f>
        <v>0</v>
      </c>
      <c r="K254">
        <f>YEAR(Hours_Sum[[#This Row],[Pay Due]])</f>
        <v>2032</v>
      </c>
      <c r="L254" t="str">
        <f>TEXT(Hours_Sum[[#This Row],[Pay Due]],"MMMM")</f>
        <v>June</v>
      </c>
    </row>
    <row r="255" spans="2:12" x14ac:dyDescent="0.25">
      <c r="B255" s="39">
        <v>48397</v>
      </c>
      <c r="C255" s="5">
        <f>_xlfn.XLOOKUP(Hours_Sum[[#This Row],[Pay Due]],Dates_Ref[QCH due],Dates_Ref[Start],"",0)</f>
        <v>48379</v>
      </c>
      <c r="D255" s="5">
        <f>Hours_Sum[[#This Row],[PP Start]]+13</f>
        <v>48392</v>
      </c>
      <c r="E255">
        <f>SUM(Hours_Sum[[#This Row],[Reg Hrs]],Hours_Sum[[#This Row],[1.5x OT Hrs]],Hours_Sum[[#This Row],[2x OT Hrs]])</f>
        <v>0</v>
      </c>
      <c r="F255">
        <f>SUMIFS(Shift_Track[Reg
Hrs],Shift_Track[Pay Period],Hours_Sum[[#This Row],[Pay Due]])</f>
        <v>0</v>
      </c>
      <c r="G255">
        <f>SUMIFS(Shift_Track[1.5x OT
Hrs],Shift_Track[Pay Period],Hours_Sum[[#This Row],[Pay Due]])</f>
        <v>0</v>
      </c>
      <c r="H255">
        <f>SUMIFS(Shift_Track[2x OT
Hrs],Shift_Track[Pay Period],Hours_Sum[[#This Row],[Pay Due]])</f>
        <v>0</v>
      </c>
      <c r="I255">
        <f>SUM(Hours_Sum[[#This Row],[Reg Hrs]],1.5*Hours_Sum[[#This Row],[1.5x OT Hrs]],2*Hours_Sum[[#This Row],[2x OT Hrs]])</f>
        <v>0</v>
      </c>
      <c r="J255">
        <f>Hours_Sum[[#This Row],[Tot Hrs
(Converted)]]*22</f>
        <v>0</v>
      </c>
      <c r="K255">
        <f>YEAR(Hours_Sum[[#This Row],[Pay Due]])</f>
        <v>2032</v>
      </c>
      <c r="L255" t="str">
        <f>TEXT(Hours_Sum[[#This Row],[Pay Due]],"MMMM")</f>
        <v>July</v>
      </c>
    </row>
    <row r="256" spans="2:12" x14ac:dyDescent="0.25">
      <c r="B256" s="39">
        <v>48411</v>
      </c>
      <c r="C256" s="5">
        <f>_xlfn.XLOOKUP(Hours_Sum[[#This Row],[Pay Due]],Dates_Ref[QCH due],Dates_Ref[Start],"",0)</f>
        <v>48393</v>
      </c>
      <c r="D256" s="5">
        <f>Hours_Sum[[#This Row],[PP Start]]+13</f>
        <v>48406</v>
      </c>
      <c r="E256">
        <f>SUM(Hours_Sum[[#This Row],[Reg Hrs]],Hours_Sum[[#This Row],[1.5x OT Hrs]],Hours_Sum[[#This Row],[2x OT Hrs]])</f>
        <v>0</v>
      </c>
      <c r="F256">
        <f>SUMIFS(Shift_Track[Reg
Hrs],Shift_Track[Pay Period],Hours_Sum[[#This Row],[Pay Due]])</f>
        <v>0</v>
      </c>
      <c r="G256">
        <f>SUMIFS(Shift_Track[1.5x OT
Hrs],Shift_Track[Pay Period],Hours_Sum[[#This Row],[Pay Due]])</f>
        <v>0</v>
      </c>
      <c r="H256">
        <f>SUMIFS(Shift_Track[2x OT
Hrs],Shift_Track[Pay Period],Hours_Sum[[#This Row],[Pay Due]])</f>
        <v>0</v>
      </c>
      <c r="I256">
        <f>SUM(Hours_Sum[[#This Row],[Reg Hrs]],1.5*Hours_Sum[[#This Row],[1.5x OT Hrs]],2*Hours_Sum[[#This Row],[2x OT Hrs]])</f>
        <v>0</v>
      </c>
      <c r="J256">
        <f>Hours_Sum[[#This Row],[Tot Hrs
(Converted)]]*22</f>
        <v>0</v>
      </c>
      <c r="K256">
        <f>YEAR(Hours_Sum[[#This Row],[Pay Due]])</f>
        <v>2032</v>
      </c>
      <c r="L256" t="str">
        <f>TEXT(Hours_Sum[[#This Row],[Pay Due]],"MMMM")</f>
        <v>July</v>
      </c>
    </row>
    <row r="257" spans="2:12" x14ac:dyDescent="0.25">
      <c r="B257" s="39">
        <v>48425</v>
      </c>
      <c r="C257" s="5">
        <f>_xlfn.XLOOKUP(Hours_Sum[[#This Row],[Pay Due]],Dates_Ref[QCH due],Dates_Ref[Start],"",0)</f>
        <v>48407</v>
      </c>
      <c r="D257" s="5">
        <f>Hours_Sum[[#This Row],[PP Start]]+13</f>
        <v>48420</v>
      </c>
      <c r="E257">
        <f>SUM(Hours_Sum[[#This Row],[Reg Hrs]],Hours_Sum[[#This Row],[1.5x OT Hrs]],Hours_Sum[[#This Row],[2x OT Hrs]])</f>
        <v>0</v>
      </c>
      <c r="F257">
        <f>SUMIFS(Shift_Track[Reg
Hrs],Shift_Track[Pay Period],Hours_Sum[[#This Row],[Pay Due]])</f>
        <v>0</v>
      </c>
      <c r="G257">
        <f>SUMIFS(Shift_Track[1.5x OT
Hrs],Shift_Track[Pay Period],Hours_Sum[[#This Row],[Pay Due]])</f>
        <v>0</v>
      </c>
      <c r="H257">
        <f>SUMIFS(Shift_Track[2x OT
Hrs],Shift_Track[Pay Period],Hours_Sum[[#This Row],[Pay Due]])</f>
        <v>0</v>
      </c>
      <c r="I257">
        <f>SUM(Hours_Sum[[#This Row],[Reg Hrs]],1.5*Hours_Sum[[#This Row],[1.5x OT Hrs]],2*Hours_Sum[[#This Row],[2x OT Hrs]])</f>
        <v>0</v>
      </c>
      <c r="J257">
        <f>Hours_Sum[[#This Row],[Tot Hrs
(Converted)]]*22</f>
        <v>0</v>
      </c>
      <c r="K257">
        <f>YEAR(Hours_Sum[[#This Row],[Pay Due]])</f>
        <v>2032</v>
      </c>
      <c r="L257" t="str">
        <f>TEXT(Hours_Sum[[#This Row],[Pay Due]],"MMMM")</f>
        <v>July</v>
      </c>
    </row>
    <row r="258" spans="2:12" x14ac:dyDescent="0.25">
      <c r="B258" s="39">
        <v>48439</v>
      </c>
      <c r="C258" s="5">
        <f>_xlfn.XLOOKUP(Hours_Sum[[#This Row],[Pay Due]],Dates_Ref[QCH due],Dates_Ref[Start],"",0)</f>
        <v>48421</v>
      </c>
      <c r="D258" s="5">
        <f>Hours_Sum[[#This Row],[PP Start]]+13</f>
        <v>48434</v>
      </c>
      <c r="E258">
        <f>SUM(Hours_Sum[[#This Row],[Reg Hrs]],Hours_Sum[[#This Row],[1.5x OT Hrs]],Hours_Sum[[#This Row],[2x OT Hrs]])</f>
        <v>0</v>
      </c>
      <c r="F258">
        <f>SUMIFS(Shift_Track[Reg
Hrs],Shift_Track[Pay Period],Hours_Sum[[#This Row],[Pay Due]])</f>
        <v>0</v>
      </c>
      <c r="G258">
        <f>SUMIFS(Shift_Track[1.5x OT
Hrs],Shift_Track[Pay Period],Hours_Sum[[#This Row],[Pay Due]])</f>
        <v>0</v>
      </c>
      <c r="H258">
        <f>SUMIFS(Shift_Track[2x OT
Hrs],Shift_Track[Pay Period],Hours_Sum[[#This Row],[Pay Due]])</f>
        <v>0</v>
      </c>
      <c r="I258">
        <f>SUM(Hours_Sum[[#This Row],[Reg Hrs]],1.5*Hours_Sum[[#This Row],[1.5x OT Hrs]],2*Hours_Sum[[#This Row],[2x OT Hrs]])</f>
        <v>0</v>
      </c>
      <c r="J258">
        <f>Hours_Sum[[#This Row],[Tot Hrs
(Converted)]]*22</f>
        <v>0</v>
      </c>
      <c r="K258">
        <f>YEAR(Hours_Sum[[#This Row],[Pay Due]])</f>
        <v>2032</v>
      </c>
      <c r="L258" t="str">
        <f>TEXT(Hours_Sum[[#This Row],[Pay Due]],"MMMM")</f>
        <v>August</v>
      </c>
    </row>
    <row r="259" spans="2:12" x14ac:dyDescent="0.25">
      <c r="B259" s="39">
        <v>48453</v>
      </c>
      <c r="C259" s="5">
        <f>_xlfn.XLOOKUP(Hours_Sum[[#This Row],[Pay Due]],Dates_Ref[QCH due],Dates_Ref[Start],"",0)</f>
        <v>48435</v>
      </c>
      <c r="D259" s="5">
        <f>Hours_Sum[[#This Row],[PP Start]]+13</f>
        <v>48448</v>
      </c>
      <c r="E259">
        <f>SUM(Hours_Sum[[#This Row],[Reg Hrs]],Hours_Sum[[#This Row],[1.5x OT Hrs]],Hours_Sum[[#This Row],[2x OT Hrs]])</f>
        <v>0</v>
      </c>
      <c r="F259">
        <f>SUMIFS(Shift_Track[Reg
Hrs],Shift_Track[Pay Period],Hours_Sum[[#This Row],[Pay Due]])</f>
        <v>0</v>
      </c>
      <c r="G259">
        <f>SUMIFS(Shift_Track[1.5x OT
Hrs],Shift_Track[Pay Period],Hours_Sum[[#This Row],[Pay Due]])</f>
        <v>0</v>
      </c>
      <c r="H259">
        <f>SUMIFS(Shift_Track[2x OT
Hrs],Shift_Track[Pay Period],Hours_Sum[[#This Row],[Pay Due]])</f>
        <v>0</v>
      </c>
      <c r="I259">
        <f>SUM(Hours_Sum[[#This Row],[Reg Hrs]],1.5*Hours_Sum[[#This Row],[1.5x OT Hrs]],2*Hours_Sum[[#This Row],[2x OT Hrs]])</f>
        <v>0</v>
      </c>
      <c r="J259">
        <f>Hours_Sum[[#This Row],[Tot Hrs
(Converted)]]*22</f>
        <v>0</v>
      </c>
      <c r="K259">
        <f>YEAR(Hours_Sum[[#This Row],[Pay Due]])</f>
        <v>2032</v>
      </c>
      <c r="L259" t="str">
        <f>TEXT(Hours_Sum[[#This Row],[Pay Due]],"MMMM")</f>
        <v>August</v>
      </c>
    </row>
    <row r="260" spans="2:12" x14ac:dyDescent="0.25">
      <c r="B260" s="39">
        <v>48467</v>
      </c>
      <c r="C260" s="5">
        <f>_xlfn.XLOOKUP(Hours_Sum[[#This Row],[Pay Due]],Dates_Ref[QCH due],Dates_Ref[Start],"",0)</f>
        <v>48449</v>
      </c>
      <c r="D260" s="5">
        <f>Hours_Sum[[#This Row],[PP Start]]+13</f>
        <v>48462</v>
      </c>
      <c r="E260">
        <f>SUM(Hours_Sum[[#This Row],[Reg Hrs]],Hours_Sum[[#This Row],[1.5x OT Hrs]],Hours_Sum[[#This Row],[2x OT Hrs]])</f>
        <v>0</v>
      </c>
      <c r="F260">
        <f>SUMIFS(Shift_Track[Reg
Hrs],Shift_Track[Pay Period],Hours_Sum[[#This Row],[Pay Due]])</f>
        <v>0</v>
      </c>
      <c r="G260">
        <f>SUMIFS(Shift_Track[1.5x OT
Hrs],Shift_Track[Pay Period],Hours_Sum[[#This Row],[Pay Due]])</f>
        <v>0</v>
      </c>
      <c r="H260">
        <f>SUMIFS(Shift_Track[2x OT
Hrs],Shift_Track[Pay Period],Hours_Sum[[#This Row],[Pay Due]])</f>
        <v>0</v>
      </c>
      <c r="I260">
        <f>SUM(Hours_Sum[[#This Row],[Reg Hrs]],1.5*Hours_Sum[[#This Row],[1.5x OT Hrs]],2*Hours_Sum[[#This Row],[2x OT Hrs]])</f>
        <v>0</v>
      </c>
      <c r="J260">
        <f>Hours_Sum[[#This Row],[Tot Hrs
(Converted)]]*22</f>
        <v>0</v>
      </c>
      <c r="K260">
        <f>YEAR(Hours_Sum[[#This Row],[Pay Due]])</f>
        <v>2032</v>
      </c>
      <c r="L260" t="str">
        <f>TEXT(Hours_Sum[[#This Row],[Pay Due]],"MMMM")</f>
        <v>September</v>
      </c>
    </row>
    <row r="261" spans="2:12" x14ac:dyDescent="0.25">
      <c r="B261" s="39">
        <v>48481</v>
      </c>
      <c r="C261" s="5">
        <f>_xlfn.XLOOKUP(Hours_Sum[[#This Row],[Pay Due]],Dates_Ref[QCH due],Dates_Ref[Start],"",0)</f>
        <v>48463</v>
      </c>
      <c r="D261" s="5">
        <f>Hours_Sum[[#This Row],[PP Start]]+13</f>
        <v>48476</v>
      </c>
      <c r="E261">
        <f>SUM(Hours_Sum[[#This Row],[Reg Hrs]],Hours_Sum[[#This Row],[1.5x OT Hrs]],Hours_Sum[[#This Row],[2x OT Hrs]])</f>
        <v>0</v>
      </c>
      <c r="F261">
        <f>SUMIFS(Shift_Track[Reg
Hrs],Shift_Track[Pay Period],Hours_Sum[[#This Row],[Pay Due]])</f>
        <v>0</v>
      </c>
      <c r="G261">
        <f>SUMIFS(Shift_Track[1.5x OT
Hrs],Shift_Track[Pay Period],Hours_Sum[[#This Row],[Pay Due]])</f>
        <v>0</v>
      </c>
      <c r="H261">
        <f>SUMIFS(Shift_Track[2x OT
Hrs],Shift_Track[Pay Period],Hours_Sum[[#This Row],[Pay Due]])</f>
        <v>0</v>
      </c>
      <c r="I261">
        <f>SUM(Hours_Sum[[#This Row],[Reg Hrs]],1.5*Hours_Sum[[#This Row],[1.5x OT Hrs]],2*Hours_Sum[[#This Row],[2x OT Hrs]])</f>
        <v>0</v>
      </c>
      <c r="J261">
        <f>Hours_Sum[[#This Row],[Tot Hrs
(Converted)]]*22</f>
        <v>0</v>
      </c>
      <c r="K261">
        <f>YEAR(Hours_Sum[[#This Row],[Pay Due]])</f>
        <v>2032</v>
      </c>
      <c r="L261" t="str">
        <f>TEXT(Hours_Sum[[#This Row],[Pay Due]],"MMMM")</f>
        <v>September</v>
      </c>
    </row>
    <row r="262" spans="2:12" x14ac:dyDescent="0.25">
      <c r="B262" s="39">
        <v>48495</v>
      </c>
      <c r="C262" s="5">
        <f>_xlfn.XLOOKUP(Hours_Sum[[#This Row],[Pay Due]],Dates_Ref[QCH due],Dates_Ref[Start],"",0)</f>
        <v>48477</v>
      </c>
      <c r="D262" s="5">
        <f>Hours_Sum[[#This Row],[PP Start]]+13</f>
        <v>48490</v>
      </c>
      <c r="E262">
        <f>SUM(Hours_Sum[[#This Row],[Reg Hrs]],Hours_Sum[[#This Row],[1.5x OT Hrs]],Hours_Sum[[#This Row],[2x OT Hrs]])</f>
        <v>0</v>
      </c>
      <c r="F262">
        <f>SUMIFS(Shift_Track[Reg
Hrs],Shift_Track[Pay Period],Hours_Sum[[#This Row],[Pay Due]])</f>
        <v>0</v>
      </c>
      <c r="G262">
        <f>SUMIFS(Shift_Track[1.5x OT
Hrs],Shift_Track[Pay Period],Hours_Sum[[#This Row],[Pay Due]])</f>
        <v>0</v>
      </c>
      <c r="H262">
        <f>SUMIFS(Shift_Track[2x OT
Hrs],Shift_Track[Pay Period],Hours_Sum[[#This Row],[Pay Due]])</f>
        <v>0</v>
      </c>
      <c r="I262">
        <f>SUM(Hours_Sum[[#This Row],[Reg Hrs]],1.5*Hours_Sum[[#This Row],[1.5x OT Hrs]],2*Hours_Sum[[#This Row],[2x OT Hrs]])</f>
        <v>0</v>
      </c>
      <c r="J262">
        <f>Hours_Sum[[#This Row],[Tot Hrs
(Converted)]]*22</f>
        <v>0</v>
      </c>
      <c r="K262">
        <f>YEAR(Hours_Sum[[#This Row],[Pay Due]])</f>
        <v>2032</v>
      </c>
      <c r="L262" t="str">
        <f>TEXT(Hours_Sum[[#This Row],[Pay Due]],"MMMM")</f>
        <v>October</v>
      </c>
    </row>
    <row r="263" spans="2:12" x14ac:dyDescent="0.25">
      <c r="B263" s="39">
        <v>48509</v>
      </c>
      <c r="C263" s="5">
        <f>_xlfn.XLOOKUP(Hours_Sum[[#This Row],[Pay Due]],Dates_Ref[QCH due],Dates_Ref[Start],"",0)</f>
        <v>48491</v>
      </c>
      <c r="D263" s="5">
        <f>Hours_Sum[[#This Row],[PP Start]]+13</f>
        <v>48504</v>
      </c>
      <c r="E263">
        <f>SUM(Hours_Sum[[#This Row],[Reg Hrs]],Hours_Sum[[#This Row],[1.5x OT Hrs]],Hours_Sum[[#This Row],[2x OT Hrs]])</f>
        <v>0</v>
      </c>
      <c r="F263">
        <f>SUMIFS(Shift_Track[Reg
Hrs],Shift_Track[Pay Period],Hours_Sum[[#This Row],[Pay Due]])</f>
        <v>0</v>
      </c>
      <c r="G263">
        <f>SUMIFS(Shift_Track[1.5x OT
Hrs],Shift_Track[Pay Period],Hours_Sum[[#This Row],[Pay Due]])</f>
        <v>0</v>
      </c>
      <c r="H263">
        <f>SUMIFS(Shift_Track[2x OT
Hrs],Shift_Track[Pay Period],Hours_Sum[[#This Row],[Pay Due]])</f>
        <v>0</v>
      </c>
      <c r="I263">
        <f>SUM(Hours_Sum[[#This Row],[Reg Hrs]],1.5*Hours_Sum[[#This Row],[1.5x OT Hrs]],2*Hours_Sum[[#This Row],[2x OT Hrs]])</f>
        <v>0</v>
      </c>
      <c r="J263">
        <f>Hours_Sum[[#This Row],[Tot Hrs
(Converted)]]*22</f>
        <v>0</v>
      </c>
      <c r="K263">
        <f>YEAR(Hours_Sum[[#This Row],[Pay Due]])</f>
        <v>2032</v>
      </c>
      <c r="L263" t="str">
        <f>TEXT(Hours_Sum[[#This Row],[Pay Due]],"MMMM")</f>
        <v>October</v>
      </c>
    </row>
    <row r="264" spans="2:12" x14ac:dyDescent="0.25">
      <c r="B264" s="39">
        <v>48523</v>
      </c>
      <c r="C264" s="5">
        <f>_xlfn.XLOOKUP(Hours_Sum[[#This Row],[Pay Due]],Dates_Ref[QCH due],Dates_Ref[Start],"",0)</f>
        <v>48505</v>
      </c>
      <c r="D264" s="5">
        <f>Hours_Sum[[#This Row],[PP Start]]+13</f>
        <v>48518</v>
      </c>
      <c r="E264">
        <f>SUM(Hours_Sum[[#This Row],[Reg Hrs]],Hours_Sum[[#This Row],[1.5x OT Hrs]],Hours_Sum[[#This Row],[2x OT Hrs]])</f>
        <v>0</v>
      </c>
      <c r="F264">
        <f>SUMIFS(Shift_Track[Reg
Hrs],Shift_Track[Pay Period],Hours_Sum[[#This Row],[Pay Due]])</f>
        <v>0</v>
      </c>
      <c r="G264">
        <f>SUMIFS(Shift_Track[1.5x OT
Hrs],Shift_Track[Pay Period],Hours_Sum[[#This Row],[Pay Due]])</f>
        <v>0</v>
      </c>
      <c r="H264">
        <f>SUMIFS(Shift_Track[2x OT
Hrs],Shift_Track[Pay Period],Hours_Sum[[#This Row],[Pay Due]])</f>
        <v>0</v>
      </c>
      <c r="I264">
        <f>SUM(Hours_Sum[[#This Row],[Reg Hrs]],1.5*Hours_Sum[[#This Row],[1.5x OT Hrs]],2*Hours_Sum[[#This Row],[2x OT Hrs]])</f>
        <v>0</v>
      </c>
      <c r="J264">
        <f>Hours_Sum[[#This Row],[Tot Hrs
(Converted)]]*22</f>
        <v>0</v>
      </c>
      <c r="K264">
        <f>YEAR(Hours_Sum[[#This Row],[Pay Due]])</f>
        <v>2032</v>
      </c>
      <c r="L264" t="str">
        <f>TEXT(Hours_Sum[[#This Row],[Pay Due]],"MMMM")</f>
        <v>November</v>
      </c>
    </row>
    <row r="265" spans="2:12" x14ac:dyDescent="0.25">
      <c r="B265" s="39">
        <v>48537</v>
      </c>
      <c r="C265" s="5">
        <f>_xlfn.XLOOKUP(Hours_Sum[[#This Row],[Pay Due]],Dates_Ref[QCH due],Dates_Ref[Start],"",0)</f>
        <v>48519</v>
      </c>
      <c r="D265" s="5">
        <f>Hours_Sum[[#This Row],[PP Start]]+13</f>
        <v>48532</v>
      </c>
      <c r="E265">
        <f>SUM(Hours_Sum[[#This Row],[Reg Hrs]],Hours_Sum[[#This Row],[1.5x OT Hrs]],Hours_Sum[[#This Row],[2x OT Hrs]])</f>
        <v>0</v>
      </c>
      <c r="F265">
        <f>SUMIFS(Shift_Track[Reg
Hrs],Shift_Track[Pay Period],Hours_Sum[[#This Row],[Pay Due]])</f>
        <v>0</v>
      </c>
      <c r="G265">
        <f>SUMIFS(Shift_Track[1.5x OT
Hrs],Shift_Track[Pay Period],Hours_Sum[[#This Row],[Pay Due]])</f>
        <v>0</v>
      </c>
      <c r="H265">
        <f>SUMIFS(Shift_Track[2x OT
Hrs],Shift_Track[Pay Period],Hours_Sum[[#This Row],[Pay Due]])</f>
        <v>0</v>
      </c>
      <c r="I265">
        <f>SUM(Hours_Sum[[#This Row],[Reg Hrs]],1.5*Hours_Sum[[#This Row],[1.5x OT Hrs]],2*Hours_Sum[[#This Row],[2x OT Hrs]])</f>
        <v>0</v>
      </c>
      <c r="J265">
        <f>Hours_Sum[[#This Row],[Tot Hrs
(Converted)]]*22</f>
        <v>0</v>
      </c>
      <c r="K265">
        <f>YEAR(Hours_Sum[[#This Row],[Pay Due]])</f>
        <v>2032</v>
      </c>
      <c r="L265" t="str">
        <f>TEXT(Hours_Sum[[#This Row],[Pay Due]],"MMMM")</f>
        <v>November</v>
      </c>
    </row>
    <row r="266" spans="2:12" x14ac:dyDescent="0.25">
      <c r="B266" s="39">
        <v>48551</v>
      </c>
      <c r="C266" s="5">
        <f>_xlfn.XLOOKUP(Hours_Sum[[#This Row],[Pay Due]],Dates_Ref[QCH due],Dates_Ref[Start],"",0)</f>
        <v>48533</v>
      </c>
      <c r="D266" s="5">
        <f>Hours_Sum[[#This Row],[PP Start]]+13</f>
        <v>48546</v>
      </c>
      <c r="E266">
        <f>SUM(Hours_Sum[[#This Row],[Reg Hrs]],Hours_Sum[[#This Row],[1.5x OT Hrs]],Hours_Sum[[#This Row],[2x OT Hrs]])</f>
        <v>0</v>
      </c>
      <c r="F266">
        <f>SUMIFS(Shift_Track[Reg
Hrs],Shift_Track[Pay Period],Hours_Sum[[#This Row],[Pay Due]])</f>
        <v>0</v>
      </c>
      <c r="G266">
        <f>SUMIFS(Shift_Track[1.5x OT
Hrs],Shift_Track[Pay Period],Hours_Sum[[#This Row],[Pay Due]])</f>
        <v>0</v>
      </c>
      <c r="H266">
        <f>SUMIFS(Shift_Track[2x OT
Hrs],Shift_Track[Pay Period],Hours_Sum[[#This Row],[Pay Due]])</f>
        <v>0</v>
      </c>
      <c r="I266">
        <f>SUM(Hours_Sum[[#This Row],[Reg Hrs]],1.5*Hours_Sum[[#This Row],[1.5x OT Hrs]],2*Hours_Sum[[#This Row],[2x OT Hrs]])</f>
        <v>0</v>
      </c>
      <c r="J266">
        <f>Hours_Sum[[#This Row],[Tot Hrs
(Converted)]]*22</f>
        <v>0</v>
      </c>
      <c r="K266">
        <f>YEAR(Hours_Sum[[#This Row],[Pay Due]])</f>
        <v>2032</v>
      </c>
      <c r="L266" t="str">
        <f>TEXT(Hours_Sum[[#This Row],[Pay Due]],"MMMM")</f>
        <v>December</v>
      </c>
    </row>
    <row r="267" spans="2:12" x14ac:dyDescent="0.25">
      <c r="B267" s="39">
        <v>48565</v>
      </c>
      <c r="C267" s="5">
        <f>_xlfn.XLOOKUP(Hours_Sum[[#This Row],[Pay Due]],Dates_Ref[QCH due],Dates_Ref[Start],"",0)</f>
        <v>48547</v>
      </c>
      <c r="D267" s="5">
        <f>Hours_Sum[[#This Row],[PP Start]]+13</f>
        <v>48560</v>
      </c>
      <c r="E267">
        <f>SUM(Hours_Sum[[#This Row],[Reg Hrs]],Hours_Sum[[#This Row],[1.5x OT Hrs]],Hours_Sum[[#This Row],[2x OT Hrs]])</f>
        <v>0</v>
      </c>
      <c r="F267">
        <f>SUMIFS(Shift_Track[Reg
Hrs],Shift_Track[Pay Period],Hours_Sum[[#This Row],[Pay Due]])</f>
        <v>0</v>
      </c>
      <c r="G267">
        <f>SUMIFS(Shift_Track[1.5x OT
Hrs],Shift_Track[Pay Period],Hours_Sum[[#This Row],[Pay Due]])</f>
        <v>0</v>
      </c>
      <c r="H267">
        <f>SUMIFS(Shift_Track[2x OT
Hrs],Shift_Track[Pay Period],Hours_Sum[[#This Row],[Pay Due]])</f>
        <v>0</v>
      </c>
      <c r="I267">
        <f>SUM(Hours_Sum[[#This Row],[Reg Hrs]],1.5*Hours_Sum[[#This Row],[1.5x OT Hrs]],2*Hours_Sum[[#This Row],[2x OT Hrs]])</f>
        <v>0</v>
      </c>
      <c r="J267">
        <f>Hours_Sum[[#This Row],[Tot Hrs
(Converted)]]*22</f>
        <v>0</v>
      </c>
      <c r="K267">
        <f>YEAR(Hours_Sum[[#This Row],[Pay Due]])</f>
        <v>2032</v>
      </c>
      <c r="L267" t="str">
        <f>TEXT(Hours_Sum[[#This Row],[Pay Due]],"MMMM")</f>
        <v>December</v>
      </c>
    </row>
    <row r="268" spans="2:12" x14ac:dyDescent="0.25">
      <c r="B268" s="39">
        <v>48579</v>
      </c>
      <c r="C268" s="5">
        <f>_xlfn.XLOOKUP(Hours_Sum[[#This Row],[Pay Due]],Dates_Ref[QCH due],Dates_Ref[Start],"",0)</f>
        <v>48561</v>
      </c>
      <c r="D268" s="5">
        <f>Hours_Sum[[#This Row],[PP Start]]+13</f>
        <v>48574</v>
      </c>
      <c r="E268">
        <f>SUM(Hours_Sum[[#This Row],[Reg Hrs]],Hours_Sum[[#This Row],[1.5x OT Hrs]],Hours_Sum[[#This Row],[2x OT Hrs]])</f>
        <v>0</v>
      </c>
      <c r="F268">
        <f>SUMIFS(Shift_Track[Reg
Hrs],Shift_Track[Pay Period],Hours_Sum[[#This Row],[Pay Due]])</f>
        <v>0</v>
      </c>
      <c r="G268">
        <f>SUMIFS(Shift_Track[1.5x OT
Hrs],Shift_Track[Pay Period],Hours_Sum[[#This Row],[Pay Due]])</f>
        <v>0</v>
      </c>
      <c r="H268">
        <f>SUMIFS(Shift_Track[2x OT
Hrs],Shift_Track[Pay Period],Hours_Sum[[#This Row],[Pay Due]])</f>
        <v>0</v>
      </c>
      <c r="I268">
        <f>SUM(Hours_Sum[[#This Row],[Reg Hrs]],1.5*Hours_Sum[[#This Row],[1.5x OT Hrs]],2*Hours_Sum[[#This Row],[2x OT Hrs]])</f>
        <v>0</v>
      </c>
      <c r="J268">
        <f>Hours_Sum[[#This Row],[Tot Hrs
(Converted)]]*22</f>
        <v>0</v>
      </c>
      <c r="K268">
        <f>YEAR(Hours_Sum[[#This Row],[Pay Due]])</f>
        <v>2032</v>
      </c>
      <c r="L268" t="str">
        <f>TEXT(Hours_Sum[[#This Row],[Pay Due]],"MMMM")</f>
        <v>December</v>
      </c>
    </row>
    <row r="269" spans="2:12" x14ac:dyDescent="0.25">
      <c r="B269" s="39">
        <v>48593</v>
      </c>
      <c r="C269" s="5">
        <f>_xlfn.XLOOKUP(Hours_Sum[[#This Row],[Pay Due]],Dates_Ref[QCH due],Dates_Ref[Start],"",0)</f>
        <v>48575</v>
      </c>
      <c r="D269" s="5">
        <f>Hours_Sum[[#This Row],[PP Start]]+13</f>
        <v>48588</v>
      </c>
      <c r="E269">
        <f>SUM(Hours_Sum[[#This Row],[Reg Hrs]],Hours_Sum[[#This Row],[1.5x OT Hrs]],Hours_Sum[[#This Row],[2x OT Hrs]])</f>
        <v>0</v>
      </c>
      <c r="F269">
        <f>SUMIFS(Shift_Track[Reg
Hrs],Shift_Track[Pay Period],Hours_Sum[[#This Row],[Pay Due]])</f>
        <v>0</v>
      </c>
      <c r="G269">
        <f>SUMIFS(Shift_Track[1.5x OT
Hrs],Shift_Track[Pay Period],Hours_Sum[[#This Row],[Pay Due]])</f>
        <v>0</v>
      </c>
      <c r="H269">
        <f>SUMIFS(Shift_Track[2x OT
Hrs],Shift_Track[Pay Period],Hours_Sum[[#This Row],[Pay Due]])</f>
        <v>0</v>
      </c>
      <c r="I269">
        <f>SUM(Hours_Sum[[#This Row],[Reg Hrs]],1.5*Hours_Sum[[#This Row],[1.5x OT Hrs]],2*Hours_Sum[[#This Row],[2x OT Hrs]])</f>
        <v>0</v>
      </c>
      <c r="J269">
        <f>Hours_Sum[[#This Row],[Tot Hrs
(Converted)]]*22</f>
        <v>0</v>
      </c>
      <c r="K269">
        <f>YEAR(Hours_Sum[[#This Row],[Pay Due]])</f>
        <v>2033</v>
      </c>
      <c r="L269" t="str">
        <f>TEXT(Hours_Sum[[#This Row],[Pay Due]],"MMMM")</f>
        <v>January</v>
      </c>
    </row>
    <row r="270" spans="2:12" x14ac:dyDescent="0.25">
      <c r="B270" s="39">
        <v>48607</v>
      </c>
      <c r="C270" s="5">
        <f>_xlfn.XLOOKUP(Hours_Sum[[#This Row],[Pay Due]],Dates_Ref[QCH due],Dates_Ref[Start],"",0)</f>
        <v>48589</v>
      </c>
      <c r="D270" s="5">
        <f>Hours_Sum[[#This Row],[PP Start]]+13</f>
        <v>48602</v>
      </c>
      <c r="E270">
        <f>SUM(Hours_Sum[[#This Row],[Reg Hrs]],Hours_Sum[[#This Row],[1.5x OT Hrs]],Hours_Sum[[#This Row],[2x OT Hrs]])</f>
        <v>0</v>
      </c>
      <c r="F270">
        <f>SUMIFS(Shift_Track[Reg
Hrs],Shift_Track[Pay Period],Hours_Sum[[#This Row],[Pay Due]])</f>
        <v>0</v>
      </c>
      <c r="G270">
        <f>SUMIFS(Shift_Track[1.5x OT
Hrs],Shift_Track[Pay Period],Hours_Sum[[#This Row],[Pay Due]])</f>
        <v>0</v>
      </c>
      <c r="H270">
        <f>SUMIFS(Shift_Track[2x OT
Hrs],Shift_Track[Pay Period],Hours_Sum[[#This Row],[Pay Due]])</f>
        <v>0</v>
      </c>
      <c r="I270">
        <f>SUM(Hours_Sum[[#This Row],[Reg Hrs]],1.5*Hours_Sum[[#This Row],[1.5x OT Hrs]],2*Hours_Sum[[#This Row],[2x OT Hrs]])</f>
        <v>0</v>
      </c>
      <c r="J270">
        <f>Hours_Sum[[#This Row],[Tot Hrs
(Converted)]]*22</f>
        <v>0</v>
      </c>
      <c r="K270">
        <f>YEAR(Hours_Sum[[#This Row],[Pay Due]])</f>
        <v>2033</v>
      </c>
      <c r="L270" t="str">
        <f>TEXT(Hours_Sum[[#This Row],[Pay Due]],"MMMM")</f>
        <v>January</v>
      </c>
    </row>
    <row r="271" spans="2:12" x14ac:dyDescent="0.25">
      <c r="B271" s="39">
        <v>48621</v>
      </c>
      <c r="C271" s="5">
        <f>_xlfn.XLOOKUP(Hours_Sum[[#This Row],[Pay Due]],Dates_Ref[QCH due],Dates_Ref[Start],"",0)</f>
        <v>48603</v>
      </c>
      <c r="D271" s="5">
        <f>Hours_Sum[[#This Row],[PP Start]]+13</f>
        <v>48616</v>
      </c>
      <c r="E271">
        <f>SUM(Hours_Sum[[#This Row],[Reg Hrs]],Hours_Sum[[#This Row],[1.5x OT Hrs]],Hours_Sum[[#This Row],[2x OT Hrs]])</f>
        <v>0</v>
      </c>
      <c r="F271">
        <f>SUMIFS(Shift_Track[Reg
Hrs],Shift_Track[Pay Period],Hours_Sum[[#This Row],[Pay Due]])</f>
        <v>0</v>
      </c>
      <c r="G271">
        <f>SUMIFS(Shift_Track[1.5x OT
Hrs],Shift_Track[Pay Period],Hours_Sum[[#This Row],[Pay Due]])</f>
        <v>0</v>
      </c>
      <c r="H271">
        <f>SUMIFS(Shift_Track[2x OT
Hrs],Shift_Track[Pay Period],Hours_Sum[[#This Row],[Pay Due]])</f>
        <v>0</v>
      </c>
      <c r="I271">
        <f>SUM(Hours_Sum[[#This Row],[Reg Hrs]],1.5*Hours_Sum[[#This Row],[1.5x OT Hrs]],2*Hours_Sum[[#This Row],[2x OT Hrs]])</f>
        <v>0</v>
      </c>
      <c r="J271">
        <f>Hours_Sum[[#This Row],[Tot Hrs
(Converted)]]*22</f>
        <v>0</v>
      </c>
      <c r="K271">
        <f>YEAR(Hours_Sum[[#This Row],[Pay Due]])</f>
        <v>2033</v>
      </c>
      <c r="L271" t="str">
        <f>TEXT(Hours_Sum[[#This Row],[Pay Due]],"MMMM")</f>
        <v>February</v>
      </c>
    </row>
    <row r="272" spans="2:12" x14ac:dyDescent="0.25">
      <c r="B272" s="39">
        <v>48635</v>
      </c>
      <c r="C272" s="5">
        <f>_xlfn.XLOOKUP(Hours_Sum[[#This Row],[Pay Due]],Dates_Ref[QCH due],Dates_Ref[Start],"",0)</f>
        <v>48617</v>
      </c>
      <c r="D272" s="5">
        <f>Hours_Sum[[#This Row],[PP Start]]+13</f>
        <v>48630</v>
      </c>
      <c r="E272">
        <f>SUM(Hours_Sum[[#This Row],[Reg Hrs]],Hours_Sum[[#This Row],[1.5x OT Hrs]],Hours_Sum[[#This Row],[2x OT Hrs]])</f>
        <v>0</v>
      </c>
      <c r="F272">
        <f>SUMIFS(Shift_Track[Reg
Hrs],Shift_Track[Pay Period],Hours_Sum[[#This Row],[Pay Due]])</f>
        <v>0</v>
      </c>
      <c r="G272">
        <f>SUMIFS(Shift_Track[1.5x OT
Hrs],Shift_Track[Pay Period],Hours_Sum[[#This Row],[Pay Due]])</f>
        <v>0</v>
      </c>
      <c r="H272">
        <f>SUMIFS(Shift_Track[2x OT
Hrs],Shift_Track[Pay Period],Hours_Sum[[#This Row],[Pay Due]])</f>
        <v>0</v>
      </c>
      <c r="I272">
        <f>SUM(Hours_Sum[[#This Row],[Reg Hrs]],1.5*Hours_Sum[[#This Row],[1.5x OT Hrs]],2*Hours_Sum[[#This Row],[2x OT Hrs]])</f>
        <v>0</v>
      </c>
      <c r="J272">
        <f>Hours_Sum[[#This Row],[Tot Hrs
(Converted)]]*22</f>
        <v>0</v>
      </c>
      <c r="K272">
        <f>YEAR(Hours_Sum[[#This Row],[Pay Due]])</f>
        <v>2033</v>
      </c>
      <c r="L272" t="str">
        <f>TEXT(Hours_Sum[[#This Row],[Pay Due]],"MMMM")</f>
        <v>February</v>
      </c>
    </row>
    <row r="273" spans="2:12" x14ac:dyDescent="0.25">
      <c r="B273" s="39">
        <v>48649</v>
      </c>
      <c r="C273" s="5">
        <f>_xlfn.XLOOKUP(Hours_Sum[[#This Row],[Pay Due]],Dates_Ref[QCH due],Dates_Ref[Start],"",0)</f>
        <v>48631</v>
      </c>
      <c r="D273" s="5">
        <f>Hours_Sum[[#This Row],[PP Start]]+13</f>
        <v>48644</v>
      </c>
      <c r="E273">
        <f>SUM(Hours_Sum[[#This Row],[Reg Hrs]],Hours_Sum[[#This Row],[1.5x OT Hrs]],Hours_Sum[[#This Row],[2x OT Hrs]])</f>
        <v>0</v>
      </c>
      <c r="F273">
        <f>SUMIFS(Shift_Track[Reg
Hrs],Shift_Track[Pay Period],Hours_Sum[[#This Row],[Pay Due]])</f>
        <v>0</v>
      </c>
      <c r="G273">
        <f>SUMIFS(Shift_Track[1.5x OT
Hrs],Shift_Track[Pay Period],Hours_Sum[[#This Row],[Pay Due]])</f>
        <v>0</v>
      </c>
      <c r="H273">
        <f>SUMIFS(Shift_Track[2x OT
Hrs],Shift_Track[Pay Period],Hours_Sum[[#This Row],[Pay Due]])</f>
        <v>0</v>
      </c>
      <c r="I273">
        <f>SUM(Hours_Sum[[#This Row],[Reg Hrs]],1.5*Hours_Sum[[#This Row],[1.5x OT Hrs]],2*Hours_Sum[[#This Row],[2x OT Hrs]])</f>
        <v>0</v>
      </c>
      <c r="J273">
        <f>Hours_Sum[[#This Row],[Tot Hrs
(Converted)]]*22</f>
        <v>0</v>
      </c>
      <c r="K273">
        <f>YEAR(Hours_Sum[[#This Row],[Pay Due]])</f>
        <v>2033</v>
      </c>
      <c r="L273" t="str">
        <f>TEXT(Hours_Sum[[#This Row],[Pay Due]],"MMMM")</f>
        <v>March</v>
      </c>
    </row>
    <row r="274" spans="2:12" x14ac:dyDescent="0.25">
      <c r="B274" s="39">
        <v>48663</v>
      </c>
      <c r="C274" s="5">
        <f>_xlfn.XLOOKUP(Hours_Sum[[#This Row],[Pay Due]],Dates_Ref[QCH due],Dates_Ref[Start],"",0)</f>
        <v>48645</v>
      </c>
      <c r="D274" s="5">
        <f>Hours_Sum[[#This Row],[PP Start]]+13</f>
        <v>48658</v>
      </c>
      <c r="E274">
        <f>SUM(Hours_Sum[[#This Row],[Reg Hrs]],Hours_Sum[[#This Row],[1.5x OT Hrs]],Hours_Sum[[#This Row],[2x OT Hrs]])</f>
        <v>0</v>
      </c>
      <c r="F274">
        <f>SUMIFS(Shift_Track[Reg
Hrs],Shift_Track[Pay Period],Hours_Sum[[#This Row],[Pay Due]])</f>
        <v>0</v>
      </c>
      <c r="G274">
        <f>SUMIFS(Shift_Track[1.5x OT
Hrs],Shift_Track[Pay Period],Hours_Sum[[#This Row],[Pay Due]])</f>
        <v>0</v>
      </c>
      <c r="H274">
        <f>SUMIFS(Shift_Track[2x OT
Hrs],Shift_Track[Pay Period],Hours_Sum[[#This Row],[Pay Due]])</f>
        <v>0</v>
      </c>
      <c r="I274">
        <f>SUM(Hours_Sum[[#This Row],[Reg Hrs]],1.5*Hours_Sum[[#This Row],[1.5x OT Hrs]],2*Hours_Sum[[#This Row],[2x OT Hrs]])</f>
        <v>0</v>
      </c>
      <c r="J274">
        <f>Hours_Sum[[#This Row],[Tot Hrs
(Converted)]]*22</f>
        <v>0</v>
      </c>
      <c r="K274">
        <f>YEAR(Hours_Sum[[#This Row],[Pay Due]])</f>
        <v>2033</v>
      </c>
      <c r="L274" t="str">
        <f>TEXT(Hours_Sum[[#This Row],[Pay Due]],"MMMM")</f>
        <v>March</v>
      </c>
    </row>
    <row r="275" spans="2:12" x14ac:dyDescent="0.25">
      <c r="B275" s="39">
        <v>48677</v>
      </c>
      <c r="C275" s="5">
        <f>_xlfn.XLOOKUP(Hours_Sum[[#This Row],[Pay Due]],Dates_Ref[QCH due],Dates_Ref[Start],"",0)</f>
        <v>48659</v>
      </c>
      <c r="D275" s="5">
        <f>Hours_Sum[[#This Row],[PP Start]]+13</f>
        <v>48672</v>
      </c>
      <c r="E275">
        <f>SUM(Hours_Sum[[#This Row],[Reg Hrs]],Hours_Sum[[#This Row],[1.5x OT Hrs]],Hours_Sum[[#This Row],[2x OT Hrs]])</f>
        <v>0</v>
      </c>
      <c r="F275">
        <f>SUMIFS(Shift_Track[Reg
Hrs],Shift_Track[Pay Period],Hours_Sum[[#This Row],[Pay Due]])</f>
        <v>0</v>
      </c>
      <c r="G275">
        <f>SUMIFS(Shift_Track[1.5x OT
Hrs],Shift_Track[Pay Period],Hours_Sum[[#This Row],[Pay Due]])</f>
        <v>0</v>
      </c>
      <c r="H275">
        <f>SUMIFS(Shift_Track[2x OT
Hrs],Shift_Track[Pay Period],Hours_Sum[[#This Row],[Pay Due]])</f>
        <v>0</v>
      </c>
      <c r="I275">
        <f>SUM(Hours_Sum[[#This Row],[Reg Hrs]],1.5*Hours_Sum[[#This Row],[1.5x OT Hrs]],2*Hours_Sum[[#This Row],[2x OT Hrs]])</f>
        <v>0</v>
      </c>
      <c r="J275">
        <f>Hours_Sum[[#This Row],[Tot Hrs
(Converted)]]*22</f>
        <v>0</v>
      </c>
      <c r="K275">
        <f>YEAR(Hours_Sum[[#This Row],[Pay Due]])</f>
        <v>2033</v>
      </c>
      <c r="L275" t="str">
        <f>TEXT(Hours_Sum[[#This Row],[Pay Due]],"MMMM")</f>
        <v>April</v>
      </c>
    </row>
    <row r="276" spans="2:12" x14ac:dyDescent="0.25">
      <c r="B276" s="39">
        <v>48691</v>
      </c>
      <c r="C276" s="5">
        <f>_xlfn.XLOOKUP(Hours_Sum[[#This Row],[Pay Due]],Dates_Ref[QCH due],Dates_Ref[Start],"",0)</f>
        <v>48673</v>
      </c>
      <c r="D276" s="5">
        <f>Hours_Sum[[#This Row],[PP Start]]+13</f>
        <v>48686</v>
      </c>
      <c r="E276">
        <f>SUM(Hours_Sum[[#This Row],[Reg Hrs]],Hours_Sum[[#This Row],[1.5x OT Hrs]],Hours_Sum[[#This Row],[2x OT Hrs]])</f>
        <v>0</v>
      </c>
      <c r="F276">
        <f>SUMIFS(Shift_Track[Reg
Hrs],Shift_Track[Pay Period],Hours_Sum[[#This Row],[Pay Due]])</f>
        <v>0</v>
      </c>
      <c r="G276">
        <f>SUMIFS(Shift_Track[1.5x OT
Hrs],Shift_Track[Pay Period],Hours_Sum[[#This Row],[Pay Due]])</f>
        <v>0</v>
      </c>
      <c r="H276">
        <f>SUMIFS(Shift_Track[2x OT
Hrs],Shift_Track[Pay Period],Hours_Sum[[#This Row],[Pay Due]])</f>
        <v>0</v>
      </c>
      <c r="I276">
        <f>SUM(Hours_Sum[[#This Row],[Reg Hrs]],1.5*Hours_Sum[[#This Row],[1.5x OT Hrs]],2*Hours_Sum[[#This Row],[2x OT Hrs]])</f>
        <v>0</v>
      </c>
      <c r="J276">
        <f>Hours_Sum[[#This Row],[Tot Hrs
(Converted)]]*22</f>
        <v>0</v>
      </c>
      <c r="K276">
        <f>YEAR(Hours_Sum[[#This Row],[Pay Due]])</f>
        <v>2033</v>
      </c>
      <c r="L276" t="str">
        <f>TEXT(Hours_Sum[[#This Row],[Pay Due]],"MMMM")</f>
        <v>April</v>
      </c>
    </row>
    <row r="277" spans="2:12" x14ac:dyDescent="0.25">
      <c r="B277" s="39">
        <v>48705</v>
      </c>
      <c r="C277" s="5">
        <f>_xlfn.XLOOKUP(Hours_Sum[[#This Row],[Pay Due]],Dates_Ref[QCH due],Dates_Ref[Start],"",0)</f>
        <v>48687</v>
      </c>
      <c r="D277" s="5">
        <f>Hours_Sum[[#This Row],[PP Start]]+13</f>
        <v>48700</v>
      </c>
      <c r="E277">
        <f>SUM(Hours_Sum[[#This Row],[Reg Hrs]],Hours_Sum[[#This Row],[1.5x OT Hrs]],Hours_Sum[[#This Row],[2x OT Hrs]])</f>
        <v>0</v>
      </c>
      <c r="F277">
        <f>SUMIFS(Shift_Track[Reg
Hrs],Shift_Track[Pay Period],Hours_Sum[[#This Row],[Pay Due]])</f>
        <v>0</v>
      </c>
      <c r="G277">
        <f>SUMIFS(Shift_Track[1.5x OT
Hrs],Shift_Track[Pay Period],Hours_Sum[[#This Row],[Pay Due]])</f>
        <v>0</v>
      </c>
      <c r="H277">
        <f>SUMIFS(Shift_Track[2x OT
Hrs],Shift_Track[Pay Period],Hours_Sum[[#This Row],[Pay Due]])</f>
        <v>0</v>
      </c>
      <c r="I277">
        <f>SUM(Hours_Sum[[#This Row],[Reg Hrs]],1.5*Hours_Sum[[#This Row],[1.5x OT Hrs]],2*Hours_Sum[[#This Row],[2x OT Hrs]])</f>
        <v>0</v>
      </c>
      <c r="J277">
        <f>Hours_Sum[[#This Row],[Tot Hrs
(Converted)]]*22</f>
        <v>0</v>
      </c>
      <c r="K277">
        <f>YEAR(Hours_Sum[[#This Row],[Pay Due]])</f>
        <v>2033</v>
      </c>
      <c r="L277" t="str">
        <f>TEXT(Hours_Sum[[#This Row],[Pay Due]],"MMMM")</f>
        <v>May</v>
      </c>
    </row>
    <row r="278" spans="2:12" x14ac:dyDescent="0.25">
      <c r="B278" s="39">
        <v>48719</v>
      </c>
      <c r="C278" s="5">
        <f>_xlfn.XLOOKUP(Hours_Sum[[#This Row],[Pay Due]],Dates_Ref[QCH due],Dates_Ref[Start],"",0)</f>
        <v>48701</v>
      </c>
      <c r="D278" s="5">
        <f>Hours_Sum[[#This Row],[PP Start]]+13</f>
        <v>48714</v>
      </c>
      <c r="E278">
        <f>SUM(Hours_Sum[[#This Row],[Reg Hrs]],Hours_Sum[[#This Row],[1.5x OT Hrs]],Hours_Sum[[#This Row],[2x OT Hrs]])</f>
        <v>0</v>
      </c>
      <c r="F278">
        <f>SUMIFS(Shift_Track[Reg
Hrs],Shift_Track[Pay Period],Hours_Sum[[#This Row],[Pay Due]])</f>
        <v>0</v>
      </c>
      <c r="G278">
        <f>SUMIFS(Shift_Track[1.5x OT
Hrs],Shift_Track[Pay Period],Hours_Sum[[#This Row],[Pay Due]])</f>
        <v>0</v>
      </c>
      <c r="H278">
        <f>SUMIFS(Shift_Track[2x OT
Hrs],Shift_Track[Pay Period],Hours_Sum[[#This Row],[Pay Due]])</f>
        <v>0</v>
      </c>
      <c r="I278">
        <f>SUM(Hours_Sum[[#This Row],[Reg Hrs]],1.5*Hours_Sum[[#This Row],[1.5x OT Hrs]],2*Hours_Sum[[#This Row],[2x OT Hrs]])</f>
        <v>0</v>
      </c>
      <c r="J278">
        <f>Hours_Sum[[#This Row],[Tot Hrs
(Converted)]]*22</f>
        <v>0</v>
      </c>
      <c r="K278">
        <f>YEAR(Hours_Sum[[#This Row],[Pay Due]])</f>
        <v>2033</v>
      </c>
      <c r="L278" t="str">
        <f>TEXT(Hours_Sum[[#This Row],[Pay Due]],"MMMM")</f>
        <v>May</v>
      </c>
    </row>
    <row r="279" spans="2:12" x14ac:dyDescent="0.25">
      <c r="B279" s="39">
        <v>48733</v>
      </c>
      <c r="C279" s="5">
        <f>_xlfn.XLOOKUP(Hours_Sum[[#This Row],[Pay Due]],Dates_Ref[QCH due],Dates_Ref[Start],"",0)</f>
        <v>48715</v>
      </c>
      <c r="D279" s="5">
        <f>Hours_Sum[[#This Row],[PP Start]]+13</f>
        <v>48728</v>
      </c>
      <c r="E279">
        <f>SUM(Hours_Sum[[#This Row],[Reg Hrs]],Hours_Sum[[#This Row],[1.5x OT Hrs]],Hours_Sum[[#This Row],[2x OT Hrs]])</f>
        <v>0</v>
      </c>
      <c r="F279">
        <f>SUMIFS(Shift_Track[Reg
Hrs],Shift_Track[Pay Period],Hours_Sum[[#This Row],[Pay Due]])</f>
        <v>0</v>
      </c>
      <c r="G279">
        <f>SUMIFS(Shift_Track[1.5x OT
Hrs],Shift_Track[Pay Period],Hours_Sum[[#This Row],[Pay Due]])</f>
        <v>0</v>
      </c>
      <c r="H279">
        <f>SUMIFS(Shift_Track[2x OT
Hrs],Shift_Track[Pay Period],Hours_Sum[[#This Row],[Pay Due]])</f>
        <v>0</v>
      </c>
      <c r="I279">
        <f>SUM(Hours_Sum[[#This Row],[Reg Hrs]],1.5*Hours_Sum[[#This Row],[1.5x OT Hrs]],2*Hours_Sum[[#This Row],[2x OT Hrs]])</f>
        <v>0</v>
      </c>
      <c r="J279">
        <f>Hours_Sum[[#This Row],[Tot Hrs
(Converted)]]*22</f>
        <v>0</v>
      </c>
      <c r="K279">
        <f>YEAR(Hours_Sum[[#This Row],[Pay Due]])</f>
        <v>2033</v>
      </c>
      <c r="L279" t="str">
        <f>TEXT(Hours_Sum[[#This Row],[Pay Due]],"MMMM")</f>
        <v>June</v>
      </c>
    </row>
    <row r="280" spans="2:12" x14ac:dyDescent="0.25">
      <c r="B280" s="39">
        <v>48747</v>
      </c>
      <c r="C280" s="5">
        <f>_xlfn.XLOOKUP(Hours_Sum[[#This Row],[Pay Due]],Dates_Ref[QCH due],Dates_Ref[Start],"",0)</f>
        <v>48729</v>
      </c>
      <c r="D280" s="5">
        <f>Hours_Sum[[#This Row],[PP Start]]+13</f>
        <v>48742</v>
      </c>
      <c r="E280">
        <f>SUM(Hours_Sum[[#This Row],[Reg Hrs]],Hours_Sum[[#This Row],[1.5x OT Hrs]],Hours_Sum[[#This Row],[2x OT Hrs]])</f>
        <v>0</v>
      </c>
      <c r="F280">
        <f>SUMIFS(Shift_Track[Reg
Hrs],Shift_Track[Pay Period],Hours_Sum[[#This Row],[Pay Due]])</f>
        <v>0</v>
      </c>
      <c r="G280">
        <f>SUMIFS(Shift_Track[1.5x OT
Hrs],Shift_Track[Pay Period],Hours_Sum[[#This Row],[Pay Due]])</f>
        <v>0</v>
      </c>
      <c r="H280">
        <f>SUMIFS(Shift_Track[2x OT
Hrs],Shift_Track[Pay Period],Hours_Sum[[#This Row],[Pay Due]])</f>
        <v>0</v>
      </c>
      <c r="I280">
        <f>SUM(Hours_Sum[[#This Row],[Reg Hrs]],1.5*Hours_Sum[[#This Row],[1.5x OT Hrs]],2*Hours_Sum[[#This Row],[2x OT Hrs]])</f>
        <v>0</v>
      </c>
      <c r="J280">
        <f>Hours_Sum[[#This Row],[Tot Hrs
(Converted)]]*22</f>
        <v>0</v>
      </c>
      <c r="K280">
        <f>YEAR(Hours_Sum[[#This Row],[Pay Due]])</f>
        <v>2033</v>
      </c>
      <c r="L280" t="str">
        <f>TEXT(Hours_Sum[[#This Row],[Pay Due]],"MMMM")</f>
        <v>June</v>
      </c>
    </row>
    <row r="281" spans="2:12" x14ac:dyDescent="0.25">
      <c r="B281" s="39">
        <v>48761</v>
      </c>
      <c r="C281" s="5">
        <f>_xlfn.XLOOKUP(Hours_Sum[[#This Row],[Pay Due]],Dates_Ref[QCH due],Dates_Ref[Start],"",0)</f>
        <v>48743</v>
      </c>
      <c r="D281" s="5">
        <f>Hours_Sum[[#This Row],[PP Start]]+13</f>
        <v>48756</v>
      </c>
      <c r="E281">
        <f>SUM(Hours_Sum[[#This Row],[Reg Hrs]],Hours_Sum[[#This Row],[1.5x OT Hrs]],Hours_Sum[[#This Row],[2x OT Hrs]])</f>
        <v>0</v>
      </c>
      <c r="F281">
        <f>SUMIFS(Shift_Track[Reg
Hrs],Shift_Track[Pay Period],Hours_Sum[[#This Row],[Pay Due]])</f>
        <v>0</v>
      </c>
      <c r="G281">
        <f>SUMIFS(Shift_Track[1.5x OT
Hrs],Shift_Track[Pay Period],Hours_Sum[[#This Row],[Pay Due]])</f>
        <v>0</v>
      </c>
      <c r="H281">
        <f>SUMIFS(Shift_Track[2x OT
Hrs],Shift_Track[Pay Period],Hours_Sum[[#This Row],[Pay Due]])</f>
        <v>0</v>
      </c>
      <c r="I281">
        <f>SUM(Hours_Sum[[#This Row],[Reg Hrs]],1.5*Hours_Sum[[#This Row],[1.5x OT Hrs]],2*Hours_Sum[[#This Row],[2x OT Hrs]])</f>
        <v>0</v>
      </c>
      <c r="J281">
        <f>Hours_Sum[[#This Row],[Tot Hrs
(Converted)]]*22</f>
        <v>0</v>
      </c>
      <c r="K281">
        <f>YEAR(Hours_Sum[[#This Row],[Pay Due]])</f>
        <v>2033</v>
      </c>
      <c r="L281" t="str">
        <f>TEXT(Hours_Sum[[#This Row],[Pay Due]],"MMMM")</f>
        <v>July</v>
      </c>
    </row>
    <row r="282" spans="2:12" x14ac:dyDescent="0.25">
      <c r="B282" s="39">
        <v>48775</v>
      </c>
      <c r="C282" s="5">
        <f>_xlfn.XLOOKUP(Hours_Sum[[#This Row],[Pay Due]],Dates_Ref[QCH due],Dates_Ref[Start],"",0)</f>
        <v>48757</v>
      </c>
      <c r="D282" s="5">
        <f>Hours_Sum[[#This Row],[PP Start]]+13</f>
        <v>48770</v>
      </c>
      <c r="E282">
        <f>SUM(Hours_Sum[[#This Row],[Reg Hrs]],Hours_Sum[[#This Row],[1.5x OT Hrs]],Hours_Sum[[#This Row],[2x OT Hrs]])</f>
        <v>0</v>
      </c>
      <c r="F282">
        <f>SUMIFS(Shift_Track[Reg
Hrs],Shift_Track[Pay Period],Hours_Sum[[#This Row],[Pay Due]])</f>
        <v>0</v>
      </c>
      <c r="G282">
        <f>SUMIFS(Shift_Track[1.5x OT
Hrs],Shift_Track[Pay Period],Hours_Sum[[#This Row],[Pay Due]])</f>
        <v>0</v>
      </c>
      <c r="H282">
        <f>SUMIFS(Shift_Track[2x OT
Hrs],Shift_Track[Pay Period],Hours_Sum[[#This Row],[Pay Due]])</f>
        <v>0</v>
      </c>
      <c r="I282">
        <f>SUM(Hours_Sum[[#This Row],[Reg Hrs]],1.5*Hours_Sum[[#This Row],[1.5x OT Hrs]],2*Hours_Sum[[#This Row],[2x OT Hrs]])</f>
        <v>0</v>
      </c>
      <c r="J282">
        <f>Hours_Sum[[#This Row],[Tot Hrs
(Converted)]]*22</f>
        <v>0</v>
      </c>
      <c r="K282">
        <f>YEAR(Hours_Sum[[#This Row],[Pay Due]])</f>
        <v>2033</v>
      </c>
      <c r="L282" t="str">
        <f>TEXT(Hours_Sum[[#This Row],[Pay Due]],"MMMM")</f>
        <v>July</v>
      </c>
    </row>
    <row r="283" spans="2:12" x14ac:dyDescent="0.25">
      <c r="B283" s="39">
        <v>48789</v>
      </c>
      <c r="C283" s="5">
        <f>_xlfn.XLOOKUP(Hours_Sum[[#This Row],[Pay Due]],Dates_Ref[QCH due],Dates_Ref[Start],"",0)</f>
        <v>48771</v>
      </c>
      <c r="D283" s="5">
        <f>Hours_Sum[[#This Row],[PP Start]]+13</f>
        <v>48784</v>
      </c>
      <c r="E283">
        <f>SUM(Hours_Sum[[#This Row],[Reg Hrs]],Hours_Sum[[#This Row],[1.5x OT Hrs]],Hours_Sum[[#This Row],[2x OT Hrs]])</f>
        <v>0</v>
      </c>
      <c r="F283">
        <f>SUMIFS(Shift_Track[Reg
Hrs],Shift_Track[Pay Period],Hours_Sum[[#This Row],[Pay Due]])</f>
        <v>0</v>
      </c>
      <c r="G283">
        <f>SUMIFS(Shift_Track[1.5x OT
Hrs],Shift_Track[Pay Period],Hours_Sum[[#This Row],[Pay Due]])</f>
        <v>0</v>
      </c>
      <c r="H283">
        <f>SUMIFS(Shift_Track[2x OT
Hrs],Shift_Track[Pay Period],Hours_Sum[[#This Row],[Pay Due]])</f>
        <v>0</v>
      </c>
      <c r="I283">
        <f>SUM(Hours_Sum[[#This Row],[Reg Hrs]],1.5*Hours_Sum[[#This Row],[1.5x OT Hrs]],2*Hours_Sum[[#This Row],[2x OT Hrs]])</f>
        <v>0</v>
      </c>
      <c r="J283">
        <f>Hours_Sum[[#This Row],[Tot Hrs
(Converted)]]*22</f>
        <v>0</v>
      </c>
      <c r="K283">
        <f>YEAR(Hours_Sum[[#This Row],[Pay Due]])</f>
        <v>2033</v>
      </c>
      <c r="L283" t="str">
        <f>TEXT(Hours_Sum[[#This Row],[Pay Due]],"MMMM")</f>
        <v>July</v>
      </c>
    </row>
    <row r="284" spans="2:12" x14ac:dyDescent="0.25">
      <c r="B284" s="39">
        <v>48803</v>
      </c>
      <c r="C284" s="5">
        <f>_xlfn.XLOOKUP(Hours_Sum[[#This Row],[Pay Due]],Dates_Ref[QCH due],Dates_Ref[Start],"",0)</f>
        <v>48785</v>
      </c>
      <c r="D284" s="5">
        <f>Hours_Sum[[#This Row],[PP Start]]+13</f>
        <v>48798</v>
      </c>
      <c r="E284">
        <f>SUM(Hours_Sum[[#This Row],[Reg Hrs]],Hours_Sum[[#This Row],[1.5x OT Hrs]],Hours_Sum[[#This Row],[2x OT Hrs]])</f>
        <v>0</v>
      </c>
      <c r="F284">
        <f>SUMIFS(Shift_Track[Reg
Hrs],Shift_Track[Pay Period],Hours_Sum[[#This Row],[Pay Due]])</f>
        <v>0</v>
      </c>
      <c r="G284">
        <f>SUMIFS(Shift_Track[1.5x OT
Hrs],Shift_Track[Pay Period],Hours_Sum[[#This Row],[Pay Due]])</f>
        <v>0</v>
      </c>
      <c r="H284">
        <f>SUMIFS(Shift_Track[2x OT
Hrs],Shift_Track[Pay Period],Hours_Sum[[#This Row],[Pay Due]])</f>
        <v>0</v>
      </c>
      <c r="I284">
        <f>SUM(Hours_Sum[[#This Row],[Reg Hrs]],1.5*Hours_Sum[[#This Row],[1.5x OT Hrs]],2*Hours_Sum[[#This Row],[2x OT Hrs]])</f>
        <v>0</v>
      </c>
      <c r="J284">
        <f>Hours_Sum[[#This Row],[Tot Hrs
(Converted)]]*22</f>
        <v>0</v>
      </c>
      <c r="K284">
        <f>YEAR(Hours_Sum[[#This Row],[Pay Due]])</f>
        <v>2033</v>
      </c>
      <c r="L284" t="str">
        <f>TEXT(Hours_Sum[[#This Row],[Pay Due]],"MMMM")</f>
        <v>August</v>
      </c>
    </row>
    <row r="285" spans="2:12" x14ac:dyDescent="0.25">
      <c r="B285" s="39">
        <v>48817</v>
      </c>
      <c r="C285" s="5">
        <f>_xlfn.XLOOKUP(Hours_Sum[[#This Row],[Pay Due]],Dates_Ref[QCH due],Dates_Ref[Start],"",0)</f>
        <v>48799</v>
      </c>
      <c r="D285" s="5">
        <f>Hours_Sum[[#This Row],[PP Start]]+13</f>
        <v>48812</v>
      </c>
      <c r="E285">
        <f>SUM(Hours_Sum[[#This Row],[Reg Hrs]],Hours_Sum[[#This Row],[1.5x OT Hrs]],Hours_Sum[[#This Row],[2x OT Hrs]])</f>
        <v>0</v>
      </c>
      <c r="F285">
        <f>SUMIFS(Shift_Track[Reg
Hrs],Shift_Track[Pay Period],Hours_Sum[[#This Row],[Pay Due]])</f>
        <v>0</v>
      </c>
      <c r="G285">
        <f>SUMIFS(Shift_Track[1.5x OT
Hrs],Shift_Track[Pay Period],Hours_Sum[[#This Row],[Pay Due]])</f>
        <v>0</v>
      </c>
      <c r="H285">
        <f>SUMIFS(Shift_Track[2x OT
Hrs],Shift_Track[Pay Period],Hours_Sum[[#This Row],[Pay Due]])</f>
        <v>0</v>
      </c>
      <c r="I285">
        <f>SUM(Hours_Sum[[#This Row],[Reg Hrs]],1.5*Hours_Sum[[#This Row],[1.5x OT Hrs]],2*Hours_Sum[[#This Row],[2x OT Hrs]])</f>
        <v>0</v>
      </c>
      <c r="J285">
        <f>Hours_Sum[[#This Row],[Tot Hrs
(Converted)]]*22</f>
        <v>0</v>
      </c>
      <c r="K285">
        <f>YEAR(Hours_Sum[[#This Row],[Pay Due]])</f>
        <v>2033</v>
      </c>
      <c r="L285" t="str">
        <f>TEXT(Hours_Sum[[#This Row],[Pay Due]],"MMMM")</f>
        <v>August</v>
      </c>
    </row>
    <row r="286" spans="2:12" x14ac:dyDescent="0.25">
      <c r="B286" s="39">
        <v>48831</v>
      </c>
      <c r="C286" s="5">
        <f>_xlfn.XLOOKUP(Hours_Sum[[#This Row],[Pay Due]],Dates_Ref[QCH due],Dates_Ref[Start],"",0)</f>
        <v>48813</v>
      </c>
      <c r="D286" s="5">
        <f>Hours_Sum[[#This Row],[PP Start]]+13</f>
        <v>48826</v>
      </c>
      <c r="E286">
        <f>SUM(Hours_Sum[[#This Row],[Reg Hrs]],Hours_Sum[[#This Row],[1.5x OT Hrs]],Hours_Sum[[#This Row],[2x OT Hrs]])</f>
        <v>0</v>
      </c>
      <c r="F286">
        <f>SUMIFS(Shift_Track[Reg
Hrs],Shift_Track[Pay Period],Hours_Sum[[#This Row],[Pay Due]])</f>
        <v>0</v>
      </c>
      <c r="G286">
        <f>SUMIFS(Shift_Track[1.5x OT
Hrs],Shift_Track[Pay Period],Hours_Sum[[#This Row],[Pay Due]])</f>
        <v>0</v>
      </c>
      <c r="H286">
        <f>SUMIFS(Shift_Track[2x OT
Hrs],Shift_Track[Pay Period],Hours_Sum[[#This Row],[Pay Due]])</f>
        <v>0</v>
      </c>
      <c r="I286">
        <f>SUM(Hours_Sum[[#This Row],[Reg Hrs]],1.5*Hours_Sum[[#This Row],[1.5x OT Hrs]],2*Hours_Sum[[#This Row],[2x OT Hrs]])</f>
        <v>0</v>
      </c>
      <c r="J286">
        <f>Hours_Sum[[#This Row],[Tot Hrs
(Converted)]]*22</f>
        <v>0</v>
      </c>
      <c r="K286">
        <f>YEAR(Hours_Sum[[#This Row],[Pay Due]])</f>
        <v>2033</v>
      </c>
      <c r="L286" t="str">
        <f>TEXT(Hours_Sum[[#This Row],[Pay Due]],"MMMM")</f>
        <v>September</v>
      </c>
    </row>
    <row r="287" spans="2:12" x14ac:dyDescent="0.25">
      <c r="B287" s="39">
        <v>48845</v>
      </c>
      <c r="C287" s="5">
        <f>_xlfn.XLOOKUP(Hours_Sum[[#This Row],[Pay Due]],Dates_Ref[QCH due],Dates_Ref[Start],"",0)</f>
        <v>48827</v>
      </c>
      <c r="D287" s="5">
        <f>Hours_Sum[[#This Row],[PP Start]]+13</f>
        <v>48840</v>
      </c>
      <c r="E287">
        <f>SUM(Hours_Sum[[#This Row],[Reg Hrs]],Hours_Sum[[#This Row],[1.5x OT Hrs]],Hours_Sum[[#This Row],[2x OT Hrs]])</f>
        <v>0</v>
      </c>
      <c r="F287">
        <f>SUMIFS(Shift_Track[Reg
Hrs],Shift_Track[Pay Period],Hours_Sum[[#This Row],[Pay Due]])</f>
        <v>0</v>
      </c>
      <c r="G287">
        <f>SUMIFS(Shift_Track[1.5x OT
Hrs],Shift_Track[Pay Period],Hours_Sum[[#This Row],[Pay Due]])</f>
        <v>0</v>
      </c>
      <c r="H287">
        <f>SUMIFS(Shift_Track[2x OT
Hrs],Shift_Track[Pay Period],Hours_Sum[[#This Row],[Pay Due]])</f>
        <v>0</v>
      </c>
      <c r="I287">
        <f>SUM(Hours_Sum[[#This Row],[Reg Hrs]],1.5*Hours_Sum[[#This Row],[1.5x OT Hrs]],2*Hours_Sum[[#This Row],[2x OT Hrs]])</f>
        <v>0</v>
      </c>
      <c r="J287">
        <f>Hours_Sum[[#This Row],[Tot Hrs
(Converted)]]*22</f>
        <v>0</v>
      </c>
      <c r="K287">
        <f>YEAR(Hours_Sum[[#This Row],[Pay Due]])</f>
        <v>2033</v>
      </c>
      <c r="L287" t="str">
        <f>TEXT(Hours_Sum[[#This Row],[Pay Due]],"MMMM")</f>
        <v>September</v>
      </c>
    </row>
    <row r="288" spans="2:12" x14ac:dyDescent="0.25">
      <c r="B288" s="39">
        <v>48859</v>
      </c>
      <c r="C288" s="5">
        <f>_xlfn.XLOOKUP(Hours_Sum[[#This Row],[Pay Due]],Dates_Ref[QCH due],Dates_Ref[Start],"",0)</f>
        <v>48841</v>
      </c>
      <c r="D288" s="5">
        <f>Hours_Sum[[#This Row],[PP Start]]+13</f>
        <v>48854</v>
      </c>
      <c r="E288">
        <f>SUM(Hours_Sum[[#This Row],[Reg Hrs]],Hours_Sum[[#This Row],[1.5x OT Hrs]],Hours_Sum[[#This Row],[2x OT Hrs]])</f>
        <v>0</v>
      </c>
      <c r="F288">
        <f>SUMIFS(Shift_Track[Reg
Hrs],Shift_Track[Pay Period],Hours_Sum[[#This Row],[Pay Due]])</f>
        <v>0</v>
      </c>
      <c r="G288">
        <f>SUMIFS(Shift_Track[1.5x OT
Hrs],Shift_Track[Pay Period],Hours_Sum[[#This Row],[Pay Due]])</f>
        <v>0</v>
      </c>
      <c r="H288">
        <f>SUMIFS(Shift_Track[2x OT
Hrs],Shift_Track[Pay Period],Hours_Sum[[#This Row],[Pay Due]])</f>
        <v>0</v>
      </c>
      <c r="I288">
        <f>SUM(Hours_Sum[[#This Row],[Reg Hrs]],1.5*Hours_Sum[[#This Row],[1.5x OT Hrs]],2*Hours_Sum[[#This Row],[2x OT Hrs]])</f>
        <v>0</v>
      </c>
      <c r="J288">
        <f>Hours_Sum[[#This Row],[Tot Hrs
(Converted)]]*22</f>
        <v>0</v>
      </c>
      <c r="K288">
        <f>YEAR(Hours_Sum[[#This Row],[Pay Due]])</f>
        <v>2033</v>
      </c>
      <c r="L288" t="str">
        <f>TEXT(Hours_Sum[[#This Row],[Pay Due]],"MMMM")</f>
        <v>October</v>
      </c>
    </row>
    <row r="289" spans="2:12" x14ac:dyDescent="0.25">
      <c r="B289" s="39">
        <v>48873</v>
      </c>
      <c r="C289" s="5">
        <f>_xlfn.XLOOKUP(Hours_Sum[[#This Row],[Pay Due]],Dates_Ref[QCH due],Dates_Ref[Start],"",0)</f>
        <v>48855</v>
      </c>
      <c r="D289" s="5">
        <f>Hours_Sum[[#This Row],[PP Start]]+13</f>
        <v>48868</v>
      </c>
      <c r="E289">
        <f>SUM(Hours_Sum[[#This Row],[Reg Hrs]],Hours_Sum[[#This Row],[1.5x OT Hrs]],Hours_Sum[[#This Row],[2x OT Hrs]])</f>
        <v>0</v>
      </c>
      <c r="F289">
        <f>SUMIFS(Shift_Track[Reg
Hrs],Shift_Track[Pay Period],Hours_Sum[[#This Row],[Pay Due]])</f>
        <v>0</v>
      </c>
      <c r="G289">
        <f>SUMIFS(Shift_Track[1.5x OT
Hrs],Shift_Track[Pay Period],Hours_Sum[[#This Row],[Pay Due]])</f>
        <v>0</v>
      </c>
      <c r="H289">
        <f>SUMIFS(Shift_Track[2x OT
Hrs],Shift_Track[Pay Period],Hours_Sum[[#This Row],[Pay Due]])</f>
        <v>0</v>
      </c>
      <c r="I289">
        <f>SUM(Hours_Sum[[#This Row],[Reg Hrs]],1.5*Hours_Sum[[#This Row],[1.5x OT Hrs]],2*Hours_Sum[[#This Row],[2x OT Hrs]])</f>
        <v>0</v>
      </c>
      <c r="J289">
        <f>Hours_Sum[[#This Row],[Tot Hrs
(Converted)]]*22</f>
        <v>0</v>
      </c>
      <c r="K289">
        <f>YEAR(Hours_Sum[[#This Row],[Pay Due]])</f>
        <v>2033</v>
      </c>
      <c r="L289" t="str">
        <f>TEXT(Hours_Sum[[#This Row],[Pay Due]],"MMMM")</f>
        <v>October</v>
      </c>
    </row>
    <row r="290" spans="2:12" x14ac:dyDescent="0.25">
      <c r="B290" s="39">
        <v>48887</v>
      </c>
      <c r="C290" s="5">
        <f>_xlfn.XLOOKUP(Hours_Sum[[#This Row],[Pay Due]],Dates_Ref[QCH due],Dates_Ref[Start],"",0)</f>
        <v>48869</v>
      </c>
      <c r="D290" s="5">
        <f>Hours_Sum[[#This Row],[PP Start]]+13</f>
        <v>48882</v>
      </c>
      <c r="E290">
        <f>SUM(Hours_Sum[[#This Row],[Reg Hrs]],Hours_Sum[[#This Row],[1.5x OT Hrs]],Hours_Sum[[#This Row],[2x OT Hrs]])</f>
        <v>0</v>
      </c>
      <c r="F290">
        <f>SUMIFS(Shift_Track[Reg
Hrs],Shift_Track[Pay Period],Hours_Sum[[#This Row],[Pay Due]])</f>
        <v>0</v>
      </c>
      <c r="G290">
        <f>SUMIFS(Shift_Track[1.5x OT
Hrs],Shift_Track[Pay Period],Hours_Sum[[#This Row],[Pay Due]])</f>
        <v>0</v>
      </c>
      <c r="H290">
        <f>SUMIFS(Shift_Track[2x OT
Hrs],Shift_Track[Pay Period],Hours_Sum[[#This Row],[Pay Due]])</f>
        <v>0</v>
      </c>
      <c r="I290">
        <f>SUM(Hours_Sum[[#This Row],[Reg Hrs]],1.5*Hours_Sum[[#This Row],[1.5x OT Hrs]],2*Hours_Sum[[#This Row],[2x OT Hrs]])</f>
        <v>0</v>
      </c>
      <c r="J290">
        <f>Hours_Sum[[#This Row],[Tot Hrs
(Converted)]]*22</f>
        <v>0</v>
      </c>
      <c r="K290">
        <f>YEAR(Hours_Sum[[#This Row],[Pay Due]])</f>
        <v>2033</v>
      </c>
      <c r="L290" t="str">
        <f>TEXT(Hours_Sum[[#This Row],[Pay Due]],"MMMM")</f>
        <v>November</v>
      </c>
    </row>
    <row r="291" spans="2:12" x14ac:dyDescent="0.25">
      <c r="B291" s="39">
        <v>48901</v>
      </c>
      <c r="C291" s="5">
        <f>_xlfn.XLOOKUP(Hours_Sum[[#This Row],[Pay Due]],Dates_Ref[QCH due],Dates_Ref[Start],"",0)</f>
        <v>48883</v>
      </c>
      <c r="D291" s="5">
        <f>Hours_Sum[[#This Row],[PP Start]]+13</f>
        <v>48896</v>
      </c>
      <c r="E291">
        <f>SUM(Hours_Sum[[#This Row],[Reg Hrs]],Hours_Sum[[#This Row],[1.5x OT Hrs]],Hours_Sum[[#This Row],[2x OT Hrs]])</f>
        <v>0</v>
      </c>
      <c r="F291">
        <f>SUMIFS(Shift_Track[Reg
Hrs],Shift_Track[Pay Period],Hours_Sum[[#This Row],[Pay Due]])</f>
        <v>0</v>
      </c>
      <c r="G291">
        <f>SUMIFS(Shift_Track[1.5x OT
Hrs],Shift_Track[Pay Period],Hours_Sum[[#This Row],[Pay Due]])</f>
        <v>0</v>
      </c>
      <c r="H291">
        <f>SUMIFS(Shift_Track[2x OT
Hrs],Shift_Track[Pay Period],Hours_Sum[[#This Row],[Pay Due]])</f>
        <v>0</v>
      </c>
      <c r="I291">
        <f>SUM(Hours_Sum[[#This Row],[Reg Hrs]],1.5*Hours_Sum[[#This Row],[1.5x OT Hrs]],2*Hours_Sum[[#This Row],[2x OT Hrs]])</f>
        <v>0</v>
      </c>
      <c r="J291">
        <f>Hours_Sum[[#This Row],[Tot Hrs
(Converted)]]*22</f>
        <v>0</v>
      </c>
      <c r="K291">
        <f>YEAR(Hours_Sum[[#This Row],[Pay Due]])</f>
        <v>2033</v>
      </c>
      <c r="L291" t="str">
        <f>TEXT(Hours_Sum[[#This Row],[Pay Due]],"MMMM")</f>
        <v>November</v>
      </c>
    </row>
    <row r="292" spans="2:12" x14ac:dyDescent="0.25">
      <c r="B292" s="39">
        <v>48915</v>
      </c>
      <c r="C292" s="5">
        <f>_xlfn.XLOOKUP(Hours_Sum[[#This Row],[Pay Due]],Dates_Ref[QCH due],Dates_Ref[Start],"",0)</f>
        <v>48897</v>
      </c>
      <c r="D292" s="5">
        <f>Hours_Sum[[#This Row],[PP Start]]+13</f>
        <v>48910</v>
      </c>
      <c r="E292">
        <f>SUM(Hours_Sum[[#This Row],[Reg Hrs]],Hours_Sum[[#This Row],[1.5x OT Hrs]],Hours_Sum[[#This Row],[2x OT Hrs]])</f>
        <v>0</v>
      </c>
      <c r="F292">
        <f>SUMIFS(Shift_Track[Reg
Hrs],Shift_Track[Pay Period],Hours_Sum[[#This Row],[Pay Due]])</f>
        <v>0</v>
      </c>
      <c r="G292">
        <f>SUMIFS(Shift_Track[1.5x OT
Hrs],Shift_Track[Pay Period],Hours_Sum[[#This Row],[Pay Due]])</f>
        <v>0</v>
      </c>
      <c r="H292">
        <f>SUMIFS(Shift_Track[2x OT
Hrs],Shift_Track[Pay Period],Hours_Sum[[#This Row],[Pay Due]])</f>
        <v>0</v>
      </c>
      <c r="I292">
        <f>SUM(Hours_Sum[[#This Row],[Reg Hrs]],1.5*Hours_Sum[[#This Row],[1.5x OT Hrs]],2*Hours_Sum[[#This Row],[2x OT Hrs]])</f>
        <v>0</v>
      </c>
      <c r="J292">
        <f>Hours_Sum[[#This Row],[Tot Hrs
(Converted)]]*22</f>
        <v>0</v>
      </c>
      <c r="K292">
        <f>YEAR(Hours_Sum[[#This Row],[Pay Due]])</f>
        <v>2033</v>
      </c>
      <c r="L292" t="str">
        <f>TEXT(Hours_Sum[[#This Row],[Pay Due]],"MMMM")</f>
        <v>December</v>
      </c>
    </row>
    <row r="293" spans="2:12" x14ac:dyDescent="0.25">
      <c r="B293" s="39">
        <v>48929</v>
      </c>
      <c r="C293" s="5">
        <f>_xlfn.XLOOKUP(Hours_Sum[[#This Row],[Pay Due]],Dates_Ref[QCH due],Dates_Ref[Start],"",0)</f>
        <v>48911</v>
      </c>
      <c r="D293" s="5">
        <f>Hours_Sum[[#This Row],[PP Start]]+13</f>
        <v>48924</v>
      </c>
      <c r="E293">
        <f>SUM(Hours_Sum[[#This Row],[Reg Hrs]],Hours_Sum[[#This Row],[1.5x OT Hrs]],Hours_Sum[[#This Row],[2x OT Hrs]])</f>
        <v>0</v>
      </c>
      <c r="F293">
        <f>SUMIFS(Shift_Track[Reg
Hrs],Shift_Track[Pay Period],Hours_Sum[[#This Row],[Pay Due]])</f>
        <v>0</v>
      </c>
      <c r="G293">
        <f>SUMIFS(Shift_Track[1.5x OT
Hrs],Shift_Track[Pay Period],Hours_Sum[[#This Row],[Pay Due]])</f>
        <v>0</v>
      </c>
      <c r="H293">
        <f>SUMIFS(Shift_Track[2x OT
Hrs],Shift_Track[Pay Period],Hours_Sum[[#This Row],[Pay Due]])</f>
        <v>0</v>
      </c>
      <c r="I293">
        <f>SUM(Hours_Sum[[#This Row],[Reg Hrs]],1.5*Hours_Sum[[#This Row],[1.5x OT Hrs]],2*Hours_Sum[[#This Row],[2x OT Hrs]])</f>
        <v>0</v>
      </c>
      <c r="J293">
        <f>Hours_Sum[[#This Row],[Tot Hrs
(Converted)]]*22</f>
        <v>0</v>
      </c>
      <c r="K293">
        <f>YEAR(Hours_Sum[[#This Row],[Pay Due]])</f>
        <v>2033</v>
      </c>
      <c r="L293" t="str">
        <f>TEXT(Hours_Sum[[#This Row],[Pay Due]],"MMMM")</f>
        <v>December</v>
      </c>
    </row>
    <row r="294" spans="2:12" x14ac:dyDescent="0.25">
      <c r="B294" s="39">
        <v>48943</v>
      </c>
      <c r="C294" s="5">
        <f>_xlfn.XLOOKUP(Hours_Sum[[#This Row],[Pay Due]],Dates_Ref[QCH due],Dates_Ref[Start],"",0)</f>
        <v>48925</v>
      </c>
      <c r="D294" s="5">
        <f>Hours_Sum[[#This Row],[PP Start]]+13</f>
        <v>48938</v>
      </c>
      <c r="E294">
        <f>SUM(Hours_Sum[[#This Row],[Reg Hrs]],Hours_Sum[[#This Row],[1.5x OT Hrs]],Hours_Sum[[#This Row],[2x OT Hrs]])</f>
        <v>0</v>
      </c>
      <c r="F294">
        <f>SUMIFS(Shift_Track[Reg
Hrs],Shift_Track[Pay Period],Hours_Sum[[#This Row],[Pay Due]])</f>
        <v>0</v>
      </c>
      <c r="G294">
        <f>SUMIFS(Shift_Track[1.5x OT
Hrs],Shift_Track[Pay Period],Hours_Sum[[#This Row],[Pay Due]])</f>
        <v>0</v>
      </c>
      <c r="H294">
        <f>SUMIFS(Shift_Track[2x OT
Hrs],Shift_Track[Pay Period],Hours_Sum[[#This Row],[Pay Due]])</f>
        <v>0</v>
      </c>
      <c r="I294">
        <f>SUM(Hours_Sum[[#This Row],[Reg Hrs]],1.5*Hours_Sum[[#This Row],[1.5x OT Hrs]],2*Hours_Sum[[#This Row],[2x OT Hrs]])</f>
        <v>0</v>
      </c>
      <c r="J294">
        <f>Hours_Sum[[#This Row],[Tot Hrs
(Converted)]]*22</f>
        <v>0</v>
      </c>
      <c r="K294">
        <f>YEAR(Hours_Sum[[#This Row],[Pay Due]])</f>
        <v>2033</v>
      </c>
      <c r="L294" t="str">
        <f>TEXT(Hours_Sum[[#This Row],[Pay Due]],"MMMM")</f>
        <v>December</v>
      </c>
    </row>
    <row r="295" spans="2:12" x14ac:dyDescent="0.25">
      <c r="B295" s="39">
        <v>48957</v>
      </c>
      <c r="C295" s="5">
        <f>_xlfn.XLOOKUP(Hours_Sum[[#This Row],[Pay Due]],Dates_Ref[QCH due],Dates_Ref[Start],"",0)</f>
        <v>48939</v>
      </c>
      <c r="D295" s="5">
        <f>Hours_Sum[[#This Row],[PP Start]]+13</f>
        <v>48952</v>
      </c>
      <c r="E295">
        <f>SUM(Hours_Sum[[#This Row],[Reg Hrs]],Hours_Sum[[#This Row],[1.5x OT Hrs]],Hours_Sum[[#This Row],[2x OT Hrs]])</f>
        <v>0</v>
      </c>
      <c r="F295">
        <f>SUMIFS(Shift_Track[Reg
Hrs],Shift_Track[Pay Period],Hours_Sum[[#This Row],[Pay Due]])</f>
        <v>0</v>
      </c>
      <c r="G295">
        <f>SUMIFS(Shift_Track[1.5x OT
Hrs],Shift_Track[Pay Period],Hours_Sum[[#This Row],[Pay Due]])</f>
        <v>0</v>
      </c>
      <c r="H295">
        <f>SUMIFS(Shift_Track[2x OT
Hrs],Shift_Track[Pay Period],Hours_Sum[[#This Row],[Pay Due]])</f>
        <v>0</v>
      </c>
      <c r="I295">
        <f>SUM(Hours_Sum[[#This Row],[Reg Hrs]],1.5*Hours_Sum[[#This Row],[1.5x OT Hrs]],2*Hours_Sum[[#This Row],[2x OT Hrs]])</f>
        <v>0</v>
      </c>
      <c r="J295">
        <f>Hours_Sum[[#This Row],[Tot Hrs
(Converted)]]*22</f>
        <v>0</v>
      </c>
      <c r="K295">
        <f>YEAR(Hours_Sum[[#This Row],[Pay Due]])</f>
        <v>2034</v>
      </c>
      <c r="L295" t="str">
        <f>TEXT(Hours_Sum[[#This Row],[Pay Due]],"MMMM")</f>
        <v>January</v>
      </c>
    </row>
    <row r="296" spans="2:12" x14ac:dyDescent="0.25">
      <c r="B296" s="39">
        <v>48971</v>
      </c>
      <c r="C296" s="5">
        <f>_xlfn.XLOOKUP(Hours_Sum[[#This Row],[Pay Due]],Dates_Ref[QCH due],Dates_Ref[Start],"",0)</f>
        <v>48953</v>
      </c>
      <c r="D296" s="5">
        <f>Hours_Sum[[#This Row],[PP Start]]+13</f>
        <v>48966</v>
      </c>
      <c r="E296">
        <f>SUM(Hours_Sum[[#This Row],[Reg Hrs]],Hours_Sum[[#This Row],[1.5x OT Hrs]],Hours_Sum[[#This Row],[2x OT Hrs]])</f>
        <v>0</v>
      </c>
      <c r="F296">
        <f>SUMIFS(Shift_Track[Reg
Hrs],Shift_Track[Pay Period],Hours_Sum[[#This Row],[Pay Due]])</f>
        <v>0</v>
      </c>
      <c r="G296">
        <f>SUMIFS(Shift_Track[1.5x OT
Hrs],Shift_Track[Pay Period],Hours_Sum[[#This Row],[Pay Due]])</f>
        <v>0</v>
      </c>
      <c r="H296">
        <f>SUMIFS(Shift_Track[2x OT
Hrs],Shift_Track[Pay Period],Hours_Sum[[#This Row],[Pay Due]])</f>
        <v>0</v>
      </c>
      <c r="I296">
        <f>SUM(Hours_Sum[[#This Row],[Reg Hrs]],1.5*Hours_Sum[[#This Row],[1.5x OT Hrs]],2*Hours_Sum[[#This Row],[2x OT Hrs]])</f>
        <v>0</v>
      </c>
      <c r="J296">
        <f>Hours_Sum[[#This Row],[Tot Hrs
(Converted)]]*22</f>
        <v>0</v>
      </c>
      <c r="K296">
        <f>YEAR(Hours_Sum[[#This Row],[Pay Due]])</f>
        <v>2034</v>
      </c>
      <c r="L296" t="str">
        <f>TEXT(Hours_Sum[[#This Row],[Pay Due]],"MMMM")</f>
        <v>January</v>
      </c>
    </row>
    <row r="297" spans="2:12" x14ac:dyDescent="0.25">
      <c r="B297" s="39">
        <v>48985</v>
      </c>
      <c r="C297" s="5">
        <f>_xlfn.XLOOKUP(Hours_Sum[[#This Row],[Pay Due]],Dates_Ref[QCH due],Dates_Ref[Start],"",0)</f>
        <v>48967</v>
      </c>
      <c r="D297" s="5">
        <f>Hours_Sum[[#This Row],[PP Start]]+13</f>
        <v>48980</v>
      </c>
      <c r="E297">
        <f>SUM(Hours_Sum[[#This Row],[Reg Hrs]],Hours_Sum[[#This Row],[1.5x OT Hrs]],Hours_Sum[[#This Row],[2x OT Hrs]])</f>
        <v>0</v>
      </c>
      <c r="F297">
        <f>SUMIFS(Shift_Track[Reg
Hrs],Shift_Track[Pay Period],Hours_Sum[[#This Row],[Pay Due]])</f>
        <v>0</v>
      </c>
      <c r="G297">
        <f>SUMIFS(Shift_Track[1.5x OT
Hrs],Shift_Track[Pay Period],Hours_Sum[[#This Row],[Pay Due]])</f>
        <v>0</v>
      </c>
      <c r="H297">
        <f>SUMIFS(Shift_Track[2x OT
Hrs],Shift_Track[Pay Period],Hours_Sum[[#This Row],[Pay Due]])</f>
        <v>0</v>
      </c>
      <c r="I297">
        <f>SUM(Hours_Sum[[#This Row],[Reg Hrs]],1.5*Hours_Sum[[#This Row],[1.5x OT Hrs]],2*Hours_Sum[[#This Row],[2x OT Hrs]])</f>
        <v>0</v>
      </c>
      <c r="J297">
        <f>Hours_Sum[[#This Row],[Tot Hrs
(Converted)]]*22</f>
        <v>0</v>
      </c>
      <c r="K297">
        <f>YEAR(Hours_Sum[[#This Row],[Pay Due]])</f>
        <v>2034</v>
      </c>
      <c r="L297" t="str">
        <f>TEXT(Hours_Sum[[#This Row],[Pay Due]],"MMMM")</f>
        <v>February</v>
      </c>
    </row>
    <row r="298" spans="2:12" x14ac:dyDescent="0.25">
      <c r="B298" s="39">
        <v>48999</v>
      </c>
      <c r="C298" s="5">
        <f>_xlfn.XLOOKUP(Hours_Sum[[#This Row],[Pay Due]],Dates_Ref[QCH due],Dates_Ref[Start],"",0)</f>
        <v>48981</v>
      </c>
      <c r="D298" s="5">
        <f>Hours_Sum[[#This Row],[PP Start]]+13</f>
        <v>48994</v>
      </c>
      <c r="E298">
        <f>SUM(Hours_Sum[[#This Row],[Reg Hrs]],Hours_Sum[[#This Row],[1.5x OT Hrs]],Hours_Sum[[#This Row],[2x OT Hrs]])</f>
        <v>0</v>
      </c>
      <c r="F298">
        <f>SUMIFS(Shift_Track[Reg
Hrs],Shift_Track[Pay Period],Hours_Sum[[#This Row],[Pay Due]])</f>
        <v>0</v>
      </c>
      <c r="G298">
        <f>SUMIFS(Shift_Track[1.5x OT
Hrs],Shift_Track[Pay Period],Hours_Sum[[#This Row],[Pay Due]])</f>
        <v>0</v>
      </c>
      <c r="H298">
        <f>SUMIFS(Shift_Track[2x OT
Hrs],Shift_Track[Pay Period],Hours_Sum[[#This Row],[Pay Due]])</f>
        <v>0</v>
      </c>
      <c r="I298">
        <f>SUM(Hours_Sum[[#This Row],[Reg Hrs]],1.5*Hours_Sum[[#This Row],[1.5x OT Hrs]],2*Hours_Sum[[#This Row],[2x OT Hrs]])</f>
        <v>0</v>
      </c>
      <c r="J298">
        <f>Hours_Sum[[#This Row],[Tot Hrs
(Converted)]]*22</f>
        <v>0</v>
      </c>
      <c r="K298">
        <f>YEAR(Hours_Sum[[#This Row],[Pay Due]])</f>
        <v>2034</v>
      </c>
      <c r="L298" t="str">
        <f>TEXT(Hours_Sum[[#This Row],[Pay Due]],"MMMM")</f>
        <v>February</v>
      </c>
    </row>
    <row r="299" spans="2:12" x14ac:dyDescent="0.25">
      <c r="B299" s="39">
        <v>49013</v>
      </c>
      <c r="C299" s="5">
        <f>_xlfn.XLOOKUP(Hours_Sum[[#This Row],[Pay Due]],Dates_Ref[QCH due],Dates_Ref[Start],"",0)</f>
        <v>48995</v>
      </c>
      <c r="D299" s="5">
        <f>Hours_Sum[[#This Row],[PP Start]]+13</f>
        <v>49008</v>
      </c>
      <c r="E299">
        <f>SUM(Hours_Sum[[#This Row],[Reg Hrs]],Hours_Sum[[#This Row],[1.5x OT Hrs]],Hours_Sum[[#This Row],[2x OT Hrs]])</f>
        <v>0</v>
      </c>
      <c r="F299">
        <f>SUMIFS(Shift_Track[Reg
Hrs],Shift_Track[Pay Period],Hours_Sum[[#This Row],[Pay Due]])</f>
        <v>0</v>
      </c>
      <c r="G299">
        <f>SUMIFS(Shift_Track[1.5x OT
Hrs],Shift_Track[Pay Period],Hours_Sum[[#This Row],[Pay Due]])</f>
        <v>0</v>
      </c>
      <c r="H299">
        <f>SUMIFS(Shift_Track[2x OT
Hrs],Shift_Track[Pay Period],Hours_Sum[[#This Row],[Pay Due]])</f>
        <v>0</v>
      </c>
      <c r="I299">
        <f>SUM(Hours_Sum[[#This Row],[Reg Hrs]],1.5*Hours_Sum[[#This Row],[1.5x OT Hrs]],2*Hours_Sum[[#This Row],[2x OT Hrs]])</f>
        <v>0</v>
      </c>
      <c r="J299">
        <f>Hours_Sum[[#This Row],[Tot Hrs
(Converted)]]*22</f>
        <v>0</v>
      </c>
      <c r="K299">
        <f>YEAR(Hours_Sum[[#This Row],[Pay Due]])</f>
        <v>2034</v>
      </c>
      <c r="L299" t="str">
        <f>TEXT(Hours_Sum[[#This Row],[Pay Due]],"MMMM")</f>
        <v>March</v>
      </c>
    </row>
    <row r="300" spans="2:12" x14ac:dyDescent="0.25">
      <c r="B300" s="39">
        <v>49027</v>
      </c>
      <c r="C300" s="5">
        <f>_xlfn.XLOOKUP(Hours_Sum[[#This Row],[Pay Due]],Dates_Ref[QCH due],Dates_Ref[Start],"",0)</f>
        <v>49009</v>
      </c>
      <c r="D300" s="5">
        <f>Hours_Sum[[#This Row],[PP Start]]+13</f>
        <v>49022</v>
      </c>
      <c r="E300">
        <f>SUM(Hours_Sum[[#This Row],[Reg Hrs]],Hours_Sum[[#This Row],[1.5x OT Hrs]],Hours_Sum[[#This Row],[2x OT Hrs]])</f>
        <v>0</v>
      </c>
      <c r="F300">
        <f>SUMIFS(Shift_Track[Reg
Hrs],Shift_Track[Pay Period],Hours_Sum[[#This Row],[Pay Due]])</f>
        <v>0</v>
      </c>
      <c r="G300">
        <f>SUMIFS(Shift_Track[1.5x OT
Hrs],Shift_Track[Pay Period],Hours_Sum[[#This Row],[Pay Due]])</f>
        <v>0</v>
      </c>
      <c r="H300">
        <f>SUMIFS(Shift_Track[2x OT
Hrs],Shift_Track[Pay Period],Hours_Sum[[#This Row],[Pay Due]])</f>
        <v>0</v>
      </c>
      <c r="I300">
        <f>SUM(Hours_Sum[[#This Row],[Reg Hrs]],1.5*Hours_Sum[[#This Row],[1.5x OT Hrs]],2*Hours_Sum[[#This Row],[2x OT Hrs]])</f>
        <v>0</v>
      </c>
      <c r="J300">
        <f>Hours_Sum[[#This Row],[Tot Hrs
(Converted)]]*22</f>
        <v>0</v>
      </c>
      <c r="K300">
        <f>YEAR(Hours_Sum[[#This Row],[Pay Due]])</f>
        <v>2034</v>
      </c>
      <c r="L300" t="str">
        <f>TEXT(Hours_Sum[[#This Row],[Pay Due]],"MMMM")</f>
        <v>March</v>
      </c>
    </row>
    <row r="301" spans="2:12" x14ac:dyDescent="0.25">
      <c r="B301" s="39">
        <v>49041</v>
      </c>
      <c r="C301" s="5">
        <f>_xlfn.XLOOKUP(Hours_Sum[[#This Row],[Pay Due]],Dates_Ref[QCH due],Dates_Ref[Start],"",0)</f>
        <v>49023</v>
      </c>
      <c r="D301" s="5">
        <f>Hours_Sum[[#This Row],[PP Start]]+13</f>
        <v>49036</v>
      </c>
      <c r="E301">
        <f>SUM(Hours_Sum[[#This Row],[Reg Hrs]],Hours_Sum[[#This Row],[1.5x OT Hrs]],Hours_Sum[[#This Row],[2x OT Hrs]])</f>
        <v>0</v>
      </c>
      <c r="F301">
        <f>SUMIFS(Shift_Track[Reg
Hrs],Shift_Track[Pay Period],Hours_Sum[[#This Row],[Pay Due]])</f>
        <v>0</v>
      </c>
      <c r="G301">
        <f>SUMIFS(Shift_Track[1.5x OT
Hrs],Shift_Track[Pay Period],Hours_Sum[[#This Row],[Pay Due]])</f>
        <v>0</v>
      </c>
      <c r="H301">
        <f>SUMIFS(Shift_Track[2x OT
Hrs],Shift_Track[Pay Period],Hours_Sum[[#This Row],[Pay Due]])</f>
        <v>0</v>
      </c>
      <c r="I301">
        <f>SUM(Hours_Sum[[#This Row],[Reg Hrs]],1.5*Hours_Sum[[#This Row],[1.5x OT Hrs]],2*Hours_Sum[[#This Row],[2x OT Hrs]])</f>
        <v>0</v>
      </c>
      <c r="J301">
        <f>Hours_Sum[[#This Row],[Tot Hrs
(Converted)]]*22</f>
        <v>0</v>
      </c>
      <c r="K301">
        <f>YEAR(Hours_Sum[[#This Row],[Pay Due]])</f>
        <v>2034</v>
      </c>
      <c r="L301" t="str">
        <f>TEXT(Hours_Sum[[#This Row],[Pay Due]],"MMMM")</f>
        <v>April</v>
      </c>
    </row>
    <row r="302" spans="2:12" x14ac:dyDescent="0.25">
      <c r="B302" s="39">
        <v>49055</v>
      </c>
      <c r="C302" s="5">
        <f>_xlfn.XLOOKUP(Hours_Sum[[#This Row],[Pay Due]],Dates_Ref[QCH due],Dates_Ref[Start],"",0)</f>
        <v>49037</v>
      </c>
      <c r="D302" s="5">
        <f>Hours_Sum[[#This Row],[PP Start]]+13</f>
        <v>49050</v>
      </c>
      <c r="E302">
        <f>SUM(Hours_Sum[[#This Row],[Reg Hrs]],Hours_Sum[[#This Row],[1.5x OT Hrs]],Hours_Sum[[#This Row],[2x OT Hrs]])</f>
        <v>0</v>
      </c>
      <c r="F302">
        <f>SUMIFS(Shift_Track[Reg
Hrs],Shift_Track[Pay Period],Hours_Sum[[#This Row],[Pay Due]])</f>
        <v>0</v>
      </c>
      <c r="G302">
        <f>SUMIFS(Shift_Track[1.5x OT
Hrs],Shift_Track[Pay Period],Hours_Sum[[#This Row],[Pay Due]])</f>
        <v>0</v>
      </c>
      <c r="H302">
        <f>SUMIFS(Shift_Track[2x OT
Hrs],Shift_Track[Pay Period],Hours_Sum[[#This Row],[Pay Due]])</f>
        <v>0</v>
      </c>
      <c r="I302">
        <f>SUM(Hours_Sum[[#This Row],[Reg Hrs]],1.5*Hours_Sum[[#This Row],[1.5x OT Hrs]],2*Hours_Sum[[#This Row],[2x OT Hrs]])</f>
        <v>0</v>
      </c>
      <c r="J302">
        <f>Hours_Sum[[#This Row],[Tot Hrs
(Converted)]]*22</f>
        <v>0</v>
      </c>
      <c r="K302">
        <f>YEAR(Hours_Sum[[#This Row],[Pay Due]])</f>
        <v>2034</v>
      </c>
      <c r="L302" t="str">
        <f>TEXT(Hours_Sum[[#This Row],[Pay Due]],"MMMM")</f>
        <v>April</v>
      </c>
    </row>
    <row r="303" spans="2:12" x14ac:dyDescent="0.25">
      <c r="B303" s="39">
        <v>49069</v>
      </c>
      <c r="C303" s="5">
        <f>_xlfn.XLOOKUP(Hours_Sum[[#This Row],[Pay Due]],Dates_Ref[QCH due],Dates_Ref[Start],"",0)</f>
        <v>49051</v>
      </c>
      <c r="D303" s="5">
        <f>Hours_Sum[[#This Row],[PP Start]]+13</f>
        <v>49064</v>
      </c>
      <c r="E303">
        <f>SUM(Hours_Sum[[#This Row],[Reg Hrs]],Hours_Sum[[#This Row],[1.5x OT Hrs]],Hours_Sum[[#This Row],[2x OT Hrs]])</f>
        <v>0</v>
      </c>
      <c r="F303">
        <f>SUMIFS(Shift_Track[Reg
Hrs],Shift_Track[Pay Period],Hours_Sum[[#This Row],[Pay Due]])</f>
        <v>0</v>
      </c>
      <c r="G303">
        <f>SUMIFS(Shift_Track[1.5x OT
Hrs],Shift_Track[Pay Period],Hours_Sum[[#This Row],[Pay Due]])</f>
        <v>0</v>
      </c>
      <c r="H303">
        <f>SUMIFS(Shift_Track[2x OT
Hrs],Shift_Track[Pay Period],Hours_Sum[[#This Row],[Pay Due]])</f>
        <v>0</v>
      </c>
      <c r="I303">
        <f>SUM(Hours_Sum[[#This Row],[Reg Hrs]],1.5*Hours_Sum[[#This Row],[1.5x OT Hrs]],2*Hours_Sum[[#This Row],[2x OT Hrs]])</f>
        <v>0</v>
      </c>
      <c r="J303">
        <f>Hours_Sum[[#This Row],[Tot Hrs
(Converted)]]*22</f>
        <v>0</v>
      </c>
      <c r="K303">
        <f>YEAR(Hours_Sum[[#This Row],[Pay Due]])</f>
        <v>2034</v>
      </c>
      <c r="L303" t="str">
        <f>TEXT(Hours_Sum[[#This Row],[Pay Due]],"MMMM")</f>
        <v>May</v>
      </c>
    </row>
    <row r="304" spans="2:12" x14ac:dyDescent="0.25">
      <c r="B304" s="39">
        <v>49083</v>
      </c>
      <c r="C304" s="5">
        <f>_xlfn.XLOOKUP(Hours_Sum[[#This Row],[Pay Due]],Dates_Ref[QCH due],Dates_Ref[Start],"",0)</f>
        <v>49065</v>
      </c>
      <c r="D304" s="5">
        <f>Hours_Sum[[#This Row],[PP Start]]+13</f>
        <v>49078</v>
      </c>
      <c r="E304">
        <f>SUM(Hours_Sum[[#This Row],[Reg Hrs]],Hours_Sum[[#This Row],[1.5x OT Hrs]],Hours_Sum[[#This Row],[2x OT Hrs]])</f>
        <v>0</v>
      </c>
      <c r="F304">
        <f>SUMIFS(Shift_Track[Reg
Hrs],Shift_Track[Pay Period],Hours_Sum[[#This Row],[Pay Due]])</f>
        <v>0</v>
      </c>
      <c r="G304">
        <f>SUMIFS(Shift_Track[1.5x OT
Hrs],Shift_Track[Pay Period],Hours_Sum[[#This Row],[Pay Due]])</f>
        <v>0</v>
      </c>
      <c r="H304">
        <f>SUMIFS(Shift_Track[2x OT
Hrs],Shift_Track[Pay Period],Hours_Sum[[#This Row],[Pay Due]])</f>
        <v>0</v>
      </c>
      <c r="I304">
        <f>SUM(Hours_Sum[[#This Row],[Reg Hrs]],1.5*Hours_Sum[[#This Row],[1.5x OT Hrs]],2*Hours_Sum[[#This Row],[2x OT Hrs]])</f>
        <v>0</v>
      </c>
      <c r="J304">
        <f>Hours_Sum[[#This Row],[Tot Hrs
(Converted)]]*22</f>
        <v>0</v>
      </c>
      <c r="K304">
        <f>YEAR(Hours_Sum[[#This Row],[Pay Due]])</f>
        <v>2034</v>
      </c>
      <c r="L304" t="str">
        <f>TEXT(Hours_Sum[[#This Row],[Pay Due]],"MMMM")</f>
        <v>May</v>
      </c>
    </row>
    <row r="305" spans="2:12" x14ac:dyDescent="0.25">
      <c r="B305" s="39">
        <v>49097</v>
      </c>
      <c r="C305" s="5">
        <f>_xlfn.XLOOKUP(Hours_Sum[[#This Row],[Pay Due]],Dates_Ref[QCH due],Dates_Ref[Start],"",0)</f>
        <v>49079</v>
      </c>
      <c r="D305" s="5">
        <f>Hours_Sum[[#This Row],[PP Start]]+13</f>
        <v>49092</v>
      </c>
      <c r="E305">
        <f>SUM(Hours_Sum[[#This Row],[Reg Hrs]],Hours_Sum[[#This Row],[1.5x OT Hrs]],Hours_Sum[[#This Row],[2x OT Hrs]])</f>
        <v>0</v>
      </c>
      <c r="F305">
        <f>SUMIFS(Shift_Track[Reg
Hrs],Shift_Track[Pay Period],Hours_Sum[[#This Row],[Pay Due]])</f>
        <v>0</v>
      </c>
      <c r="G305">
        <f>SUMIFS(Shift_Track[1.5x OT
Hrs],Shift_Track[Pay Period],Hours_Sum[[#This Row],[Pay Due]])</f>
        <v>0</v>
      </c>
      <c r="H305">
        <f>SUMIFS(Shift_Track[2x OT
Hrs],Shift_Track[Pay Period],Hours_Sum[[#This Row],[Pay Due]])</f>
        <v>0</v>
      </c>
      <c r="I305">
        <f>SUM(Hours_Sum[[#This Row],[Reg Hrs]],1.5*Hours_Sum[[#This Row],[1.5x OT Hrs]],2*Hours_Sum[[#This Row],[2x OT Hrs]])</f>
        <v>0</v>
      </c>
      <c r="J305">
        <f>Hours_Sum[[#This Row],[Tot Hrs
(Converted)]]*22</f>
        <v>0</v>
      </c>
      <c r="K305">
        <f>YEAR(Hours_Sum[[#This Row],[Pay Due]])</f>
        <v>2034</v>
      </c>
      <c r="L305" t="str">
        <f>TEXT(Hours_Sum[[#This Row],[Pay Due]],"MMMM")</f>
        <v>June</v>
      </c>
    </row>
    <row r="306" spans="2:12" x14ac:dyDescent="0.25">
      <c r="B306" s="39">
        <v>49111</v>
      </c>
      <c r="C306" s="5">
        <f>_xlfn.XLOOKUP(Hours_Sum[[#This Row],[Pay Due]],Dates_Ref[QCH due],Dates_Ref[Start],"",0)</f>
        <v>49093</v>
      </c>
      <c r="D306" s="5">
        <f>Hours_Sum[[#This Row],[PP Start]]+13</f>
        <v>49106</v>
      </c>
      <c r="E306">
        <f>SUM(Hours_Sum[[#This Row],[Reg Hrs]],Hours_Sum[[#This Row],[1.5x OT Hrs]],Hours_Sum[[#This Row],[2x OT Hrs]])</f>
        <v>0</v>
      </c>
      <c r="F306">
        <f>SUMIFS(Shift_Track[Reg
Hrs],Shift_Track[Pay Period],Hours_Sum[[#This Row],[Pay Due]])</f>
        <v>0</v>
      </c>
      <c r="G306">
        <f>SUMIFS(Shift_Track[1.5x OT
Hrs],Shift_Track[Pay Period],Hours_Sum[[#This Row],[Pay Due]])</f>
        <v>0</v>
      </c>
      <c r="H306">
        <f>SUMIFS(Shift_Track[2x OT
Hrs],Shift_Track[Pay Period],Hours_Sum[[#This Row],[Pay Due]])</f>
        <v>0</v>
      </c>
      <c r="I306">
        <f>SUM(Hours_Sum[[#This Row],[Reg Hrs]],1.5*Hours_Sum[[#This Row],[1.5x OT Hrs]],2*Hours_Sum[[#This Row],[2x OT Hrs]])</f>
        <v>0</v>
      </c>
      <c r="J306">
        <f>Hours_Sum[[#This Row],[Tot Hrs
(Converted)]]*22</f>
        <v>0</v>
      </c>
      <c r="K306">
        <f>YEAR(Hours_Sum[[#This Row],[Pay Due]])</f>
        <v>2034</v>
      </c>
      <c r="L306" t="str">
        <f>TEXT(Hours_Sum[[#This Row],[Pay Due]],"MMMM")</f>
        <v>June</v>
      </c>
    </row>
    <row r="307" spans="2:12" x14ac:dyDescent="0.25">
      <c r="B307" s="39">
        <v>49125</v>
      </c>
      <c r="C307" s="5">
        <f>_xlfn.XLOOKUP(Hours_Sum[[#This Row],[Pay Due]],Dates_Ref[QCH due],Dates_Ref[Start],"",0)</f>
        <v>49107</v>
      </c>
      <c r="D307" s="5">
        <f>Hours_Sum[[#This Row],[PP Start]]+13</f>
        <v>49120</v>
      </c>
      <c r="E307">
        <f>SUM(Hours_Sum[[#This Row],[Reg Hrs]],Hours_Sum[[#This Row],[1.5x OT Hrs]],Hours_Sum[[#This Row],[2x OT Hrs]])</f>
        <v>0</v>
      </c>
      <c r="F307">
        <f>SUMIFS(Shift_Track[Reg
Hrs],Shift_Track[Pay Period],Hours_Sum[[#This Row],[Pay Due]])</f>
        <v>0</v>
      </c>
      <c r="G307">
        <f>SUMIFS(Shift_Track[1.5x OT
Hrs],Shift_Track[Pay Period],Hours_Sum[[#This Row],[Pay Due]])</f>
        <v>0</v>
      </c>
      <c r="H307">
        <f>SUMIFS(Shift_Track[2x OT
Hrs],Shift_Track[Pay Period],Hours_Sum[[#This Row],[Pay Due]])</f>
        <v>0</v>
      </c>
      <c r="I307">
        <f>SUM(Hours_Sum[[#This Row],[Reg Hrs]],1.5*Hours_Sum[[#This Row],[1.5x OT Hrs]],2*Hours_Sum[[#This Row],[2x OT Hrs]])</f>
        <v>0</v>
      </c>
      <c r="J307">
        <f>Hours_Sum[[#This Row],[Tot Hrs
(Converted)]]*22</f>
        <v>0</v>
      </c>
      <c r="K307">
        <f>YEAR(Hours_Sum[[#This Row],[Pay Due]])</f>
        <v>2034</v>
      </c>
      <c r="L307" t="str">
        <f>TEXT(Hours_Sum[[#This Row],[Pay Due]],"MMMM")</f>
        <v>June</v>
      </c>
    </row>
    <row r="308" spans="2:12" x14ac:dyDescent="0.25">
      <c r="B308" s="39">
        <v>49139</v>
      </c>
      <c r="C308" s="5">
        <f>_xlfn.XLOOKUP(Hours_Sum[[#This Row],[Pay Due]],Dates_Ref[QCH due],Dates_Ref[Start],"",0)</f>
        <v>49121</v>
      </c>
      <c r="D308" s="5">
        <f>Hours_Sum[[#This Row],[PP Start]]+13</f>
        <v>49134</v>
      </c>
      <c r="E308">
        <f>SUM(Hours_Sum[[#This Row],[Reg Hrs]],Hours_Sum[[#This Row],[1.5x OT Hrs]],Hours_Sum[[#This Row],[2x OT Hrs]])</f>
        <v>0</v>
      </c>
      <c r="F308">
        <f>SUMIFS(Shift_Track[Reg
Hrs],Shift_Track[Pay Period],Hours_Sum[[#This Row],[Pay Due]])</f>
        <v>0</v>
      </c>
      <c r="G308">
        <f>SUMIFS(Shift_Track[1.5x OT
Hrs],Shift_Track[Pay Period],Hours_Sum[[#This Row],[Pay Due]])</f>
        <v>0</v>
      </c>
      <c r="H308">
        <f>SUMIFS(Shift_Track[2x OT
Hrs],Shift_Track[Pay Period],Hours_Sum[[#This Row],[Pay Due]])</f>
        <v>0</v>
      </c>
      <c r="I308">
        <f>SUM(Hours_Sum[[#This Row],[Reg Hrs]],1.5*Hours_Sum[[#This Row],[1.5x OT Hrs]],2*Hours_Sum[[#This Row],[2x OT Hrs]])</f>
        <v>0</v>
      </c>
      <c r="J308">
        <f>Hours_Sum[[#This Row],[Tot Hrs
(Converted)]]*22</f>
        <v>0</v>
      </c>
      <c r="K308">
        <f>YEAR(Hours_Sum[[#This Row],[Pay Due]])</f>
        <v>2034</v>
      </c>
      <c r="L308" t="str">
        <f>TEXT(Hours_Sum[[#This Row],[Pay Due]],"MMMM")</f>
        <v>July</v>
      </c>
    </row>
    <row r="309" spans="2:12" x14ac:dyDescent="0.25">
      <c r="B309" s="39">
        <v>49153</v>
      </c>
      <c r="C309" s="5">
        <f>_xlfn.XLOOKUP(Hours_Sum[[#This Row],[Pay Due]],Dates_Ref[QCH due],Dates_Ref[Start],"",0)</f>
        <v>49135</v>
      </c>
      <c r="D309" s="5">
        <f>Hours_Sum[[#This Row],[PP Start]]+13</f>
        <v>49148</v>
      </c>
      <c r="E309">
        <f>SUM(Hours_Sum[[#This Row],[Reg Hrs]],Hours_Sum[[#This Row],[1.5x OT Hrs]],Hours_Sum[[#This Row],[2x OT Hrs]])</f>
        <v>0</v>
      </c>
      <c r="F309">
        <f>SUMIFS(Shift_Track[Reg
Hrs],Shift_Track[Pay Period],Hours_Sum[[#This Row],[Pay Due]])</f>
        <v>0</v>
      </c>
      <c r="G309">
        <f>SUMIFS(Shift_Track[1.5x OT
Hrs],Shift_Track[Pay Period],Hours_Sum[[#This Row],[Pay Due]])</f>
        <v>0</v>
      </c>
      <c r="H309">
        <f>SUMIFS(Shift_Track[2x OT
Hrs],Shift_Track[Pay Period],Hours_Sum[[#This Row],[Pay Due]])</f>
        <v>0</v>
      </c>
      <c r="I309">
        <f>SUM(Hours_Sum[[#This Row],[Reg Hrs]],1.5*Hours_Sum[[#This Row],[1.5x OT Hrs]],2*Hours_Sum[[#This Row],[2x OT Hrs]])</f>
        <v>0</v>
      </c>
      <c r="J309">
        <f>Hours_Sum[[#This Row],[Tot Hrs
(Converted)]]*22</f>
        <v>0</v>
      </c>
      <c r="K309">
        <f>YEAR(Hours_Sum[[#This Row],[Pay Due]])</f>
        <v>2034</v>
      </c>
      <c r="L309" t="str">
        <f>TEXT(Hours_Sum[[#This Row],[Pay Due]],"MMMM")</f>
        <v>July</v>
      </c>
    </row>
    <row r="310" spans="2:12" x14ac:dyDescent="0.25">
      <c r="B310" s="39">
        <v>49167</v>
      </c>
      <c r="C310" s="5">
        <f>_xlfn.XLOOKUP(Hours_Sum[[#This Row],[Pay Due]],Dates_Ref[QCH due],Dates_Ref[Start],"",0)</f>
        <v>49149</v>
      </c>
      <c r="D310" s="5">
        <f>Hours_Sum[[#This Row],[PP Start]]+13</f>
        <v>49162</v>
      </c>
      <c r="E310">
        <f>SUM(Hours_Sum[[#This Row],[Reg Hrs]],Hours_Sum[[#This Row],[1.5x OT Hrs]],Hours_Sum[[#This Row],[2x OT Hrs]])</f>
        <v>0</v>
      </c>
      <c r="F310">
        <f>SUMIFS(Shift_Track[Reg
Hrs],Shift_Track[Pay Period],Hours_Sum[[#This Row],[Pay Due]])</f>
        <v>0</v>
      </c>
      <c r="G310">
        <f>SUMIFS(Shift_Track[1.5x OT
Hrs],Shift_Track[Pay Period],Hours_Sum[[#This Row],[Pay Due]])</f>
        <v>0</v>
      </c>
      <c r="H310">
        <f>SUMIFS(Shift_Track[2x OT
Hrs],Shift_Track[Pay Period],Hours_Sum[[#This Row],[Pay Due]])</f>
        <v>0</v>
      </c>
      <c r="I310">
        <f>SUM(Hours_Sum[[#This Row],[Reg Hrs]],1.5*Hours_Sum[[#This Row],[1.5x OT Hrs]],2*Hours_Sum[[#This Row],[2x OT Hrs]])</f>
        <v>0</v>
      </c>
      <c r="J310">
        <f>Hours_Sum[[#This Row],[Tot Hrs
(Converted)]]*22</f>
        <v>0</v>
      </c>
      <c r="K310">
        <f>YEAR(Hours_Sum[[#This Row],[Pay Due]])</f>
        <v>2034</v>
      </c>
      <c r="L310" t="str">
        <f>TEXT(Hours_Sum[[#This Row],[Pay Due]],"MMMM")</f>
        <v>August</v>
      </c>
    </row>
    <row r="311" spans="2:12" x14ac:dyDescent="0.25">
      <c r="B311" s="39">
        <v>49181</v>
      </c>
      <c r="C311" s="5">
        <f>_xlfn.XLOOKUP(Hours_Sum[[#This Row],[Pay Due]],Dates_Ref[QCH due],Dates_Ref[Start],"",0)</f>
        <v>49163</v>
      </c>
      <c r="D311" s="5">
        <f>Hours_Sum[[#This Row],[PP Start]]+13</f>
        <v>49176</v>
      </c>
      <c r="E311">
        <f>SUM(Hours_Sum[[#This Row],[Reg Hrs]],Hours_Sum[[#This Row],[1.5x OT Hrs]],Hours_Sum[[#This Row],[2x OT Hrs]])</f>
        <v>0</v>
      </c>
      <c r="F311">
        <f>SUMIFS(Shift_Track[Reg
Hrs],Shift_Track[Pay Period],Hours_Sum[[#This Row],[Pay Due]])</f>
        <v>0</v>
      </c>
      <c r="G311">
        <f>SUMIFS(Shift_Track[1.5x OT
Hrs],Shift_Track[Pay Period],Hours_Sum[[#This Row],[Pay Due]])</f>
        <v>0</v>
      </c>
      <c r="H311">
        <f>SUMIFS(Shift_Track[2x OT
Hrs],Shift_Track[Pay Period],Hours_Sum[[#This Row],[Pay Due]])</f>
        <v>0</v>
      </c>
      <c r="I311">
        <f>SUM(Hours_Sum[[#This Row],[Reg Hrs]],1.5*Hours_Sum[[#This Row],[1.5x OT Hrs]],2*Hours_Sum[[#This Row],[2x OT Hrs]])</f>
        <v>0</v>
      </c>
      <c r="J311">
        <f>Hours_Sum[[#This Row],[Tot Hrs
(Converted)]]*22</f>
        <v>0</v>
      </c>
      <c r="K311">
        <f>YEAR(Hours_Sum[[#This Row],[Pay Due]])</f>
        <v>2034</v>
      </c>
      <c r="L311" t="str">
        <f>TEXT(Hours_Sum[[#This Row],[Pay Due]],"MMMM")</f>
        <v>August</v>
      </c>
    </row>
    <row r="312" spans="2:12" x14ac:dyDescent="0.25">
      <c r="B312" s="39">
        <v>49195</v>
      </c>
      <c r="C312" s="5">
        <f>_xlfn.XLOOKUP(Hours_Sum[[#This Row],[Pay Due]],Dates_Ref[QCH due],Dates_Ref[Start],"",0)</f>
        <v>49177</v>
      </c>
      <c r="D312" s="5">
        <f>Hours_Sum[[#This Row],[PP Start]]+13</f>
        <v>49190</v>
      </c>
      <c r="E312">
        <f>SUM(Hours_Sum[[#This Row],[Reg Hrs]],Hours_Sum[[#This Row],[1.5x OT Hrs]],Hours_Sum[[#This Row],[2x OT Hrs]])</f>
        <v>0</v>
      </c>
      <c r="F312">
        <f>SUMIFS(Shift_Track[Reg
Hrs],Shift_Track[Pay Period],Hours_Sum[[#This Row],[Pay Due]])</f>
        <v>0</v>
      </c>
      <c r="G312">
        <f>SUMIFS(Shift_Track[1.5x OT
Hrs],Shift_Track[Pay Period],Hours_Sum[[#This Row],[Pay Due]])</f>
        <v>0</v>
      </c>
      <c r="H312">
        <f>SUMIFS(Shift_Track[2x OT
Hrs],Shift_Track[Pay Period],Hours_Sum[[#This Row],[Pay Due]])</f>
        <v>0</v>
      </c>
      <c r="I312">
        <f>SUM(Hours_Sum[[#This Row],[Reg Hrs]],1.5*Hours_Sum[[#This Row],[1.5x OT Hrs]],2*Hours_Sum[[#This Row],[2x OT Hrs]])</f>
        <v>0</v>
      </c>
      <c r="J312">
        <f>Hours_Sum[[#This Row],[Tot Hrs
(Converted)]]*22</f>
        <v>0</v>
      </c>
      <c r="K312">
        <f>YEAR(Hours_Sum[[#This Row],[Pay Due]])</f>
        <v>2034</v>
      </c>
      <c r="L312" t="str">
        <f>TEXT(Hours_Sum[[#This Row],[Pay Due]],"MMMM")</f>
        <v>September</v>
      </c>
    </row>
    <row r="313" spans="2:12" x14ac:dyDescent="0.25">
      <c r="B313" s="39">
        <v>49209</v>
      </c>
      <c r="C313" s="5">
        <f>_xlfn.XLOOKUP(Hours_Sum[[#This Row],[Pay Due]],Dates_Ref[QCH due],Dates_Ref[Start],"",0)</f>
        <v>49191</v>
      </c>
      <c r="D313" s="5">
        <f>Hours_Sum[[#This Row],[PP Start]]+13</f>
        <v>49204</v>
      </c>
      <c r="E313">
        <f>SUM(Hours_Sum[[#This Row],[Reg Hrs]],Hours_Sum[[#This Row],[1.5x OT Hrs]],Hours_Sum[[#This Row],[2x OT Hrs]])</f>
        <v>0</v>
      </c>
      <c r="F313">
        <f>SUMIFS(Shift_Track[Reg
Hrs],Shift_Track[Pay Period],Hours_Sum[[#This Row],[Pay Due]])</f>
        <v>0</v>
      </c>
      <c r="G313">
        <f>SUMIFS(Shift_Track[1.5x OT
Hrs],Shift_Track[Pay Period],Hours_Sum[[#This Row],[Pay Due]])</f>
        <v>0</v>
      </c>
      <c r="H313">
        <f>SUMIFS(Shift_Track[2x OT
Hrs],Shift_Track[Pay Period],Hours_Sum[[#This Row],[Pay Due]])</f>
        <v>0</v>
      </c>
      <c r="I313">
        <f>SUM(Hours_Sum[[#This Row],[Reg Hrs]],1.5*Hours_Sum[[#This Row],[1.5x OT Hrs]],2*Hours_Sum[[#This Row],[2x OT Hrs]])</f>
        <v>0</v>
      </c>
      <c r="J313">
        <f>Hours_Sum[[#This Row],[Tot Hrs
(Converted)]]*22</f>
        <v>0</v>
      </c>
      <c r="K313">
        <f>YEAR(Hours_Sum[[#This Row],[Pay Due]])</f>
        <v>2034</v>
      </c>
      <c r="L313" t="str">
        <f>TEXT(Hours_Sum[[#This Row],[Pay Due]],"MMMM")</f>
        <v>September</v>
      </c>
    </row>
    <row r="314" spans="2:12" x14ac:dyDescent="0.25">
      <c r="B314" s="39">
        <v>49223</v>
      </c>
      <c r="C314" s="5">
        <f>_xlfn.XLOOKUP(Hours_Sum[[#This Row],[Pay Due]],Dates_Ref[QCH due],Dates_Ref[Start],"",0)</f>
        <v>49205</v>
      </c>
      <c r="D314" s="5">
        <f>Hours_Sum[[#This Row],[PP Start]]+13</f>
        <v>49218</v>
      </c>
      <c r="E314">
        <f>SUM(Hours_Sum[[#This Row],[Reg Hrs]],Hours_Sum[[#This Row],[1.5x OT Hrs]],Hours_Sum[[#This Row],[2x OT Hrs]])</f>
        <v>0</v>
      </c>
      <c r="F314">
        <f>SUMIFS(Shift_Track[Reg
Hrs],Shift_Track[Pay Period],Hours_Sum[[#This Row],[Pay Due]])</f>
        <v>0</v>
      </c>
      <c r="G314">
        <f>SUMIFS(Shift_Track[1.5x OT
Hrs],Shift_Track[Pay Period],Hours_Sum[[#This Row],[Pay Due]])</f>
        <v>0</v>
      </c>
      <c r="H314">
        <f>SUMIFS(Shift_Track[2x OT
Hrs],Shift_Track[Pay Period],Hours_Sum[[#This Row],[Pay Due]])</f>
        <v>0</v>
      </c>
      <c r="I314">
        <f>SUM(Hours_Sum[[#This Row],[Reg Hrs]],1.5*Hours_Sum[[#This Row],[1.5x OT Hrs]],2*Hours_Sum[[#This Row],[2x OT Hrs]])</f>
        <v>0</v>
      </c>
      <c r="J314">
        <f>Hours_Sum[[#This Row],[Tot Hrs
(Converted)]]*22</f>
        <v>0</v>
      </c>
      <c r="K314">
        <f>YEAR(Hours_Sum[[#This Row],[Pay Due]])</f>
        <v>2034</v>
      </c>
      <c r="L314" t="str">
        <f>TEXT(Hours_Sum[[#This Row],[Pay Due]],"MMMM")</f>
        <v>October</v>
      </c>
    </row>
    <row r="315" spans="2:12" x14ac:dyDescent="0.25">
      <c r="B315" s="39">
        <v>49237</v>
      </c>
      <c r="C315" s="5">
        <f>_xlfn.XLOOKUP(Hours_Sum[[#This Row],[Pay Due]],Dates_Ref[QCH due],Dates_Ref[Start],"",0)</f>
        <v>49219</v>
      </c>
      <c r="D315" s="5">
        <f>Hours_Sum[[#This Row],[PP Start]]+13</f>
        <v>49232</v>
      </c>
      <c r="E315">
        <f>SUM(Hours_Sum[[#This Row],[Reg Hrs]],Hours_Sum[[#This Row],[1.5x OT Hrs]],Hours_Sum[[#This Row],[2x OT Hrs]])</f>
        <v>0</v>
      </c>
      <c r="F315">
        <f>SUMIFS(Shift_Track[Reg
Hrs],Shift_Track[Pay Period],Hours_Sum[[#This Row],[Pay Due]])</f>
        <v>0</v>
      </c>
      <c r="G315">
        <f>SUMIFS(Shift_Track[1.5x OT
Hrs],Shift_Track[Pay Period],Hours_Sum[[#This Row],[Pay Due]])</f>
        <v>0</v>
      </c>
      <c r="H315">
        <f>SUMIFS(Shift_Track[2x OT
Hrs],Shift_Track[Pay Period],Hours_Sum[[#This Row],[Pay Due]])</f>
        <v>0</v>
      </c>
      <c r="I315">
        <f>SUM(Hours_Sum[[#This Row],[Reg Hrs]],1.5*Hours_Sum[[#This Row],[1.5x OT Hrs]],2*Hours_Sum[[#This Row],[2x OT Hrs]])</f>
        <v>0</v>
      </c>
      <c r="J315">
        <f>Hours_Sum[[#This Row],[Tot Hrs
(Converted)]]*22</f>
        <v>0</v>
      </c>
      <c r="K315">
        <f>YEAR(Hours_Sum[[#This Row],[Pay Due]])</f>
        <v>2034</v>
      </c>
      <c r="L315" t="str">
        <f>TEXT(Hours_Sum[[#This Row],[Pay Due]],"MMMM")</f>
        <v>October</v>
      </c>
    </row>
    <row r="316" spans="2:12" x14ac:dyDescent="0.25">
      <c r="B316" s="39">
        <v>49251</v>
      </c>
      <c r="C316" s="5">
        <f>_xlfn.XLOOKUP(Hours_Sum[[#This Row],[Pay Due]],Dates_Ref[QCH due],Dates_Ref[Start],"",0)</f>
        <v>49233</v>
      </c>
      <c r="D316" s="5">
        <f>Hours_Sum[[#This Row],[PP Start]]+13</f>
        <v>49246</v>
      </c>
      <c r="E316">
        <f>SUM(Hours_Sum[[#This Row],[Reg Hrs]],Hours_Sum[[#This Row],[1.5x OT Hrs]],Hours_Sum[[#This Row],[2x OT Hrs]])</f>
        <v>0</v>
      </c>
      <c r="F316">
        <f>SUMIFS(Shift_Track[Reg
Hrs],Shift_Track[Pay Period],Hours_Sum[[#This Row],[Pay Due]])</f>
        <v>0</v>
      </c>
      <c r="G316">
        <f>SUMIFS(Shift_Track[1.5x OT
Hrs],Shift_Track[Pay Period],Hours_Sum[[#This Row],[Pay Due]])</f>
        <v>0</v>
      </c>
      <c r="H316">
        <f>SUMIFS(Shift_Track[2x OT
Hrs],Shift_Track[Pay Period],Hours_Sum[[#This Row],[Pay Due]])</f>
        <v>0</v>
      </c>
      <c r="I316">
        <f>SUM(Hours_Sum[[#This Row],[Reg Hrs]],1.5*Hours_Sum[[#This Row],[1.5x OT Hrs]],2*Hours_Sum[[#This Row],[2x OT Hrs]])</f>
        <v>0</v>
      </c>
      <c r="J316">
        <f>Hours_Sum[[#This Row],[Tot Hrs
(Converted)]]*22</f>
        <v>0</v>
      </c>
      <c r="K316">
        <f>YEAR(Hours_Sum[[#This Row],[Pay Due]])</f>
        <v>2034</v>
      </c>
      <c r="L316" t="str">
        <f>TEXT(Hours_Sum[[#This Row],[Pay Due]],"MMMM")</f>
        <v>November</v>
      </c>
    </row>
    <row r="317" spans="2:12" x14ac:dyDescent="0.25">
      <c r="B317" s="39">
        <v>49265</v>
      </c>
      <c r="C317" s="5">
        <f>_xlfn.XLOOKUP(Hours_Sum[[#This Row],[Pay Due]],Dates_Ref[QCH due],Dates_Ref[Start],"",0)</f>
        <v>49247</v>
      </c>
      <c r="D317" s="5">
        <f>Hours_Sum[[#This Row],[PP Start]]+13</f>
        <v>49260</v>
      </c>
      <c r="E317">
        <f>SUM(Hours_Sum[[#This Row],[Reg Hrs]],Hours_Sum[[#This Row],[1.5x OT Hrs]],Hours_Sum[[#This Row],[2x OT Hrs]])</f>
        <v>0</v>
      </c>
      <c r="F317">
        <f>SUMIFS(Shift_Track[Reg
Hrs],Shift_Track[Pay Period],Hours_Sum[[#This Row],[Pay Due]])</f>
        <v>0</v>
      </c>
      <c r="G317">
        <f>SUMIFS(Shift_Track[1.5x OT
Hrs],Shift_Track[Pay Period],Hours_Sum[[#This Row],[Pay Due]])</f>
        <v>0</v>
      </c>
      <c r="H317">
        <f>SUMIFS(Shift_Track[2x OT
Hrs],Shift_Track[Pay Period],Hours_Sum[[#This Row],[Pay Due]])</f>
        <v>0</v>
      </c>
      <c r="I317">
        <f>SUM(Hours_Sum[[#This Row],[Reg Hrs]],1.5*Hours_Sum[[#This Row],[1.5x OT Hrs]],2*Hours_Sum[[#This Row],[2x OT Hrs]])</f>
        <v>0</v>
      </c>
      <c r="J317">
        <f>Hours_Sum[[#This Row],[Tot Hrs
(Converted)]]*22</f>
        <v>0</v>
      </c>
      <c r="K317">
        <f>YEAR(Hours_Sum[[#This Row],[Pay Due]])</f>
        <v>2034</v>
      </c>
      <c r="L317" t="str">
        <f>TEXT(Hours_Sum[[#This Row],[Pay Due]],"MMMM")</f>
        <v>November</v>
      </c>
    </row>
    <row r="318" spans="2:12" x14ac:dyDescent="0.25">
      <c r="B318" s="39">
        <v>49279</v>
      </c>
      <c r="C318" s="5">
        <f>_xlfn.XLOOKUP(Hours_Sum[[#This Row],[Pay Due]],Dates_Ref[QCH due],Dates_Ref[Start],"",0)</f>
        <v>49261</v>
      </c>
      <c r="D318" s="5">
        <f>Hours_Sum[[#This Row],[PP Start]]+13</f>
        <v>49274</v>
      </c>
      <c r="E318">
        <f>SUM(Hours_Sum[[#This Row],[Reg Hrs]],Hours_Sum[[#This Row],[1.5x OT Hrs]],Hours_Sum[[#This Row],[2x OT Hrs]])</f>
        <v>0</v>
      </c>
      <c r="F318">
        <f>SUMIFS(Shift_Track[Reg
Hrs],Shift_Track[Pay Period],Hours_Sum[[#This Row],[Pay Due]])</f>
        <v>0</v>
      </c>
      <c r="G318">
        <f>SUMIFS(Shift_Track[1.5x OT
Hrs],Shift_Track[Pay Period],Hours_Sum[[#This Row],[Pay Due]])</f>
        <v>0</v>
      </c>
      <c r="H318">
        <f>SUMIFS(Shift_Track[2x OT
Hrs],Shift_Track[Pay Period],Hours_Sum[[#This Row],[Pay Due]])</f>
        <v>0</v>
      </c>
      <c r="I318">
        <f>SUM(Hours_Sum[[#This Row],[Reg Hrs]],1.5*Hours_Sum[[#This Row],[1.5x OT Hrs]],2*Hours_Sum[[#This Row],[2x OT Hrs]])</f>
        <v>0</v>
      </c>
      <c r="J318">
        <f>Hours_Sum[[#This Row],[Tot Hrs
(Converted)]]*22</f>
        <v>0</v>
      </c>
      <c r="K318">
        <f>YEAR(Hours_Sum[[#This Row],[Pay Due]])</f>
        <v>2034</v>
      </c>
      <c r="L318" t="str">
        <f>TEXT(Hours_Sum[[#This Row],[Pay Due]],"MMMM")</f>
        <v>December</v>
      </c>
    </row>
    <row r="319" spans="2:12" x14ac:dyDescent="0.25">
      <c r="B319" s="39">
        <v>49293</v>
      </c>
      <c r="C319" s="5">
        <f>_xlfn.XLOOKUP(Hours_Sum[[#This Row],[Pay Due]],Dates_Ref[QCH due],Dates_Ref[Start],"",0)</f>
        <v>49275</v>
      </c>
      <c r="D319" s="5">
        <f>Hours_Sum[[#This Row],[PP Start]]+13</f>
        <v>49288</v>
      </c>
      <c r="E319">
        <f>SUM(Hours_Sum[[#This Row],[Reg Hrs]],Hours_Sum[[#This Row],[1.5x OT Hrs]],Hours_Sum[[#This Row],[2x OT Hrs]])</f>
        <v>0</v>
      </c>
      <c r="F319">
        <f>SUMIFS(Shift_Track[Reg
Hrs],Shift_Track[Pay Period],Hours_Sum[[#This Row],[Pay Due]])</f>
        <v>0</v>
      </c>
      <c r="G319">
        <f>SUMIFS(Shift_Track[1.5x OT
Hrs],Shift_Track[Pay Period],Hours_Sum[[#This Row],[Pay Due]])</f>
        <v>0</v>
      </c>
      <c r="H319">
        <f>SUMIFS(Shift_Track[2x OT
Hrs],Shift_Track[Pay Period],Hours_Sum[[#This Row],[Pay Due]])</f>
        <v>0</v>
      </c>
      <c r="I319">
        <f>SUM(Hours_Sum[[#This Row],[Reg Hrs]],1.5*Hours_Sum[[#This Row],[1.5x OT Hrs]],2*Hours_Sum[[#This Row],[2x OT Hrs]])</f>
        <v>0</v>
      </c>
      <c r="J319">
        <f>Hours_Sum[[#This Row],[Tot Hrs
(Converted)]]*22</f>
        <v>0</v>
      </c>
      <c r="K319">
        <f>YEAR(Hours_Sum[[#This Row],[Pay Due]])</f>
        <v>2034</v>
      </c>
      <c r="L319" t="str">
        <f>TEXT(Hours_Sum[[#This Row],[Pay Due]],"MMMM")</f>
        <v>December</v>
      </c>
    </row>
    <row r="320" spans="2:12" x14ac:dyDescent="0.25">
      <c r="B320" s="39">
        <v>49307</v>
      </c>
      <c r="C320" s="5">
        <f>_xlfn.XLOOKUP(Hours_Sum[[#This Row],[Pay Due]],Dates_Ref[QCH due],Dates_Ref[Start],"",0)</f>
        <v>49289</v>
      </c>
      <c r="D320" s="5">
        <f>Hours_Sum[[#This Row],[PP Start]]+13</f>
        <v>49302</v>
      </c>
      <c r="E320">
        <f>SUM(Hours_Sum[[#This Row],[Reg Hrs]],Hours_Sum[[#This Row],[1.5x OT Hrs]],Hours_Sum[[#This Row],[2x OT Hrs]])</f>
        <v>0</v>
      </c>
      <c r="F320">
        <f>SUMIFS(Shift_Track[Reg
Hrs],Shift_Track[Pay Period],Hours_Sum[[#This Row],[Pay Due]])</f>
        <v>0</v>
      </c>
      <c r="G320">
        <f>SUMIFS(Shift_Track[1.5x OT
Hrs],Shift_Track[Pay Period],Hours_Sum[[#This Row],[Pay Due]])</f>
        <v>0</v>
      </c>
      <c r="H320">
        <f>SUMIFS(Shift_Track[2x OT
Hrs],Shift_Track[Pay Period],Hours_Sum[[#This Row],[Pay Due]])</f>
        <v>0</v>
      </c>
      <c r="I320">
        <f>SUM(Hours_Sum[[#This Row],[Reg Hrs]],1.5*Hours_Sum[[#This Row],[1.5x OT Hrs]],2*Hours_Sum[[#This Row],[2x OT Hrs]])</f>
        <v>0</v>
      </c>
      <c r="J320">
        <f>Hours_Sum[[#This Row],[Tot Hrs
(Converted)]]*22</f>
        <v>0</v>
      </c>
      <c r="K320">
        <f>YEAR(Hours_Sum[[#This Row],[Pay Due]])</f>
        <v>2034</v>
      </c>
      <c r="L320" t="str">
        <f>TEXT(Hours_Sum[[#This Row],[Pay Due]],"MMMM")</f>
        <v>December</v>
      </c>
    </row>
    <row r="321" spans="2:12" x14ac:dyDescent="0.25">
      <c r="B321" s="39">
        <v>49321</v>
      </c>
      <c r="C321" s="5">
        <f>_xlfn.XLOOKUP(Hours_Sum[[#This Row],[Pay Due]],Dates_Ref[QCH due],Dates_Ref[Start],"",0)</f>
        <v>49303</v>
      </c>
      <c r="D321" s="5">
        <f>Hours_Sum[[#This Row],[PP Start]]+13</f>
        <v>49316</v>
      </c>
      <c r="E321">
        <f>SUM(Hours_Sum[[#This Row],[Reg Hrs]],Hours_Sum[[#This Row],[1.5x OT Hrs]],Hours_Sum[[#This Row],[2x OT Hrs]])</f>
        <v>0</v>
      </c>
      <c r="F321">
        <f>SUMIFS(Shift_Track[Reg
Hrs],Shift_Track[Pay Period],Hours_Sum[[#This Row],[Pay Due]])</f>
        <v>0</v>
      </c>
      <c r="G321">
        <f>SUMIFS(Shift_Track[1.5x OT
Hrs],Shift_Track[Pay Period],Hours_Sum[[#This Row],[Pay Due]])</f>
        <v>0</v>
      </c>
      <c r="H321">
        <f>SUMIFS(Shift_Track[2x OT
Hrs],Shift_Track[Pay Period],Hours_Sum[[#This Row],[Pay Due]])</f>
        <v>0</v>
      </c>
      <c r="I321">
        <f>SUM(Hours_Sum[[#This Row],[Reg Hrs]],1.5*Hours_Sum[[#This Row],[1.5x OT Hrs]],2*Hours_Sum[[#This Row],[2x OT Hrs]])</f>
        <v>0</v>
      </c>
      <c r="J321">
        <f>Hours_Sum[[#This Row],[Tot Hrs
(Converted)]]*22</f>
        <v>0</v>
      </c>
      <c r="K321">
        <f>YEAR(Hours_Sum[[#This Row],[Pay Due]])</f>
        <v>2035</v>
      </c>
      <c r="L321" t="str">
        <f>TEXT(Hours_Sum[[#This Row],[Pay Due]],"MMMM")</f>
        <v>January</v>
      </c>
    </row>
    <row r="322" spans="2:12" x14ac:dyDescent="0.25">
      <c r="B322" s="39">
        <v>49335</v>
      </c>
      <c r="C322" s="5">
        <f>_xlfn.XLOOKUP(Hours_Sum[[#This Row],[Pay Due]],Dates_Ref[QCH due],Dates_Ref[Start],"",0)</f>
        <v>49317</v>
      </c>
      <c r="D322" s="5">
        <f>Hours_Sum[[#This Row],[PP Start]]+13</f>
        <v>49330</v>
      </c>
      <c r="E322">
        <f>SUM(Hours_Sum[[#This Row],[Reg Hrs]],Hours_Sum[[#This Row],[1.5x OT Hrs]],Hours_Sum[[#This Row],[2x OT Hrs]])</f>
        <v>0</v>
      </c>
      <c r="F322">
        <f>SUMIFS(Shift_Track[Reg
Hrs],Shift_Track[Pay Period],Hours_Sum[[#This Row],[Pay Due]])</f>
        <v>0</v>
      </c>
      <c r="G322">
        <f>SUMIFS(Shift_Track[1.5x OT
Hrs],Shift_Track[Pay Period],Hours_Sum[[#This Row],[Pay Due]])</f>
        <v>0</v>
      </c>
      <c r="H322">
        <f>SUMIFS(Shift_Track[2x OT
Hrs],Shift_Track[Pay Period],Hours_Sum[[#This Row],[Pay Due]])</f>
        <v>0</v>
      </c>
      <c r="I322">
        <f>SUM(Hours_Sum[[#This Row],[Reg Hrs]],1.5*Hours_Sum[[#This Row],[1.5x OT Hrs]],2*Hours_Sum[[#This Row],[2x OT Hrs]])</f>
        <v>0</v>
      </c>
      <c r="J322">
        <f>Hours_Sum[[#This Row],[Tot Hrs
(Converted)]]*22</f>
        <v>0</v>
      </c>
      <c r="K322">
        <f>YEAR(Hours_Sum[[#This Row],[Pay Due]])</f>
        <v>2035</v>
      </c>
      <c r="L322" t="str">
        <f>TEXT(Hours_Sum[[#This Row],[Pay Due]],"MMMM")</f>
        <v>January</v>
      </c>
    </row>
    <row r="323" spans="2:12" x14ac:dyDescent="0.25">
      <c r="B323" s="39">
        <v>49349</v>
      </c>
      <c r="C323" s="5">
        <f>_xlfn.XLOOKUP(Hours_Sum[[#This Row],[Pay Due]],Dates_Ref[QCH due],Dates_Ref[Start],"",0)</f>
        <v>49331</v>
      </c>
      <c r="D323" s="5">
        <f>Hours_Sum[[#This Row],[PP Start]]+13</f>
        <v>49344</v>
      </c>
      <c r="E323">
        <f>SUM(Hours_Sum[[#This Row],[Reg Hrs]],Hours_Sum[[#This Row],[1.5x OT Hrs]],Hours_Sum[[#This Row],[2x OT Hrs]])</f>
        <v>0</v>
      </c>
      <c r="F323">
        <f>SUMIFS(Shift_Track[Reg
Hrs],Shift_Track[Pay Period],Hours_Sum[[#This Row],[Pay Due]])</f>
        <v>0</v>
      </c>
      <c r="G323">
        <f>SUMIFS(Shift_Track[1.5x OT
Hrs],Shift_Track[Pay Period],Hours_Sum[[#This Row],[Pay Due]])</f>
        <v>0</v>
      </c>
      <c r="H323">
        <f>SUMIFS(Shift_Track[2x OT
Hrs],Shift_Track[Pay Period],Hours_Sum[[#This Row],[Pay Due]])</f>
        <v>0</v>
      </c>
      <c r="I323">
        <f>SUM(Hours_Sum[[#This Row],[Reg Hrs]],1.5*Hours_Sum[[#This Row],[1.5x OT Hrs]],2*Hours_Sum[[#This Row],[2x OT Hrs]])</f>
        <v>0</v>
      </c>
      <c r="J323">
        <f>Hours_Sum[[#This Row],[Tot Hrs
(Converted)]]*22</f>
        <v>0</v>
      </c>
      <c r="K323">
        <f>YEAR(Hours_Sum[[#This Row],[Pay Due]])</f>
        <v>2035</v>
      </c>
      <c r="L323" t="str">
        <f>TEXT(Hours_Sum[[#This Row],[Pay Due]],"MMMM")</f>
        <v>February</v>
      </c>
    </row>
    <row r="324" spans="2:12" x14ac:dyDescent="0.25">
      <c r="B324" s="39">
        <v>49363</v>
      </c>
      <c r="C324" s="5">
        <f>_xlfn.XLOOKUP(Hours_Sum[[#This Row],[Pay Due]],Dates_Ref[QCH due],Dates_Ref[Start],"",0)</f>
        <v>49345</v>
      </c>
      <c r="D324" s="5">
        <f>Hours_Sum[[#This Row],[PP Start]]+13</f>
        <v>49358</v>
      </c>
      <c r="E324">
        <f>SUM(Hours_Sum[[#This Row],[Reg Hrs]],Hours_Sum[[#This Row],[1.5x OT Hrs]],Hours_Sum[[#This Row],[2x OT Hrs]])</f>
        <v>0</v>
      </c>
      <c r="F324">
        <f>SUMIFS(Shift_Track[Reg
Hrs],Shift_Track[Pay Period],Hours_Sum[[#This Row],[Pay Due]])</f>
        <v>0</v>
      </c>
      <c r="G324">
        <f>SUMIFS(Shift_Track[1.5x OT
Hrs],Shift_Track[Pay Period],Hours_Sum[[#This Row],[Pay Due]])</f>
        <v>0</v>
      </c>
      <c r="H324">
        <f>SUMIFS(Shift_Track[2x OT
Hrs],Shift_Track[Pay Period],Hours_Sum[[#This Row],[Pay Due]])</f>
        <v>0</v>
      </c>
      <c r="I324">
        <f>SUM(Hours_Sum[[#This Row],[Reg Hrs]],1.5*Hours_Sum[[#This Row],[1.5x OT Hrs]],2*Hours_Sum[[#This Row],[2x OT Hrs]])</f>
        <v>0</v>
      </c>
      <c r="J324">
        <f>Hours_Sum[[#This Row],[Tot Hrs
(Converted)]]*22</f>
        <v>0</v>
      </c>
      <c r="K324">
        <f>YEAR(Hours_Sum[[#This Row],[Pay Due]])</f>
        <v>2035</v>
      </c>
      <c r="L324" t="str">
        <f>TEXT(Hours_Sum[[#This Row],[Pay Due]],"MMMM")</f>
        <v>February</v>
      </c>
    </row>
    <row r="325" spans="2:12" x14ac:dyDescent="0.25">
      <c r="B325" s="39">
        <v>49377</v>
      </c>
      <c r="C325" s="5">
        <f>_xlfn.XLOOKUP(Hours_Sum[[#This Row],[Pay Due]],Dates_Ref[QCH due],Dates_Ref[Start],"",0)</f>
        <v>49359</v>
      </c>
      <c r="D325" s="5">
        <f>Hours_Sum[[#This Row],[PP Start]]+13</f>
        <v>49372</v>
      </c>
      <c r="E325">
        <f>SUM(Hours_Sum[[#This Row],[Reg Hrs]],Hours_Sum[[#This Row],[1.5x OT Hrs]],Hours_Sum[[#This Row],[2x OT Hrs]])</f>
        <v>0</v>
      </c>
      <c r="F325">
        <f>SUMIFS(Shift_Track[Reg
Hrs],Shift_Track[Pay Period],Hours_Sum[[#This Row],[Pay Due]])</f>
        <v>0</v>
      </c>
      <c r="G325">
        <f>SUMIFS(Shift_Track[1.5x OT
Hrs],Shift_Track[Pay Period],Hours_Sum[[#This Row],[Pay Due]])</f>
        <v>0</v>
      </c>
      <c r="H325">
        <f>SUMIFS(Shift_Track[2x OT
Hrs],Shift_Track[Pay Period],Hours_Sum[[#This Row],[Pay Due]])</f>
        <v>0</v>
      </c>
      <c r="I325">
        <f>SUM(Hours_Sum[[#This Row],[Reg Hrs]],1.5*Hours_Sum[[#This Row],[1.5x OT Hrs]],2*Hours_Sum[[#This Row],[2x OT Hrs]])</f>
        <v>0</v>
      </c>
      <c r="J325">
        <f>Hours_Sum[[#This Row],[Tot Hrs
(Converted)]]*22</f>
        <v>0</v>
      </c>
      <c r="K325">
        <f>YEAR(Hours_Sum[[#This Row],[Pay Due]])</f>
        <v>2035</v>
      </c>
      <c r="L325" t="str">
        <f>TEXT(Hours_Sum[[#This Row],[Pay Due]],"MMMM")</f>
        <v>March</v>
      </c>
    </row>
    <row r="326" spans="2:12" x14ac:dyDescent="0.25">
      <c r="B326" s="39">
        <v>49391</v>
      </c>
      <c r="C326" s="5">
        <f>_xlfn.XLOOKUP(Hours_Sum[[#This Row],[Pay Due]],Dates_Ref[QCH due],Dates_Ref[Start],"",0)</f>
        <v>49373</v>
      </c>
      <c r="D326" s="5">
        <f>Hours_Sum[[#This Row],[PP Start]]+13</f>
        <v>49386</v>
      </c>
      <c r="E326">
        <f>SUM(Hours_Sum[[#This Row],[Reg Hrs]],Hours_Sum[[#This Row],[1.5x OT Hrs]],Hours_Sum[[#This Row],[2x OT Hrs]])</f>
        <v>0</v>
      </c>
      <c r="F326">
        <f>SUMIFS(Shift_Track[Reg
Hrs],Shift_Track[Pay Period],Hours_Sum[[#This Row],[Pay Due]])</f>
        <v>0</v>
      </c>
      <c r="G326">
        <f>SUMIFS(Shift_Track[1.5x OT
Hrs],Shift_Track[Pay Period],Hours_Sum[[#This Row],[Pay Due]])</f>
        <v>0</v>
      </c>
      <c r="H326">
        <f>SUMIFS(Shift_Track[2x OT
Hrs],Shift_Track[Pay Period],Hours_Sum[[#This Row],[Pay Due]])</f>
        <v>0</v>
      </c>
      <c r="I326">
        <f>SUM(Hours_Sum[[#This Row],[Reg Hrs]],1.5*Hours_Sum[[#This Row],[1.5x OT Hrs]],2*Hours_Sum[[#This Row],[2x OT Hrs]])</f>
        <v>0</v>
      </c>
      <c r="J326">
        <f>Hours_Sum[[#This Row],[Tot Hrs
(Converted)]]*22</f>
        <v>0</v>
      </c>
      <c r="K326">
        <f>YEAR(Hours_Sum[[#This Row],[Pay Due]])</f>
        <v>2035</v>
      </c>
      <c r="L326" t="str">
        <f>TEXT(Hours_Sum[[#This Row],[Pay Due]],"MMMM")</f>
        <v>March</v>
      </c>
    </row>
    <row r="327" spans="2:12" x14ac:dyDescent="0.25">
      <c r="B327" s="39">
        <v>49405</v>
      </c>
      <c r="C327" s="5">
        <f>_xlfn.XLOOKUP(Hours_Sum[[#This Row],[Pay Due]],Dates_Ref[QCH due],Dates_Ref[Start],"",0)</f>
        <v>49387</v>
      </c>
      <c r="D327" s="5">
        <f>Hours_Sum[[#This Row],[PP Start]]+13</f>
        <v>49400</v>
      </c>
      <c r="E327">
        <f>SUM(Hours_Sum[[#This Row],[Reg Hrs]],Hours_Sum[[#This Row],[1.5x OT Hrs]],Hours_Sum[[#This Row],[2x OT Hrs]])</f>
        <v>0</v>
      </c>
      <c r="F327">
        <f>SUMIFS(Shift_Track[Reg
Hrs],Shift_Track[Pay Period],Hours_Sum[[#This Row],[Pay Due]])</f>
        <v>0</v>
      </c>
      <c r="G327">
        <f>SUMIFS(Shift_Track[1.5x OT
Hrs],Shift_Track[Pay Period],Hours_Sum[[#This Row],[Pay Due]])</f>
        <v>0</v>
      </c>
      <c r="H327">
        <f>SUMIFS(Shift_Track[2x OT
Hrs],Shift_Track[Pay Period],Hours_Sum[[#This Row],[Pay Due]])</f>
        <v>0</v>
      </c>
      <c r="I327">
        <f>SUM(Hours_Sum[[#This Row],[Reg Hrs]],1.5*Hours_Sum[[#This Row],[1.5x OT Hrs]],2*Hours_Sum[[#This Row],[2x OT Hrs]])</f>
        <v>0</v>
      </c>
      <c r="J327">
        <f>Hours_Sum[[#This Row],[Tot Hrs
(Converted)]]*22</f>
        <v>0</v>
      </c>
      <c r="K327">
        <f>YEAR(Hours_Sum[[#This Row],[Pay Due]])</f>
        <v>2035</v>
      </c>
      <c r="L327" t="str">
        <f>TEXT(Hours_Sum[[#This Row],[Pay Due]],"MMMM")</f>
        <v>April</v>
      </c>
    </row>
    <row r="328" spans="2:12" x14ac:dyDescent="0.25">
      <c r="B328" s="39">
        <v>49419</v>
      </c>
      <c r="C328" s="5">
        <f>_xlfn.XLOOKUP(Hours_Sum[[#This Row],[Pay Due]],Dates_Ref[QCH due],Dates_Ref[Start],"",0)</f>
        <v>49401</v>
      </c>
      <c r="D328" s="5">
        <f>Hours_Sum[[#This Row],[PP Start]]+13</f>
        <v>49414</v>
      </c>
      <c r="E328">
        <f>SUM(Hours_Sum[[#This Row],[Reg Hrs]],Hours_Sum[[#This Row],[1.5x OT Hrs]],Hours_Sum[[#This Row],[2x OT Hrs]])</f>
        <v>0</v>
      </c>
      <c r="F328">
        <f>SUMIFS(Shift_Track[Reg
Hrs],Shift_Track[Pay Period],Hours_Sum[[#This Row],[Pay Due]])</f>
        <v>0</v>
      </c>
      <c r="G328">
        <f>SUMIFS(Shift_Track[1.5x OT
Hrs],Shift_Track[Pay Period],Hours_Sum[[#This Row],[Pay Due]])</f>
        <v>0</v>
      </c>
      <c r="H328">
        <f>SUMIFS(Shift_Track[2x OT
Hrs],Shift_Track[Pay Period],Hours_Sum[[#This Row],[Pay Due]])</f>
        <v>0</v>
      </c>
      <c r="I328">
        <f>SUM(Hours_Sum[[#This Row],[Reg Hrs]],1.5*Hours_Sum[[#This Row],[1.5x OT Hrs]],2*Hours_Sum[[#This Row],[2x OT Hrs]])</f>
        <v>0</v>
      </c>
      <c r="J328">
        <f>Hours_Sum[[#This Row],[Tot Hrs
(Converted)]]*22</f>
        <v>0</v>
      </c>
      <c r="K328">
        <f>YEAR(Hours_Sum[[#This Row],[Pay Due]])</f>
        <v>2035</v>
      </c>
      <c r="L328" t="str">
        <f>TEXT(Hours_Sum[[#This Row],[Pay Due]],"MMMM")</f>
        <v>April</v>
      </c>
    </row>
    <row r="329" spans="2:12" x14ac:dyDescent="0.25">
      <c r="B329" s="39">
        <v>49433</v>
      </c>
      <c r="C329" s="5">
        <f>_xlfn.XLOOKUP(Hours_Sum[[#This Row],[Pay Due]],Dates_Ref[QCH due],Dates_Ref[Start],"",0)</f>
        <v>49415</v>
      </c>
      <c r="D329" s="5">
        <f>Hours_Sum[[#This Row],[PP Start]]+13</f>
        <v>49428</v>
      </c>
      <c r="E329">
        <f>SUM(Hours_Sum[[#This Row],[Reg Hrs]],Hours_Sum[[#This Row],[1.5x OT Hrs]],Hours_Sum[[#This Row],[2x OT Hrs]])</f>
        <v>0</v>
      </c>
      <c r="F329">
        <f>SUMIFS(Shift_Track[Reg
Hrs],Shift_Track[Pay Period],Hours_Sum[[#This Row],[Pay Due]])</f>
        <v>0</v>
      </c>
      <c r="G329">
        <f>SUMIFS(Shift_Track[1.5x OT
Hrs],Shift_Track[Pay Period],Hours_Sum[[#This Row],[Pay Due]])</f>
        <v>0</v>
      </c>
      <c r="H329">
        <f>SUMIFS(Shift_Track[2x OT
Hrs],Shift_Track[Pay Period],Hours_Sum[[#This Row],[Pay Due]])</f>
        <v>0</v>
      </c>
      <c r="I329">
        <f>SUM(Hours_Sum[[#This Row],[Reg Hrs]],1.5*Hours_Sum[[#This Row],[1.5x OT Hrs]],2*Hours_Sum[[#This Row],[2x OT Hrs]])</f>
        <v>0</v>
      </c>
      <c r="J329">
        <f>Hours_Sum[[#This Row],[Tot Hrs
(Converted)]]*22</f>
        <v>0</v>
      </c>
      <c r="K329">
        <f>YEAR(Hours_Sum[[#This Row],[Pay Due]])</f>
        <v>2035</v>
      </c>
      <c r="L329" t="str">
        <f>TEXT(Hours_Sum[[#This Row],[Pay Due]],"MMMM")</f>
        <v>May</v>
      </c>
    </row>
    <row r="330" spans="2:12" x14ac:dyDescent="0.25">
      <c r="B330" s="39">
        <v>49447</v>
      </c>
      <c r="C330" s="5">
        <f>_xlfn.XLOOKUP(Hours_Sum[[#This Row],[Pay Due]],Dates_Ref[QCH due],Dates_Ref[Start],"",0)</f>
        <v>49429</v>
      </c>
      <c r="D330" s="5">
        <f>Hours_Sum[[#This Row],[PP Start]]+13</f>
        <v>49442</v>
      </c>
      <c r="E330">
        <f>SUM(Hours_Sum[[#This Row],[Reg Hrs]],Hours_Sum[[#This Row],[1.5x OT Hrs]],Hours_Sum[[#This Row],[2x OT Hrs]])</f>
        <v>0</v>
      </c>
      <c r="F330">
        <f>SUMIFS(Shift_Track[Reg
Hrs],Shift_Track[Pay Period],Hours_Sum[[#This Row],[Pay Due]])</f>
        <v>0</v>
      </c>
      <c r="G330">
        <f>SUMIFS(Shift_Track[1.5x OT
Hrs],Shift_Track[Pay Period],Hours_Sum[[#This Row],[Pay Due]])</f>
        <v>0</v>
      </c>
      <c r="H330">
        <f>SUMIFS(Shift_Track[2x OT
Hrs],Shift_Track[Pay Period],Hours_Sum[[#This Row],[Pay Due]])</f>
        <v>0</v>
      </c>
      <c r="I330">
        <f>SUM(Hours_Sum[[#This Row],[Reg Hrs]],1.5*Hours_Sum[[#This Row],[1.5x OT Hrs]],2*Hours_Sum[[#This Row],[2x OT Hrs]])</f>
        <v>0</v>
      </c>
      <c r="J330">
        <f>Hours_Sum[[#This Row],[Tot Hrs
(Converted)]]*22</f>
        <v>0</v>
      </c>
      <c r="K330">
        <f>YEAR(Hours_Sum[[#This Row],[Pay Due]])</f>
        <v>2035</v>
      </c>
      <c r="L330" t="str">
        <f>TEXT(Hours_Sum[[#This Row],[Pay Due]],"MMMM")</f>
        <v>May</v>
      </c>
    </row>
    <row r="331" spans="2:12" x14ac:dyDescent="0.25">
      <c r="B331" s="39">
        <v>49461</v>
      </c>
      <c r="C331" s="5">
        <f>_xlfn.XLOOKUP(Hours_Sum[[#This Row],[Pay Due]],Dates_Ref[QCH due],Dates_Ref[Start],"",0)</f>
        <v>49443</v>
      </c>
      <c r="D331" s="5">
        <f>Hours_Sum[[#This Row],[PP Start]]+13</f>
        <v>49456</v>
      </c>
      <c r="E331">
        <f>SUM(Hours_Sum[[#This Row],[Reg Hrs]],Hours_Sum[[#This Row],[1.5x OT Hrs]],Hours_Sum[[#This Row],[2x OT Hrs]])</f>
        <v>0</v>
      </c>
      <c r="F331">
        <f>SUMIFS(Shift_Track[Reg
Hrs],Shift_Track[Pay Period],Hours_Sum[[#This Row],[Pay Due]])</f>
        <v>0</v>
      </c>
      <c r="G331">
        <f>SUMIFS(Shift_Track[1.5x OT
Hrs],Shift_Track[Pay Period],Hours_Sum[[#This Row],[Pay Due]])</f>
        <v>0</v>
      </c>
      <c r="H331">
        <f>SUMIFS(Shift_Track[2x OT
Hrs],Shift_Track[Pay Period],Hours_Sum[[#This Row],[Pay Due]])</f>
        <v>0</v>
      </c>
      <c r="I331">
        <f>SUM(Hours_Sum[[#This Row],[Reg Hrs]],1.5*Hours_Sum[[#This Row],[1.5x OT Hrs]],2*Hours_Sum[[#This Row],[2x OT Hrs]])</f>
        <v>0</v>
      </c>
      <c r="J331">
        <f>Hours_Sum[[#This Row],[Tot Hrs
(Converted)]]*22</f>
        <v>0</v>
      </c>
      <c r="K331">
        <f>YEAR(Hours_Sum[[#This Row],[Pay Due]])</f>
        <v>2035</v>
      </c>
      <c r="L331" t="str">
        <f>TEXT(Hours_Sum[[#This Row],[Pay Due]],"MMMM")</f>
        <v>June</v>
      </c>
    </row>
    <row r="332" spans="2:12" x14ac:dyDescent="0.25">
      <c r="B332" s="39">
        <v>49475</v>
      </c>
      <c r="C332" s="5">
        <f>_xlfn.XLOOKUP(Hours_Sum[[#This Row],[Pay Due]],Dates_Ref[QCH due],Dates_Ref[Start],"",0)</f>
        <v>49457</v>
      </c>
      <c r="D332" s="5">
        <f>Hours_Sum[[#This Row],[PP Start]]+13</f>
        <v>49470</v>
      </c>
      <c r="E332">
        <f>SUM(Hours_Sum[[#This Row],[Reg Hrs]],Hours_Sum[[#This Row],[1.5x OT Hrs]],Hours_Sum[[#This Row],[2x OT Hrs]])</f>
        <v>0</v>
      </c>
      <c r="F332">
        <f>SUMIFS(Shift_Track[Reg
Hrs],Shift_Track[Pay Period],Hours_Sum[[#This Row],[Pay Due]])</f>
        <v>0</v>
      </c>
      <c r="G332">
        <f>SUMIFS(Shift_Track[1.5x OT
Hrs],Shift_Track[Pay Period],Hours_Sum[[#This Row],[Pay Due]])</f>
        <v>0</v>
      </c>
      <c r="H332">
        <f>SUMIFS(Shift_Track[2x OT
Hrs],Shift_Track[Pay Period],Hours_Sum[[#This Row],[Pay Due]])</f>
        <v>0</v>
      </c>
      <c r="I332">
        <f>SUM(Hours_Sum[[#This Row],[Reg Hrs]],1.5*Hours_Sum[[#This Row],[1.5x OT Hrs]],2*Hours_Sum[[#This Row],[2x OT Hrs]])</f>
        <v>0</v>
      </c>
      <c r="J332">
        <f>Hours_Sum[[#This Row],[Tot Hrs
(Converted)]]*22</f>
        <v>0</v>
      </c>
      <c r="K332">
        <f>YEAR(Hours_Sum[[#This Row],[Pay Due]])</f>
        <v>2035</v>
      </c>
      <c r="L332" t="str">
        <f>TEXT(Hours_Sum[[#This Row],[Pay Due]],"MMMM")</f>
        <v>June</v>
      </c>
    </row>
    <row r="333" spans="2:12" x14ac:dyDescent="0.25">
      <c r="B333" s="39">
        <v>49489</v>
      </c>
      <c r="C333" s="5">
        <f>_xlfn.XLOOKUP(Hours_Sum[[#This Row],[Pay Due]],Dates_Ref[QCH due],Dates_Ref[Start],"",0)</f>
        <v>49471</v>
      </c>
      <c r="D333" s="5">
        <f>Hours_Sum[[#This Row],[PP Start]]+13</f>
        <v>49484</v>
      </c>
      <c r="E333">
        <f>SUM(Hours_Sum[[#This Row],[Reg Hrs]],Hours_Sum[[#This Row],[1.5x OT Hrs]],Hours_Sum[[#This Row],[2x OT Hrs]])</f>
        <v>0</v>
      </c>
      <c r="F333">
        <f>SUMIFS(Shift_Track[Reg
Hrs],Shift_Track[Pay Period],Hours_Sum[[#This Row],[Pay Due]])</f>
        <v>0</v>
      </c>
      <c r="G333">
        <f>SUMIFS(Shift_Track[1.5x OT
Hrs],Shift_Track[Pay Period],Hours_Sum[[#This Row],[Pay Due]])</f>
        <v>0</v>
      </c>
      <c r="H333">
        <f>SUMIFS(Shift_Track[2x OT
Hrs],Shift_Track[Pay Period],Hours_Sum[[#This Row],[Pay Due]])</f>
        <v>0</v>
      </c>
      <c r="I333">
        <f>SUM(Hours_Sum[[#This Row],[Reg Hrs]],1.5*Hours_Sum[[#This Row],[1.5x OT Hrs]],2*Hours_Sum[[#This Row],[2x OT Hrs]])</f>
        <v>0</v>
      </c>
      <c r="J333">
        <f>Hours_Sum[[#This Row],[Tot Hrs
(Converted)]]*22</f>
        <v>0</v>
      </c>
      <c r="K333">
        <f>YEAR(Hours_Sum[[#This Row],[Pay Due]])</f>
        <v>2035</v>
      </c>
      <c r="L333" t="str">
        <f>TEXT(Hours_Sum[[#This Row],[Pay Due]],"MMMM")</f>
        <v>June</v>
      </c>
    </row>
    <row r="334" spans="2:12" x14ac:dyDescent="0.25">
      <c r="B334" s="39">
        <v>49503</v>
      </c>
      <c r="C334" s="5">
        <f>_xlfn.XLOOKUP(Hours_Sum[[#This Row],[Pay Due]],Dates_Ref[QCH due],Dates_Ref[Start],"",0)</f>
        <v>49485</v>
      </c>
      <c r="D334" s="5">
        <f>Hours_Sum[[#This Row],[PP Start]]+13</f>
        <v>49498</v>
      </c>
      <c r="E334">
        <f>SUM(Hours_Sum[[#This Row],[Reg Hrs]],Hours_Sum[[#This Row],[1.5x OT Hrs]],Hours_Sum[[#This Row],[2x OT Hrs]])</f>
        <v>0</v>
      </c>
      <c r="F334">
        <f>SUMIFS(Shift_Track[Reg
Hrs],Shift_Track[Pay Period],Hours_Sum[[#This Row],[Pay Due]])</f>
        <v>0</v>
      </c>
      <c r="G334">
        <f>SUMIFS(Shift_Track[1.5x OT
Hrs],Shift_Track[Pay Period],Hours_Sum[[#This Row],[Pay Due]])</f>
        <v>0</v>
      </c>
      <c r="H334">
        <f>SUMIFS(Shift_Track[2x OT
Hrs],Shift_Track[Pay Period],Hours_Sum[[#This Row],[Pay Due]])</f>
        <v>0</v>
      </c>
      <c r="I334">
        <f>SUM(Hours_Sum[[#This Row],[Reg Hrs]],1.5*Hours_Sum[[#This Row],[1.5x OT Hrs]],2*Hours_Sum[[#This Row],[2x OT Hrs]])</f>
        <v>0</v>
      </c>
      <c r="J334">
        <f>Hours_Sum[[#This Row],[Tot Hrs
(Converted)]]*22</f>
        <v>0</v>
      </c>
      <c r="K334">
        <f>YEAR(Hours_Sum[[#This Row],[Pay Due]])</f>
        <v>2035</v>
      </c>
      <c r="L334" t="str">
        <f>TEXT(Hours_Sum[[#This Row],[Pay Due]],"MMMM")</f>
        <v>July</v>
      </c>
    </row>
    <row r="335" spans="2:12" x14ac:dyDescent="0.25">
      <c r="B335" s="39">
        <v>49517</v>
      </c>
      <c r="C335" s="5">
        <f>_xlfn.XLOOKUP(Hours_Sum[[#This Row],[Pay Due]],Dates_Ref[QCH due],Dates_Ref[Start],"",0)</f>
        <v>49499</v>
      </c>
      <c r="D335" s="5">
        <f>Hours_Sum[[#This Row],[PP Start]]+13</f>
        <v>49512</v>
      </c>
      <c r="E335">
        <f>SUM(Hours_Sum[[#This Row],[Reg Hrs]],Hours_Sum[[#This Row],[1.5x OT Hrs]],Hours_Sum[[#This Row],[2x OT Hrs]])</f>
        <v>0</v>
      </c>
      <c r="F335">
        <f>SUMIFS(Shift_Track[Reg
Hrs],Shift_Track[Pay Period],Hours_Sum[[#This Row],[Pay Due]])</f>
        <v>0</v>
      </c>
      <c r="G335">
        <f>SUMIFS(Shift_Track[1.5x OT
Hrs],Shift_Track[Pay Period],Hours_Sum[[#This Row],[Pay Due]])</f>
        <v>0</v>
      </c>
      <c r="H335">
        <f>SUMIFS(Shift_Track[2x OT
Hrs],Shift_Track[Pay Period],Hours_Sum[[#This Row],[Pay Due]])</f>
        <v>0</v>
      </c>
      <c r="I335">
        <f>SUM(Hours_Sum[[#This Row],[Reg Hrs]],1.5*Hours_Sum[[#This Row],[1.5x OT Hrs]],2*Hours_Sum[[#This Row],[2x OT Hrs]])</f>
        <v>0</v>
      </c>
      <c r="J335">
        <f>Hours_Sum[[#This Row],[Tot Hrs
(Converted)]]*22</f>
        <v>0</v>
      </c>
      <c r="K335">
        <f>YEAR(Hours_Sum[[#This Row],[Pay Due]])</f>
        <v>2035</v>
      </c>
      <c r="L335" t="str">
        <f>TEXT(Hours_Sum[[#This Row],[Pay Due]],"MMMM")</f>
        <v>July</v>
      </c>
    </row>
    <row r="336" spans="2:12" x14ac:dyDescent="0.25">
      <c r="B336" s="39">
        <v>49531</v>
      </c>
      <c r="C336" s="5">
        <f>_xlfn.XLOOKUP(Hours_Sum[[#This Row],[Pay Due]],Dates_Ref[QCH due],Dates_Ref[Start],"",0)</f>
        <v>49513</v>
      </c>
      <c r="D336" s="5">
        <f>Hours_Sum[[#This Row],[PP Start]]+13</f>
        <v>49526</v>
      </c>
      <c r="E336">
        <f>SUM(Hours_Sum[[#This Row],[Reg Hrs]],Hours_Sum[[#This Row],[1.5x OT Hrs]],Hours_Sum[[#This Row],[2x OT Hrs]])</f>
        <v>0</v>
      </c>
      <c r="F336">
        <f>SUMIFS(Shift_Track[Reg
Hrs],Shift_Track[Pay Period],Hours_Sum[[#This Row],[Pay Due]])</f>
        <v>0</v>
      </c>
      <c r="G336">
        <f>SUMIFS(Shift_Track[1.5x OT
Hrs],Shift_Track[Pay Period],Hours_Sum[[#This Row],[Pay Due]])</f>
        <v>0</v>
      </c>
      <c r="H336">
        <f>SUMIFS(Shift_Track[2x OT
Hrs],Shift_Track[Pay Period],Hours_Sum[[#This Row],[Pay Due]])</f>
        <v>0</v>
      </c>
      <c r="I336">
        <f>SUM(Hours_Sum[[#This Row],[Reg Hrs]],1.5*Hours_Sum[[#This Row],[1.5x OT Hrs]],2*Hours_Sum[[#This Row],[2x OT Hrs]])</f>
        <v>0</v>
      </c>
      <c r="J336">
        <f>Hours_Sum[[#This Row],[Tot Hrs
(Converted)]]*22</f>
        <v>0</v>
      </c>
      <c r="K336">
        <f>YEAR(Hours_Sum[[#This Row],[Pay Due]])</f>
        <v>2035</v>
      </c>
      <c r="L336" t="str">
        <f>TEXT(Hours_Sum[[#This Row],[Pay Due]],"MMMM")</f>
        <v>August</v>
      </c>
    </row>
    <row r="337" spans="2:12" x14ac:dyDescent="0.25">
      <c r="B337" s="39">
        <v>49545</v>
      </c>
      <c r="C337" s="5">
        <f>_xlfn.XLOOKUP(Hours_Sum[[#This Row],[Pay Due]],Dates_Ref[QCH due],Dates_Ref[Start],"",0)</f>
        <v>49527</v>
      </c>
      <c r="D337" s="5">
        <f>Hours_Sum[[#This Row],[PP Start]]+13</f>
        <v>49540</v>
      </c>
      <c r="E337">
        <f>SUM(Hours_Sum[[#This Row],[Reg Hrs]],Hours_Sum[[#This Row],[1.5x OT Hrs]],Hours_Sum[[#This Row],[2x OT Hrs]])</f>
        <v>0</v>
      </c>
      <c r="F337">
        <f>SUMIFS(Shift_Track[Reg
Hrs],Shift_Track[Pay Period],Hours_Sum[[#This Row],[Pay Due]])</f>
        <v>0</v>
      </c>
      <c r="G337">
        <f>SUMIFS(Shift_Track[1.5x OT
Hrs],Shift_Track[Pay Period],Hours_Sum[[#This Row],[Pay Due]])</f>
        <v>0</v>
      </c>
      <c r="H337">
        <f>SUMIFS(Shift_Track[2x OT
Hrs],Shift_Track[Pay Period],Hours_Sum[[#This Row],[Pay Due]])</f>
        <v>0</v>
      </c>
      <c r="I337">
        <f>SUM(Hours_Sum[[#This Row],[Reg Hrs]],1.5*Hours_Sum[[#This Row],[1.5x OT Hrs]],2*Hours_Sum[[#This Row],[2x OT Hrs]])</f>
        <v>0</v>
      </c>
      <c r="J337">
        <f>Hours_Sum[[#This Row],[Tot Hrs
(Converted)]]*22</f>
        <v>0</v>
      </c>
      <c r="K337">
        <f>YEAR(Hours_Sum[[#This Row],[Pay Due]])</f>
        <v>2035</v>
      </c>
      <c r="L337" t="str">
        <f>TEXT(Hours_Sum[[#This Row],[Pay Due]],"MMMM")</f>
        <v>August</v>
      </c>
    </row>
    <row r="338" spans="2:12" x14ac:dyDescent="0.25">
      <c r="B338" s="39">
        <v>49559</v>
      </c>
      <c r="C338" s="5">
        <f>_xlfn.XLOOKUP(Hours_Sum[[#This Row],[Pay Due]],Dates_Ref[QCH due],Dates_Ref[Start],"",0)</f>
        <v>49541</v>
      </c>
      <c r="D338" s="5">
        <f>Hours_Sum[[#This Row],[PP Start]]+13</f>
        <v>49554</v>
      </c>
      <c r="E338">
        <f>SUM(Hours_Sum[[#This Row],[Reg Hrs]],Hours_Sum[[#This Row],[1.5x OT Hrs]],Hours_Sum[[#This Row],[2x OT Hrs]])</f>
        <v>0</v>
      </c>
      <c r="F338">
        <f>SUMIFS(Shift_Track[Reg
Hrs],Shift_Track[Pay Period],Hours_Sum[[#This Row],[Pay Due]])</f>
        <v>0</v>
      </c>
      <c r="G338">
        <f>SUMIFS(Shift_Track[1.5x OT
Hrs],Shift_Track[Pay Period],Hours_Sum[[#This Row],[Pay Due]])</f>
        <v>0</v>
      </c>
      <c r="H338">
        <f>SUMIFS(Shift_Track[2x OT
Hrs],Shift_Track[Pay Period],Hours_Sum[[#This Row],[Pay Due]])</f>
        <v>0</v>
      </c>
      <c r="I338">
        <f>SUM(Hours_Sum[[#This Row],[Reg Hrs]],1.5*Hours_Sum[[#This Row],[1.5x OT Hrs]],2*Hours_Sum[[#This Row],[2x OT Hrs]])</f>
        <v>0</v>
      </c>
      <c r="J338">
        <f>Hours_Sum[[#This Row],[Tot Hrs
(Converted)]]*22</f>
        <v>0</v>
      </c>
      <c r="K338">
        <f>YEAR(Hours_Sum[[#This Row],[Pay Due]])</f>
        <v>2035</v>
      </c>
      <c r="L338" t="str">
        <f>TEXT(Hours_Sum[[#This Row],[Pay Due]],"MMMM")</f>
        <v>September</v>
      </c>
    </row>
    <row r="339" spans="2:12" x14ac:dyDescent="0.25">
      <c r="B339" s="39">
        <v>49573</v>
      </c>
      <c r="C339" s="5">
        <f>_xlfn.XLOOKUP(Hours_Sum[[#This Row],[Pay Due]],Dates_Ref[QCH due],Dates_Ref[Start],"",0)</f>
        <v>49555</v>
      </c>
      <c r="D339" s="5">
        <f>Hours_Sum[[#This Row],[PP Start]]+13</f>
        <v>49568</v>
      </c>
      <c r="E339">
        <f>SUM(Hours_Sum[[#This Row],[Reg Hrs]],Hours_Sum[[#This Row],[1.5x OT Hrs]],Hours_Sum[[#This Row],[2x OT Hrs]])</f>
        <v>0</v>
      </c>
      <c r="F339">
        <f>SUMIFS(Shift_Track[Reg
Hrs],Shift_Track[Pay Period],Hours_Sum[[#This Row],[Pay Due]])</f>
        <v>0</v>
      </c>
      <c r="G339">
        <f>SUMIFS(Shift_Track[1.5x OT
Hrs],Shift_Track[Pay Period],Hours_Sum[[#This Row],[Pay Due]])</f>
        <v>0</v>
      </c>
      <c r="H339">
        <f>SUMIFS(Shift_Track[2x OT
Hrs],Shift_Track[Pay Period],Hours_Sum[[#This Row],[Pay Due]])</f>
        <v>0</v>
      </c>
      <c r="I339">
        <f>SUM(Hours_Sum[[#This Row],[Reg Hrs]],1.5*Hours_Sum[[#This Row],[1.5x OT Hrs]],2*Hours_Sum[[#This Row],[2x OT Hrs]])</f>
        <v>0</v>
      </c>
      <c r="J339">
        <f>Hours_Sum[[#This Row],[Tot Hrs
(Converted)]]*22</f>
        <v>0</v>
      </c>
      <c r="K339">
        <f>YEAR(Hours_Sum[[#This Row],[Pay Due]])</f>
        <v>2035</v>
      </c>
      <c r="L339" t="str">
        <f>TEXT(Hours_Sum[[#This Row],[Pay Due]],"MMMM")</f>
        <v>September</v>
      </c>
    </row>
    <row r="340" spans="2:12" x14ac:dyDescent="0.25">
      <c r="B340" s="39">
        <v>49587</v>
      </c>
      <c r="C340" s="5">
        <f>_xlfn.XLOOKUP(Hours_Sum[[#This Row],[Pay Due]],Dates_Ref[QCH due],Dates_Ref[Start],"",0)</f>
        <v>49569</v>
      </c>
      <c r="D340" s="5">
        <f>Hours_Sum[[#This Row],[PP Start]]+13</f>
        <v>49582</v>
      </c>
      <c r="E340">
        <f>SUM(Hours_Sum[[#This Row],[Reg Hrs]],Hours_Sum[[#This Row],[1.5x OT Hrs]],Hours_Sum[[#This Row],[2x OT Hrs]])</f>
        <v>0</v>
      </c>
      <c r="F340">
        <f>SUMIFS(Shift_Track[Reg
Hrs],Shift_Track[Pay Period],Hours_Sum[[#This Row],[Pay Due]])</f>
        <v>0</v>
      </c>
      <c r="G340">
        <f>SUMIFS(Shift_Track[1.5x OT
Hrs],Shift_Track[Pay Period],Hours_Sum[[#This Row],[Pay Due]])</f>
        <v>0</v>
      </c>
      <c r="H340">
        <f>SUMIFS(Shift_Track[2x OT
Hrs],Shift_Track[Pay Period],Hours_Sum[[#This Row],[Pay Due]])</f>
        <v>0</v>
      </c>
      <c r="I340">
        <f>SUM(Hours_Sum[[#This Row],[Reg Hrs]],1.5*Hours_Sum[[#This Row],[1.5x OT Hrs]],2*Hours_Sum[[#This Row],[2x OT Hrs]])</f>
        <v>0</v>
      </c>
      <c r="J340">
        <f>Hours_Sum[[#This Row],[Tot Hrs
(Converted)]]*22</f>
        <v>0</v>
      </c>
      <c r="K340">
        <f>YEAR(Hours_Sum[[#This Row],[Pay Due]])</f>
        <v>2035</v>
      </c>
      <c r="L340" t="str">
        <f>TEXT(Hours_Sum[[#This Row],[Pay Due]],"MMMM")</f>
        <v>October</v>
      </c>
    </row>
    <row r="341" spans="2:12" x14ac:dyDescent="0.25">
      <c r="B341" s="39">
        <v>49601</v>
      </c>
      <c r="C341" s="5">
        <f>_xlfn.XLOOKUP(Hours_Sum[[#This Row],[Pay Due]],Dates_Ref[QCH due],Dates_Ref[Start],"",0)</f>
        <v>49583</v>
      </c>
      <c r="D341" s="5">
        <f>Hours_Sum[[#This Row],[PP Start]]+13</f>
        <v>49596</v>
      </c>
      <c r="E341">
        <f>SUM(Hours_Sum[[#This Row],[Reg Hrs]],Hours_Sum[[#This Row],[1.5x OT Hrs]],Hours_Sum[[#This Row],[2x OT Hrs]])</f>
        <v>0</v>
      </c>
      <c r="F341">
        <f>SUMIFS(Shift_Track[Reg
Hrs],Shift_Track[Pay Period],Hours_Sum[[#This Row],[Pay Due]])</f>
        <v>0</v>
      </c>
      <c r="G341">
        <f>SUMIFS(Shift_Track[1.5x OT
Hrs],Shift_Track[Pay Period],Hours_Sum[[#This Row],[Pay Due]])</f>
        <v>0</v>
      </c>
      <c r="H341">
        <f>SUMIFS(Shift_Track[2x OT
Hrs],Shift_Track[Pay Period],Hours_Sum[[#This Row],[Pay Due]])</f>
        <v>0</v>
      </c>
      <c r="I341">
        <f>SUM(Hours_Sum[[#This Row],[Reg Hrs]],1.5*Hours_Sum[[#This Row],[1.5x OT Hrs]],2*Hours_Sum[[#This Row],[2x OT Hrs]])</f>
        <v>0</v>
      </c>
      <c r="J341">
        <f>Hours_Sum[[#This Row],[Tot Hrs
(Converted)]]*22</f>
        <v>0</v>
      </c>
      <c r="K341">
        <f>YEAR(Hours_Sum[[#This Row],[Pay Due]])</f>
        <v>2035</v>
      </c>
      <c r="L341" t="str">
        <f>TEXT(Hours_Sum[[#This Row],[Pay Due]],"MMMM")</f>
        <v>October</v>
      </c>
    </row>
    <row r="342" spans="2:12" x14ac:dyDescent="0.25">
      <c r="B342" s="39">
        <v>49615</v>
      </c>
      <c r="C342" s="5">
        <f>_xlfn.XLOOKUP(Hours_Sum[[#This Row],[Pay Due]],Dates_Ref[QCH due],Dates_Ref[Start],"",0)</f>
        <v>49597</v>
      </c>
      <c r="D342" s="5">
        <f>Hours_Sum[[#This Row],[PP Start]]+13</f>
        <v>49610</v>
      </c>
      <c r="E342">
        <f>SUM(Hours_Sum[[#This Row],[Reg Hrs]],Hours_Sum[[#This Row],[1.5x OT Hrs]],Hours_Sum[[#This Row],[2x OT Hrs]])</f>
        <v>0</v>
      </c>
      <c r="F342">
        <f>SUMIFS(Shift_Track[Reg
Hrs],Shift_Track[Pay Period],Hours_Sum[[#This Row],[Pay Due]])</f>
        <v>0</v>
      </c>
      <c r="G342">
        <f>SUMIFS(Shift_Track[1.5x OT
Hrs],Shift_Track[Pay Period],Hours_Sum[[#This Row],[Pay Due]])</f>
        <v>0</v>
      </c>
      <c r="H342">
        <f>SUMIFS(Shift_Track[2x OT
Hrs],Shift_Track[Pay Period],Hours_Sum[[#This Row],[Pay Due]])</f>
        <v>0</v>
      </c>
      <c r="I342">
        <f>SUM(Hours_Sum[[#This Row],[Reg Hrs]],1.5*Hours_Sum[[#This Row],[1.5x OT Hrs]],2*Hours_Sum[[#This Row],[2x OT Hrs]])</f>
        <v>0</v>
      </c>
      <c r="J342">
        <f>Hours_Sum[[#This Row],[Tot Hrs
(Converted)]]*22</f>
        <v>0</v>
      </c>
      <c r="K342">
        <f>YEAR(Hours_Sum[[#This Row],[Pay Due]])</f>
        <v>2035</v>
      </c>
      <c r="L342" t="str">
        <f>TEXT(Hours_Sum[[#This Row],[Pay Due]],"MMMM")</f>
        <v>November</v>
      </c>
    </row>
    <row r="343" spans="2:12" x14ac:dyDescent="0.25">
      <c r="B343" s="39">
        <v>49629</v>
      </c>
      <c r="C343" s="5">
        <f>_xlfn.XLOOKUP(Hours_Sum[[#This Row],[Pay Due]],Dates_Ref[QCH due],Dates_Ref[Start],"",0)</f>
        <v>49611</v>
      </c>
      <c r="D343" s="5">
        <f>Hours_Sum[[#This Row],[PP Start]]+13</f>
        <v>49624</v>
      </c>
      <c r="E343">
        <f>SUM(Hours_Sum[[#This Row],[Reg Hrs]],Hours_Sum[[#This Row],[1.5x OT Hrs]],Hours_Sum[[#This Row],[2x OT Hrs]])</f>
        <v>0</v>
      </c>
      <c r="F343">
        <f>SUMIFS(Shift_Track[Reg
Hrs],Shift_Track[Pay Period],Hours_Sum[[#This Row],[Pay Due]])</f>
        <v>0</v>
      </c>
      <c r="G343">
        <f>SUMIFS(Shift_Track[1.5x OT
Hrs],Shift_Track[Pay Period],Hours_Sum[[#This Row],[Pay Due]])</f>
        <v>0</v>
      </c>
      <c r="H343">
        <f>SUMIFS(Shift_Track[2x OT
Hrs],Shift_Track[Pay Period],Hours_Sum[[#This Row],[Pay Due]])</f>
        <v>0</v>
      </c>
      <c r="I343">
        <f>SUM(Hours_Sum[[#This Row],[Reg Hrs]],1.5*Hours_Sum[[#This Row],[1.5x OT Hrs]],2*Hours_Sum[[#This Row],[2x OT Hrs]])</f>
        <v>0</v>
      </c>
      <c r="J343">
        <f>Hours_Sum[[#This Row],[Tot Hrs
(Converted)]]*22</f>
        <v>0</v>
      </c>
      <c r="K343">
        <f>YEAR(Hours_Sum[[#This Row],[Pay Due]])</f>
        <v>2035</v>
      </c>
      <c r="L343" t="str">
        <f>TEXT(Hours_Sum[[#This Row],[Pay Due]],"MMMM")</f>
        <v>November</v>
      </c>
    </row>
    <row r="344" spans="2:12" x14ac:dyDescent="0.25">
      <c r="B344" s="39">
        <v>49643</v>
      </c>
      <c r="C344" s="5">
        <f>_xlfn.XLOOKUP(Hours_Sum[[#This Row],[Pay Due]],Dates_Ref[QCH due],Dates_Ref[Start],"",0)</f>
        <v>49625</v>
      </c>
      <c r="D344" s="5">
        <f>Hours_Sum[[#This Row],[PP Start]]+13</f>
        <v>49638</v>
      </c>
      <c r="E344">
        <f>SUM(Hours_Sum[[#This Row],[Reg Hrs]],Hours_Sum[[#This Row],[1.5x OT Hrs]],Hours_Sum[[#This Row],[2x OT Hrs]])</f>
        <v>0</v>
      </c>
      <c r="F344">
        <f>SUMIFS(Shift_Track[Reg
Hrs],Shift_Track[Pay Period],Hours_Sum[[#This Row],[Pay Due]])</f>
        <v>0</v>
      </c>
      <c r="G344">
        <f>SUMIFS(Shift_Track[1.5x OT
Hrs],Shift_Track[Pay Period],Hours_Sum[[#This Row],[Pay Due]])</f>
        <v>0</v>
      </c>
      <c r="H344">
        <f>SUMIFS(Shift_Track[2x OT
Hrs],Shift_Track[Pay Period],Hours_Sum[[#This Row],[Pay Due]])</f>
        <v>0</v>
      </c>
      <c r="I344">
        <f>SUM(Hours_Sum[[#This Row],[Reg Hrs]],1.5*Hours_Sum[[#This Row],[1.5x OT Hrs]],2*Hours_Sum[[#This Row],[2x OT Hrs]])</f>
        <v>0</v>
      </c>
      <c r="J344">
        <f>Hours_Sum[[#This Row],[Tot Hrs
(Converted)]]*22</f>
        <v>0</v>
      </c>
      <c r="K344">
        <f>YEAR(Hours_Sum[[#This Row],[Pay Due]])</f>
        <v>2035</v>
      </c>
      <c r="L344" t="str">
        <f>TEXT(Hours_Sum[[#This Row],[Pay Due]],"MMMM")</f>
        <v>November</v>
      </c>
    </row>
    <row r="345" spans="2:12" x14ac:dyDescent="0.25">
      <c r="B345" s="39">
        <v>49657</v>
      </c>
      <c r="C345" s="5">
        <f>_xlfn.XLOOKUP(Hours_Sum[[#This Row],[Pay Due]],Dates_Ref[QCH due],Dates_Ref[Start],"",0)</f>
        <v>49639</v>
      </c>
      <c r="D345" s="5">
        <f>Hours_Sum[[#This Row],[PP Start]]+13</f>
        <v>49652</v>
      </c>
      <c r="E345">
        <f>SUM(Hours_Sum[[#This Row],[Reg Hrs]],Hours_Sum[[#This Row],[1.5x OT Hrs]],Hours_Sum[[#This Row],[2x OT Hrs]])</f>
        <v>0</v>
      </c>
      <c r="F345">
        <f>SUMIFS(Shift_Track[Reg
Hrs],Shift_Track[Pay Period],Hours_Sum[[#This Row],[Pay Due]])</f>
        <v>0</v>
      </c>
      <c r="G345">
        <f>SUMIFS(Shift_Track[1.5x OT
Hrs],Shift_Track[Pay Period],Hours_Sum[[#This Row],[Pay Due]])</f>
        <v>0</v>
      </c>
      <c r="H345">
        <f>SUMIFS(Shift_Track[2x OT
Hrs],Shift_Track[Pay Period],Hours_Sum[[#This Row],[Pay Due]])</f>
        <v>0</v>
      </c>
      <c r="I345">
        <f>SUM(Hours_Sum[[#This Row],[Reg Hrs]],1.5*Hours_Sum[[#This Row],[1.5x OT Hrs]],2*Hours_Sum[[#This Row],[2x OT Hrs]])</f>
        <v>0</v>
      </c>
      <c r="J345">
        <f>Hours_Sum[[#This Row],[Tot Hrs
(Converted)]]*22</f>
        <v>0</v>
      </c>
      <c r="K345">
        <f>YEAR(Hours_Sum[[#This Row],[Pay Due]])</f>
        <v>2035</v>
      </c>
      <c r="L345" t="str">
        <f>TEXT(Hours_Sum[[#This Row],[Pay Due]],"MMMM")</f>
        <v>December</v>
      </c>
    </row>
    <row r="346" spans="2:12" x14ac:dyDescent="0.25">
      <c r="B346" s="39">
        <v>49671</v>
      </c>
      <c r="C346" s="5">
        <f>_xlfn.XLOOKUP(Hours_Sum[[#This Row],[Pay Due]],Dates_Ref[QCH due],Dates_Ref[Start],"",0)</f>
        <v>49653</v>
      </c>
      <c r="D346" s="5">
        <f>Hours_Sum[[#This Row],[PP Start]]+13</f>
        <v>49666</v>
      </c>
      <c r="E346">
        <f>SUM(Hours_Sum[[#This Row],[Reg Hrs]],Hours_Sum[[#This Row],[1.5x OT Hrs]],Hours_Sum[[#This Row],[2x OT Hrs]])</f>
        <v>0</v>
      </c>
      <c r="F346">
        <f>SUMIFS(Shift_Track[Reg
Hrs],Shift_Track[Pay Period],Hours_Sum[[#This Row],[Pay Due]])</f>
        <v>0</v>
      </c>
      <c r="G346">
        <f>SUMIFS(Shift_Track[1.5x OT
Hrs],Shift_Track[Pay Period],Hours_Sum[[#This Row],[Pay Due]])</f>
        <v>0</v>
      </c>
      <c r="H346">
        <f>SUMIFS(Shift_Track[2x OT
Hrs],Shift_Track[Pay Period],Hours_Sum[[#This Row],[Pay Due]])</f>
        <v>0</v>
      </c>
      <c r="I346">
        <f>SUM(Hours_Sum[[#This Row],[Reg Hrs]],1.5*Hours_Sum[[#This Row],[1.5x OT Hrs]],2*Hours_Sum[[#This Row],[2x OT Hrs]])</f>
        <v>0</v>
      </c>
      <c r="J346">
        <f>Hours_Sum[[#This Row],[Tot Hrs
(Converted)]]*22</f>
        <v>0</v>
      </c>
      <c r="K346">
        <f>YEAR(Hours_Sum[[#This Row],[Pay Due]])</f>
        <v>2035</v>
      </c>
      <c r="L346" t="str">
        <f>TEXT(Hours_Sum[[#This Row],[Pay Due]],"MMMM")</f>
        <v>December</v>
      </c>
    </row>
    <row r="347" spans="2:12" x14ac:dyDescent="0.25">
      <c r="B347" s="39">
        <v>49685</v>
      </c>
      <c r="C347" s="5">
        <f>_xlfn.XLOOKUP(Hours_Sum[[#This Row],[Pay Due]],Dates_Ref[QCH due],Dates_Ref[Start],"",0)</f>
        <v>49667</v>
      </c>
      <c r="D347" s="5">
        <f>Hours_Sum[[#This Row],[PP Start]]+13</f>
        <v>49680</v>
      </c>
      <c r="E347">
        <f>SUM(Hours_Sum[[#This Row],[Reg Hrs]],Hours_Sum[[#This Row],[1.5x OT Hrs]],Hours_Sum[[#This Row],[2x OT Hrs]])</f>
        <v>0</v>
      </c>
      <c r="F347">
        <f>SUMIFS(Shift_Track[Reg
Hrs],Shift_Track[Pay Period],Hours_Sum[[#This Row],[Pay Due]])</f>
        <v>0</v>
      </c>
      <c r="G347">
        <f>SUMIFS(Shift_Track[1.5x OT
Hrs],Shift_Track[Pay Period],Hours_Sum[[#This Row],[Pay Due]])</f>
        <v>0</v>
      </c>
      <c r="H347">
        <f>SUMIFS(Shift_Track[2x OT
Hrs],Shift_Track[Pay Period],Hours_Sum[[#This Row],[Pay Due]])</f>
        <v>0</v>
      </c>
      <c r="I347">
        <f>SUM(Hours_Sum[[#This Row],[Reg Hrs]],1.5*Hours_Sum[[#This Row],[1.5x OT Hrs]],2*Hours_Sum[[#This Row],[2x OT Hrs]])</f>
        <v>0</v>
      </c>
      <c r="J347">
        <f>Hours_Sum[[#This Row],[Tot Hrs
(Converted)]]*22</f>
        <v>0</v>
      </c>
      <c r="K347">
        <f>YEAR(Hours_Sum[[#This Row],[Pay Due]])</f>
        <v>2036</v>
      </c>
      <c r="L347" t="str">
        <f>TEXT(Hours_Sum[[#This Row],[Pay Due]],"MMMM")</f>
        <v>January</v>
      </c>
    </row>
    <row r="348" spans="2:12" x14ac:dyDescent="0.25">
      <c r="B348" s="5"/>
      <c r="C348" s="5"/>
      <c r="D348" s="1"/>
    </row>
    <row r="349" spans="2:12" x14ac:dyDescent="0.25">
      <c r="B349" s="5"/>
      <c r="C349" s="5"/>
    </row>
    <row r="350" spans="2:12" x14ac:dyDescent="0.25">
      <c r="B350" s="5"/>
      <c r="C350" s="5"/>
    </row>
    <row r="351" spans="2:12" x14ac:dyDescent="0.25">
      <c r="B351" s="5"/>
      <c r="C351" s="5"/>
    </row>
    <row r="352" spans="2:12" x14ac:dyDescent="0.25">
      <c r="B352" s="5"/>
      <c r="C352" s="5"/>
    </row>
    <row r="353" spans="2:3" x14ac:dyDescent="0.25">
      <c r="B353" s="5"/>
      <c r="C353" s="5"/>
    </row>
    <row r="354" spans="2:3" x14ac:dyDescent="0.25">
      <c r="B354" s="5"/>
      <c r="C354" s="5"/>
    </row>
    <row r="355" spans="2:3" x14ac:dyDescent="0.25">
      <c r="B355" s="5"/>
      <c r="C355" s="5"/>
    </row>
    <row r="356" spans="2:3" x14ac:dyDescent="0.25">
      <c r="B356" s="5"/>
      <c r="C356" s="5"/>
    </row>
    <row r="357" spans="2:3" x14ac:dyDescent="0.25">
      <c r="B357" s="5"/>
      <c r="C357" s="5"/>
    </row>
    <row r="358" spans="2:3" x14ac:dyDescent="0.25">
      <c r="B358" s="5"/>
      <c r="C358" s="5"/>
    </row>
    <row r="359" spans="2:3" x14ac:dyDescent="0.25">
      <c r="B359" s="5"/>
      <c r="C359" s="5"/>
    </row>
    <row r="360" spans="2:3" x14ac:dyDescent="0.25">
      <c r="B360" s="5"/>
      <c r="C360" s="5"/>
    </row>
    <row r="361" spans="2:3" x14ac:dyDescent="0.25">
      <c r="B361" s="5"/>
      <c r="C361" s="5"/>
    </row>
    <row r="362" spans="2:3" x14ac:dyDescent="0.25">
      <c r="B362" s="5"/>
      <c r="C362" s="5"/>
    </row>
    <row r="363" spans="2:3" x14ac:dyDescent="0.25">
      <c r="B363" s="5"/>
      <c r="C363" s="5"/>
    </row>
    <row r="364" spans="2:3" x14ac:dyDescent="0.25">
      <c r="B364" s="5"/>
      <c r="C364" s="5"/>
    </row>
    <row r="365" spans="2:3" x14ac:dyDescent="0.25">
      <c r="B365" s="5"/>
      <c r="C365" s="5"/>
    </row>
    <row r="366" spans="2:3" x14ac:dyDescent="0.25">
      <c r="B366" s="5"/>
      <c r="C366" s="5"/>
    </row>
    <row r="367" spans="2:3" x14ac:dyDescent="0.25">
      <c r="B367" s="5"/>
      <c r="C367" s="5"/>
    </row>
    <row r="368" spans="2:3" x14ac:dyDescent="0.25">
      <c r="B368" s="5"/>
      <c r="C368" s="5"/>
    </row>
    <row r="369" spans="2:3" x14ac:dyDescent="0.25">
      <c r="B369" s="5"/>
      <c r="C369" s="5"/>
    </row>
    <row r="370" spans="2:3" x14ac:dyDescent="0.25">
      <c r="B370" s="5"/>
      <c r="C370" s="5"/>
    </row>
    <row r="371" spans="2:3" x14ac:dyDescent="0.25">
      <c r="B371" s="5"/>
      <c r="C371" s="5"/>
    </row>
    <row r="372" spans="2:3" x14ac:dyDescent="0.25">
      <c r="B372" s="5"/>
      <c r="C372" s="5"/>
    </row>
    <row r="373" spans="2:3" x14ac:dyDescent="0.25">
      <c r="B373" s="5"/>
      <c r="C373" s="5"/>
    </row>
    <row r="374" spans="2:3" x14ac:dyDescent="0.25">
      <c r="B374" s="5"/>
      <c r="C374" s="5"/>
    </row>
    <row r="375" spans="2:3" x14ac:dyDescent="0.25">
      <c r="B375" s="5"/>
      <c r="C375" s="5"/>
    </row>
    <row r="376" spans="2:3" x14ac:dyDescent="0.25">
      <c r="B376" s="5"/>
      <c r="C376" s="5"/>
    </row>
    <row r="377" spans="2:3" x14ac:dyDescent="0.25">
      <c r="B377" s="5"/>
      <c r="C377" s="5"/>
    </row>
    <row r="378" spans="2:3" x14ac:dyDescent="0.25">
      <c r="B378" s="5"/>
      <c r="C378" s="5"/>
    </row>
    <row r="379" spans="2:3" x14ac:dyDescent="0.25">
      <c r="B379" s="5"/>
      <c r="C379" s="5"/>
    </row>
    <row r="380" spans="2:3" x14ac:dyDescent="0.25">
      <c r="B380" s="5"/>
      <c r="C380" s="5"/>
    </row>
    <row r="381" spans="2:3" x14ac:dyDescent="0.25">
      <c r="B381" s="5"/>
      <c r="C381" s="5"/>
    </row>
    <row r="382" spans="2:3" x14ac:dyDescent="0.25">
      <c r="B382" s="5"/>
      <c r="C382" s="5"/>
    </row>
    <row r="383" spans="2:3" x14ac:dyDescent="0.25">
      <c r="B383" s="5"/>
      <c r="C383" s="5"/>
    </row>
    <row r="384" spans="2:3" x14ac:dyDescent="0.25">
      <c r="B384" s="5"/>
      <c r="C384" s="5"/>
    </row>
    <row r="385" spans="2:3" x14ac:dyDescent="0.25">
      <c r="B385" s="5"/>
      <c r="C385" s="5"/>
    </row>
    <row r="386" spans="2:3" x14ac:dyDescent="0.25">
      <c r="B386" s="5"/>
      <c r="C386" s="5"/>
    </row>
    <row r="387" spans="2:3" x14ac:dyDescent="0.25">
      <c r="B387" s="5"/>
      <c r="C387" s="5"/>
    </row>
    <row r="388" spans="2:3" x14ac:dyDescent="0.25">
      <c r="B388" s="5"/>
      <c r="C388" s="5"/>
    </row>
    <row r="389" spans="2:3" x14ac:dyDescent="0.25">
      <c r="B389" s="5"/>
      <c r="C389" s="5"/>
    </row>
    <row r="390" spans="2:3" x14ac:dyDescent="0.25">
      <c r="B390" s="5"/>
      <c r="C390" s="5"/>
    </row>
    <row r="391" spans="2:3" x14ac:dyDescent="0.25">
      <c r="B391" s="5"/>
      <c r="C391" s="5"/>
    </row>
    <row r="392" spans="2:3" x14ac:dyDescent="0.25">
      <c r="B392" s="5"/>
      <c r="C392" s="5"/>
    </row>
    <row r="393" spans="2:3" x14ac:dyDescent="0.25">
      <c r="B393" s="5"/>
      <c r="C393" s="5"/>
    </row>
    <row r="394" spans="2:3" x14ac:dyDescent="0.25">
      <c r="B394" s="5"/>
      <c r="C394" s="5"/>
    </row>
    <row r="395" spans="2:3" x14ac:dyDescent="0.25">
      <c r="B395" s="5"/>
      <c r="C395" s="5"/>
    </row>
    <row r="396" spans="2:3" x14ac:dyDescent="0.25">
      <c r="B396" s="5"/>
      <c r="C396" s="5"/>
    </row>
    <row r="397" spans="2:3" x14ac:dyDescent="0.25">
      <c r="B397" s="5"/>
      <c r="C397" s="5"/>
    </row>
    <row r="398" spans="2:3" x14ac:dyDescent="0.25">
      <c r="B398" s="5"/>
      <c r="C398" s="5"/>
    </row>
    <row r="399" spans="2:3" x14ac:dyDescent="0.25">
      <c r="B399" s="5"/>
      <c r="C399" s="5"/>
    </row>
    <row r="400" spans="2:3" x14ac:dyDescent="0.25">
      <c r="B400" s="5"/>
      <c r="C400" s="5"/>
    </row>
    <row r="401" spans="2:3" x14ac:dyDescent="0.25">
      <c r="B401" s="5"/>
      <c r="C401" s="5"/>
    </row>
    <row r="402" spans="2:3" x14ac:dyDescent="0.25">
      <c r="B402" s="5"/>
      <c r="C402" s="5"/>
    </row>
    <row r="403" spans="2:3" x14ac:dyDescent="0.25">
      <c r="B403" s="5"/>
      <c r="C403" s="5"/>
    </row>
    <row r="404" spans="2:3" x14ac:dyDescent="0.25">
      <c r="B404" s="5"/>
      <c r="C404" s="5"/>
    </row>
    <row r="405" spans="2:3" x14ac:dyDescent="0.25">
      <c r="B405" s="5"/>
      <c r="C405" s="5"/>
    </row>
    <row r="406" spans="2:3" x14ac:dyDescent="0.25">
      <c r="B406" s="5"/>
      <c r="C406" s="5"/>
    </row>
    <row r="407" spans="2:3" x14ac:dyDescent="0.25">
      <c r="B407" s="5"/>
      <c r="C407" s="5"/>
    </row>
    <row r="408" spans="2:3" x14ac:dyDescent="0.25">
      <c r="B408" s="5"/>
      <c r="C408" s="5"/>
    </row>
    <row r="409" spans="2:3" x14ac:dyDescent="0.25">
      <c r="B409" s="5"/>
      <c r="C409" s="5"/>
    </row>
    <row r="410" spans="2:3" x14ac:dyDescent="0.25">
      <c r="B410" s="5"/>
      <c r="C410" s="5"/>
    </row>
    <row r="411" spans="2:3" x14ac:dyDescent="0.25">
      <c r="B411" s="5"/>
      <c r="C411" s="5"/>
    </row>
    <row r="412" spans="2:3" x14ac:dyDescent="0.25">
      <c r="B412" s="5"/>
      <c r="C412" s="5"/>
    </row>
    <row r="413" spans="2:3" x14ac:dyDescent="0.25">
      <c r="B413" s="5"/>
      <c r="C413" s="5"/>
    </row>
    <row r="414" spans="2:3" x14ac:dyDescent="0.25">
      <c r="B414" s="5"/>
      <c r="C414" s="5"/>
    </row>
    <row r="415" spans="2:3" x14ac:dyDescent="0.25">
      <c r="B415" s="5"/>
      <c r="C415" s="5"/>
    </row>
    <row r="416" spans="2:3" x14ac:dyDescent="0.25">
      <c r="B416" s="5"/>
      <c r="C416" s="5"/>
    </row>
    <row r="417" spans="2:3" x14ac:dyDescent="0.25">
      <c r="B417" s="5"/>
      <c r="C417" s="5"/>
    </row>
    <row r="418" spans="2:3" x14ac:dyDescent="0.25">
      <c r="B418" s="5"/>
      <c r="C418" s="5"/>
    </row>
    <row r="419" spans="2:3" x14ac:dyDescent="0.25">
      <c r="B419" s="5"/>
      <c r="C419" s="5"/>
    </row>
    <row r="420" spans="2:3" x14ac:dyDescent="0.25">
      <c r="B420" s="5"/>
      <c r="C420" s="5"/>
    </row>
    <row r="421" spans="2:3" x14ac:dyDescent="0.25">
      <c r="B421" s="5"/>
      <c r="C421" s="5"/>
    </row>
    <row r="422" spans="2:3" x14ac:dyDescent="0.25">
      <c r="B422" s="5"/>
      <c r="C422" s="5"/>
    </row>
    <row r="423" spans="2:3" x14ac:dyDescent="0.25">
      <c r="B423" s="5"/>
      <c r="C423" s="5"/>
    </row>
    <row r="424" spans="2:3" x14ac:dyDescent="0.25">
      <c r="B424" s="5"/>
      <c r="C424" s="5"/>
    </row>
    <row r="425" spans="2:3" x14ac:dyDescent="0.25">
      <c r="B425" s="5"/>
      <c r="C425" s="5"/>
    </row>
    <row r="426" spans="2:3" x14ac:dyDescent="0.25">
      <c r="B426" s="5"/>
      <c r="C426" s="5"/>
    </row>
    <row r="427" spans="2:3" x14ac:dyDescent="0.25">
      <c r="B427" s="5"/>
      <c r="C427" s="5"/>
    </row>
    <row r="428" spans="2:3" x14ac:dyDescent="0.25">
      <c r="B428" s="5"/>
      <c r="C428" s="5"/>
    </row>
    <row r="429" spans="2:3" x14ac:dyDescent="0.25">
      <c r="B429" s="5"/>
      <c r="C429" s="5"/>
    </row>
    <row r="430" spans="2:3" x14ac:dyDescent="0.25">
      <c r="B430" s="5"/>
      <c r="C430" s="5"/>
    </row>
    <row r="431" spans="2:3" x14ac:dyDescent="0.25">
      <c r="B431" s="5"/>
      <c r="C431" s="5"/>
    </row>
    <row r="432" spans="2:3" x14ac:dyDescent="0.25">
      <c r="B432" s="5"/>
      <c r="C432" s="5"/>
    </row>
    <row r="433" spans="2:3" x14ac:dyDescent="0.25">
      <c r="B433" s="5"/>
      <c r="C433" s="5"/>
    </row>
    <row r="434" spans="2:3" x14ac:dyDescent="0.25">
      <c r="B434" s="5"/>
      <c r="C434" s="5"/>
    </row>
    <row r="435" spans="2:3" x14ac:dyDescent="0.25">
      <c r="B435" s="5"/>
      <c r="C435" s="5"/>
    </row>
    <row r="436" spans="2:3" x14ac:dyDescent="0.25">
      <c r="B436" s="5"/>
      <c r="C436" s="5"/>
    </row>
    <row r="437" spans="2:3" x14ac:dyDescent="0.25">
      <c r="B437" s="5"/>
      <c r="C437" s="5"/>
    </row>
    <row r="438" spans="2:3" x14ac:dyDescent="0.25">
      <c r="B438" s="5"/>
      <c r="C438" s="5"/>
    </row>
    <row r="439" spans="2:3" x14ac:dyDescent="0.25">
      <c r="B439" s="5"/>
      <c r="C439" s="5"/>
    </row>
    <row r="440" spans="2:3" x14ac:dyDescent="0.25">
      <c r="B440" s="5"/>
      <c r="C440" s="5"/>
    </row>
    <row r="441" spans="2:3" x14ac:dyDescent="0.25">
      <c r="B441" s="5"/>
      <c r="C441" s="5"/>
    </row>
    <row r="442" spans="2:3" x14ac:dyDescent="0.25">
      <c r="B442" s="5"/>
      <c r="C442" s="5"/>
    </row>
    <row r="443" spans="2:3" x14ac:dyDescent="0.25">
      <c r="B443" s="5"/>
      <c r="C443" s="5"/>
    </row>
    <row r="444" spans="2:3" x14ac:dyDescent="0.25">
      <c r="B444" s="5"/>
      <c r="C444" s="5"/>
    </row>
    <row r="445" spans="2:3" x14ac:dyDescent="0.25">
      <c r="B445" s="5"/>
      <c r="C445" s="5"/>
    </row>
    <row r="446" spans="2:3" x14ac:dyDescent="0.25">
      <c r="B446" s="5"/>
      <c r="C446" s="5"/>
    </row>
    <row r="447" spans="2:3" x14ac:dyDescent="0.25">
      <c r="B447" s="5"/>
      <c r="C447" s="5"/>
    </row>
    <row r="448" spans="2:3" x14ac:dyDescent="0.25">
      <c r="B448" s="5"/>
      <c r="C448" s="5"/>
    </row>
    <row r="449" spans="2:3" x14ac:dyDescent="0.25">
      <c r="B449" s="5"/>
      <c r="C449" s="5"/>
    </row>
    <row r="450" spans="2:3" x14ac:dyDescent="0.25">
      <c r="B450" s="5"/>
      <c r="C450" s="5"/>
    </row>
    <row r="451" spans="2:3" x14ac:dyDescent="0.25">
      <c r="B451" s="5"/>
      <c r="C451" s="5"/>
    </row>
    <row r="452" spans="2:3" x14ac:dyDescent="0.25">
      <c r="B452" s="5"/>
      <c r="C452" s="5"/>
    </row>
    <row r="453" spans="2:3" x14ac:dyDescent="0.25">
      <c r="B453" s="5"/>
      <c r="C453" s="5"/>
    </row>
    <row r="454" spans="2:3" x14ac:dyDescent="0.25">
      <c r="B454" s="5"/>
      <c r="C454" s="5"/>
    </row>
    <row r="455" spans="2:3" x14ac:dyDescent="0.25">
      <c r="B455" s="5"/>
      <c r="C455" s="5"/>
    </row>
    <row r="456" spans="2:3" x14ac:dyDescent="0.25">
      <c r="B456" s="5"/>
      <c r="C456" s="5"/>
    </row>
    <row r="457" spans="2:3" x14ac:dyDescent="0.25">
      <c r="B457" s="5"/>
      <c r="C457" s="5"/>
    </row>
    <row r="458" spans="2:3" x14ac:dyDescent="0.25">
      <c r="B458" s="5"/>
      <c r="C458" s="5"/>
    </row>
    <row r="459" spans="2:3" x14ac:dyDescent="0.25">
      <c r="B459" s="5"/>
      <c r="C459" s="5"/>
    </row>
    <row r="460" spans="2:3" x14ac:dyDescent="0.25">
      <c r="B460" s="5"/>
      <c r="C460" s="5"/>
    </row>
    <row r="461" spans="2:3" x14ac:dyDescent="0.25">
      <c r="B461" s="5"/>
      <c r="C461" s="5"/>
    </row>
    <row r="462" spans="2:3" x14ac:dyDescent="0.25">
      <c r="B462" s="5"/>
      <c r="C462" s="5"/>
    </row>
    <row r="463" spans="2:3" x14ac:dyDescent="0.25">
      <c r="B463" s="5"/>
      <c r="C463" s="5"/>
    </row>
    <row r="464" spans="2:3" x14ac:dyDescent="0.25">
      <c r="B464" s="5"/>
      <c r="C464" s="5"/>
    </row>
    <row r="465" spans="2:3" x14ac:dyDescent="0.25">
      <c r="B465" s="5"/>
      <c r="C465" s="5"/>
    </row>
    <row r="466" spans="2:3" x14ac:dyDescent="0.25">
      <c r="B466" s="5"/>
      <c r="C466" s="5"/>
    </row>
    <row r="467" spans="2:3" x14ac:dyDescent="0.25">
      <c r="B467" s="5"/>
      <c r="C467" s="5"/>
    </row>
    <row r="468" spans="2:3" x14ac:dyDescent="0.25">
      <c r="B468" s="5"/>
      <c r="C468" s="5"/>
    </row>
    <row r="469" spans="2:3" x14ac:dyDescent="0.25">
      <c r="B469" s="5"/>
      <c r="C469" s="5"/>
    </row>
    <row r="470" spans="2:3" x14ac:dyDescent="0.25">
      <c r="B470" s="5"/>
      <c r="C470" s="5"/>
    </row>
    <row r="471" spans="2:3" x14ac:dyDescent="0.25">
      <c r="B471" s="5"/>
      <c r="C471" s="5"/>
    </row>
    <row r="472" spans="2:3" x14ac:dyDescent="0.25">
      <c r="B472" s="5"/>
      <c r="C472" s="5"/>
    </row>
    <row r="473" spans="2:3" x14ac:dyDescent="0.25">
      <c r="B473" s="5"/>
      <c r="C473" s="5"/>
    </row>
    <row r="474" spans="2:3" x14ac:dyDescent="0.25">
      <c r="B474" s="5"/>
      <c r="C474" s="5"/>
    </row>
    <row r="475" spans="2:3" x14ac:dyDescent="0.25">
      <c r="B475" s="5"/>
      <c r="C475" s="5"/>
    </row>
    <row r="476" spans="2:3" x14ac:dyDescent="0.25">
      <c r="B476" s="5"/>
      <c r="C476" s="5"/>
    </row>
    <row r="477" spans="2:3" x14ac:dyDescent="0.25">
      <c r="B477" s="5"/>
      <c r="C477" s="5"/>
    </row>
    <row r="478" spans="2:3" x14ac:dyDescent="0.25">
      <c r="B478" s="5"/>
      <c r="C478" s="5"/>
    </row>
    <row r="479" spans="2:3" x14ac:dyDescent="0.25">
      <c r="B479" s="5"/>
      <c r="C479" s="5"/>
    </row>
    <row r="480" spans="2:3" x14ac:dyDescent="0.25">
      <c r="B480" s="5"/>
      <c r="C480" s="5"/>
    </row>
    <row r="481" spans="2:3" x14ac:dyDescent="0.25">
      <c r="B481" s="5"/>
      <c r="C481" s="5"/>
    </row>
    <row r="482" spans="2:3" x14ac:dyDescent="0.25">
      <c r="B482" s="5"/>
      <c r="C482" s="5"/>
    </row>
    <row r="483" spans="2:3" x14ac:dyDescent="0.25">
      <c r="B483" s="5"/>
      <c r="C483" s="5"/>
    </row>
    <row r="484" spans="2:3" x14ac:dyDescent="0.25">
      <c r="B484" s="5"/>
      <c r="C484" s="5"/>
    </row>
    <row r="485" spans="2:3" x14ac:dyDescent="0.25">
      <c r="B485" s="5"/>
      <c r="C485" s="5"/>
    </row>
    <row r="486" spans="2:3" x14ac:dyDescent="0.25">
      <c r="B486" s="5"/>
      <c r="C486" s="5"/>
    </row>
    <row r="487" spans="2:3" x14ac:dyDescent="0.25">
      <c r="B487" s="5"/>
      <c r="C487" s="5"/>
    </row>
    <row r="488" spans="2:3" x14ac:dyDescent="0.25">
      <c r="B488" s="5"/>
      <c r="C488" s="5"/>
    </row>
    <row r="489" spans="2:3" x14ac:dyDescent="0.25">
      <c r="B489" s="5"/>
      <c r="C489" s="5"/>
    </row>
    <row r="490" spans="2:3" x14ac:dyDescent="0.25">
      <c r="B490" s="5"/>
      <c r="C490" s="5"/>
    </row>
    <row r="491" spans="2:3" x14ac:dyDescent="0.25">
      <c r="B491" s="5"/>
      <c r="C491" s="5"/>
    </row>
    <row r="492" spans="2:3" x14ac:dyDescent="0.25">
      <c r="B492" s="5"/>
      <c r="C492" s="5"/>
    </row>
    <row r="493" spans="2:3" x14ac:dyDescent="0.25">
      <c r="B493" s="5"/>
      <c r="C493" s="5"/>
    </row>
    <row r="494" spans="2:3" x14ac:dyDescent="0.25">
      <c r="B494" s="5"/>
      <c r="C494" s="5"/>
    </row>
    <row r="495" spans="2:3" x14ac:dyDescent="0.25">
      <c r="B495" s="5"/>
      <c r="C495" s="5"/>
    </row>
    <row r="496" spans="2:3" x14ac:dyDescent="0.25">
      <c r="B496" s="5"/>
      <c r="C496" s="5"/>
    </row>
    <row r="497" spans="2:3" x14ac:dyDescent="0.25">
      <c r="B497" s="5"/>
      <c r="C497" s="5"/>
    </row>
    <row r="498" spans="2:3" x14ac:dyDescent="0.25">
      <c r="B498" s="5"/>
      <c r="C498" s="5"/>
    </row>
    <row r="499" spans="2:3" x14ac:dyDescent="0.25">
      <c r="B499" s="5"/>
      <c r="C499" s="5"/>
    </row>
    <row r="500" spans="2:3" x14ac:dyDescent="0.25">
      <c r="B500" s="5"/>
      <c r="C500" s="5"/>
    </row>
    <row r="501" spans="2:3" x14ac:dyDescent="0.25">
      <c r="B501" s="5"/>
      <c r="C501" s="5"/>
    </row>
    <row r="502" spans="2:3" x14ac:dyDescent="0.25">
      <c r="B502" s="5"/>
      <c r="C502" s="5"/>
    </row>
    <row r="503" spans="2:3" x14ac:dyDescent="0.25">
      <c r="B503" s="5"/>
      <c r="C503" s="5"/>
    </row>
    <row r="504" spans="2:3" x14ac:dyDescent="0.25">
      <c r="B504" s="5"/>
      <c r="C504" s="5"/>
    </row>
    <row r="505" spans="2:3" x14ac:dyDescent="0.25">
      <c r="B505" s="5"/>
      <c r="C505" s="5"/>
    </row>
    <row r="506" spans="2:3" x14ac:dyDescent="0.25">
      <c r="B506" s="5"/>
      <c r="C506" s="5"/>
    </row>
    <row r="507" spans="2:3" x14ac:dyDescent="0.25">
      <c r="B507" s="5"/>
      <c r="C507" s="5"/>
    </row>
    <row r="508" spans="2:3" x14ac:dyDescent="0.25">
      <c r="B508" s="5"/>
      <c r="C508" s="5"/>
    </row>
    <row r="509" spans="2:3" x14ac:dyDescent="0.25">
      <c r="B509" s="5"/>
      <c r="C509" s="5"/>
    </row>
    <row r="510" spans="2:3" x14ac:dyDescent="0.25">
      <c r="B510" s="5"/>
      <c r="C510" s="5"/>
    </row>
    <row r="511" spans="2:3" x14ac:dyDescent="0.25">
      <c r="B511" s="5"/>
      <c r="C511" s="5"/>
    </row>
    <row r="512" spans="2:3" x14ac:dyDescent="0.25">
      <c r="B512" s="5"/>
      <c r="C512" s="5"/>
    </row>
    <row r="513" spans="2:3" x14ac:dyDescent="0.25">
      <c r="B513" s="5"/>
      <c r="C513" s="5"/>
    </row>
    <row r="514" spans="2:3" x14ac:dyDescent="0.25">
      <c r="B514" s="5"/>
      <c r="C514" s="5"/>
    </row>
    <row r="515" spans="2:3" x14ac:dyDescent="0.25">
      <c r="B515" s="5"/>
      <c r="C515" s="5"/>
    </row>
    <row r="516" spans="2:3" x14ac:dyDescent="0.25">
      <c r="B516" s="5"/>
      <c r="C516" s="5"/>
    </row>
    <row r="517" spans="2:3" x14ac:dyDescent="0.25">
      <c r="B517" s="5"/>
      <c r="C517" s="5"/>
    </row>
    <row r="518" spans="2:3" x14ac:dyDescent="0.25">
      <c r="B518" s="5"/>
      <c r="C518" s="5"/>
    </row>
    <row r="519" spans="2:3" x14ac:dyDescent="0.25">
      <c r="B519" s="5"/>
      <c r="C519" s="5"/>
    </row>
    <row r="520" spans="2:3" x14ac:dyDescent="0.25">
      <c r="B520" s="5"/>
      <c r="C520" s="5"/>
    </row>
    <row r="521" spans="2:3" x14ac:dyDescent="0.25">
      <c r="B521" s="5"/>
      <c r="C521" s="5"/>
    </row>
    <row r="522" spans="2:3" x14ac:dyDescent="0.25">
      <c r="B522" s="5"/>
      <c r="C522" s="5"/>
    </row>
    <row r="523" spans="2:3" x14ac:dyDescent="0.25">
      <c r="B523" s="5"/>
      <c r="C523" s="5"/>
    </row>
    <row r="524" spans="2:3" x14ac:dyDescent="0.25">
      <c r="B524" s="5"/>
      <c r="C524" s="5"/>
    </row>
    <row r="525" spans="2:3" x14ac:dyDescent="0.25">
      <c r="B525" s="5"/>
      <c r="C525" s="5"/>
    </row>
    <row r="526" spans="2:3" x14ac:dyDescent="0.25">
      <c r="B526" s="5"/>
      <c r="C526" s="5"/>
    </row>
    <row r="527" spans="2:3" x14ac:dyDescent="0.25">
      <c r="B527" s="5"/>
      <c r="C527" s="5"/>
    </row>
    <row r="528" spans="2:3" x14ac:dyDescent="0.25">
      <c r="B528" s="5"/>
      <c r="C528" s="5"/>
    </row>
    <row r="529" spans="2:3" x14ac:dyDescent="0.25">
      <c r="B529" s="5"/>
      <c r="C529" s="5"/>
    </row>
    <row r="530" spans="2:3" x14ac:dyDescent="0.25">
      <c r="B530" s="5"/>
      <c r="C530" s="5"/>
    </row>
    <row r="531" spans="2:3" x14ac:dyDescent="0.25">
      <c r="B531" s="5"/>
      <c r="C531" s="5"/>
    </row>
    <row r="532" spans="2:3" x14ac:dyDescent="0.25">
      <c r="B532" s="5"/>
      <c r="C532" s="5"/>
    </row>
    <row r="533" spans="2:3" x14ac:dyDescent="0.25">
      <c r="B533" s="5"/>
      <c r="C533" s="5"/>
    </row>
    <row r="534" spans="2:3" x14ac:dyDescent="0.25">
      <c r="B534" s="5"/>
      <c r="C534" s="5"/>
    </row>
    <row r="535" spans="2:3" x14ac:dyDescent="0.25">
      <c r="B535" s="5"/>
      <c r="C535" s="5"/>
    </row>
    <row r="536" spans="2:3" x14ac:dyDescent="0.25">
      <c r="B536" s="5"/>
      <c r="C536" s="5"/>
    </row>
    <row r="537" spans="2:3" x14ac:dyDescent="0.25">
      <c r="B537" s="5"/>
      <c r="C537" s="5"/>
    </row>
    <row r="538" spans="2:3" x14ac:dyDescent="0.25">
      <c r="B538" s="5"/>
      <c r="C538" s="5"/>
    </row>
    <row r="539" spans="2:3" x14ac:dyDescent="0.25">
      <c r="B539" s="5"/>
      <c r="C539" s="5"/>
    </row>
    <row r="540" spans="2:3" x14ac:dyDescent="0.25">
      <c r="B540" s="5"/>
      <c r="C540" s="5"/>
    </row>
    <row r="541" spans="2:3" x14ac:dyDescent="0.25">
      <c r="B541" s="5"/>
      <c r="C541" s="5"/>
    </row>
    <row r="542" spans="2:3" x14ac:dyDescent="0.25">
      <c r="B542" s="5"/>
      <c r="C542" s="5"/>
    </row>
    <row r="543" spans="2:3" x14ac:dyDescent="0.25">
      <c r="B543" s="5"/>
      <c r="C543" s="5"/>
    </row>
    <row r="544" spans="2:3" x14ac:dyDescent="0.25">
      <c r="B544" s="5"/>
      <c r="C544" s="5"/>
    </row>
    <row r="545" spans="2:3" x14ac:dyDescent="0.25">
      <c r="B545" s="5"/>
      <c r="C545" s="5"/>
    </row>
    <row r="546" spans="2:3" x14ac:dyDescent="0.25">
      <c r="B546" s="5"/>
      <c r="C546" s="5"/>
    </row>
    <row r="547" spans="2:3" x14ac:dyDescent="0.25">
      <c r="B547" s="5"/>
      <c r="C547" s="5"/>
    </row>
    <row r="548" spans="2:3" x14ac:dyDescent="0.25">
      <c r="B548" s="5"/>
      <c r="C548" s="5"/>
    </row>
    <row r="549" spans="2:3" x14ac:dyDescent="0.25">
      <c r="B549" s="5"/>
      <c r="C549" s="5"/>
    </row>
    <row r="550" spans="2:3" x14ac:dyDescent="0.25">
      <c r="B550" s="5"/>
      <c r="C550" s="5"/>
    </row>
    <row r="551" spans="2:3" x14ac:dyDescent="0.25">
      <c r="B551" s="5"/>
      <c r="C551" s="5"/>
    </row>
    <row r="552" spans="2:3" x14ac:dyDescent="0.25">
      <c r="B552" s="5"/>
      <c r="C552" s="5"/>
    </row>
    <row r="553" spans="2:3" x14ac:dyDescent="0.25">
      <c r="B553" s="5"/>
      <c r="C553" s="5"/>
    </row>
    <row r="554" spans="2:3" x14ac:dyDescent="0.25">
      <c r="B554" s="5"/>
      <c r="C554" s="5"/>
    </row>
    <row r="555" spans="2:3" x14ac:dyDescent="0.25">
      <c r="B555" s="5"/>
      <c r="C555" s="5"/>
    </row>
    <row r="556" spans="2:3" x14ac:dyDescent="0.25">
      <c r="B556" s="5"/>
      <c r="C556" s="5"/>
    </row>
    <row r="557" spans="2:3" x14ac:dyDescent="0.25">
      <c r="B557" s="5"/>
      <c r="C557" s="5"/>
    </row>
    <row r="558" spans="2:3" x14ac:dyDescent="0.25">
      <c r="B558" s="5"/>
      <c r="C558" s="5"/>
    </row>
    <row r="559" spans="2:3" x14ac:dyDescent="0.25">
      <c r="B559" s="5"/>
      <c r="C559" s="5"/>
    </row>
    <row r="560" spans="2:3" x14ac:dyDescent="0.25">
      <c r="B560" s="5"/>
      <c r="C560" s="5"/>
    </row>
    <row r="561" spans="2:3" x14ac:dyDescent="0.25">
      <c r="B561" s="5"/>
      <c r="C561" s="5"/>
    </row>
    <row r="562" spans="2:3" x14ac:dyDescent="0.25">
      <c r="B562" s="5"/>
      <c r="C562" s="5"/>
    </row>
    <row r="563" spans="2:3" x14ac:dyDescent="0.25">
      <c r="B563" s="5"/>
      <c r="C563" s="5"/>
    </row>
    <row r="564" spans="2:3" x14ac:dyDescent="0.25">
      <c r="B564" s="5"/>
      <c r="C564" s="5"/>
    </row>
    <row r="565" spans="2:3" x14ac:dyDescent="0.25">
      <c r="B565" s="5"/>
      <c r="C565" s="5"/>
    </row>
    <row r="566" spans="2:3" x14ac:dyDescent="0.25">
      <c r="B566" s="5"/>
      <c r="C566" s="5"/>
    </row>
    <row r="567" spans="2:3" x14ac:dyDescent="0.25">
      <c r="B567" s="5"/>
      <c r="C567" s="5"/>
    </row>
    <row r="568" spans="2:3" x14ac:dyDescent="0.25">
      <c r="B568" s="5"/>
      <c r="C568" s="5"/>
    </row>
    <row r="569" spans="2:3" x14ac:dyDescent="0.25">
      <c r="B569" s="5"/>
      <c r="C569" s="5"/>
    </row>
    <row r="570" spans="2:3" x14ac:dyDescent="0.25">
      <c r="B570" s="5"/>
      <c r="C570" s="5"/>
    </row>
    <row r="571" spans="2:3" x14ac:dyDescent="0.25">
      <c r="B571" s="5"/>
      <c r="C571" s="5"/>
    </row>
    <row r="572" spans="2:3" x14ac:dyDescent="0.25">
      <c r="B572" s="5"/>
      <c r="C572" s="5"/>
    </row>
    <row r="573" spans="2:3" x14ac:dyDescent="0.25">
      <c r="B573" s="5"/>
      <c r="C573" s="5"/>
    </row>
    <row r="574" spans="2:3" x14ac:dyDescent="0.25">
      <c r="B574" s="5"/>
      <c r="C574" s="5"/>
    </row>
    <row r="575" spans="2:3" x14ac:dyDescent="0.25">
      <c r="B575" s="5"/>
      <c r="C575" s="5"/>
    </row>
    <row r="576" spans="2:3" x14ac:dyDescent="0.25">
      <c r="B576" s="5"/>
      <c r="C576" s="5"/>
    </row>
    <row r="577" spans="2:3" x14ac:dyDescent="0.25">
      <c r="B577" s="5"/>
      <c r="C577" s="5"/>
    </row>
    <row r="578" spans="2:3" x14ac:dyDescent="0.25">
      <c r="B578" s="5"/>
      <c r="C578" s="5"/>
    </row>
    <row r="579" spans="2:3" x14ac:dyDescent="0.25">
      <c r="B579" s="5"/>
      <c r="C579" s="5"/>
    </row>
    <row r="580" spans="2:3" x14ac:dyDescent="0.25">
      <c r="B580" s="5"/>
      <c r="C580" s="5"/>
    </row>
    <row r="581" spans="2:3" x14ac:dyDescent="0.25">
      <c r="B581" s="5"/>
      <c r="C581" s="5"/>
    </row>
    <row r="582" spans="2:3" x14ac:dyDescent="0.25">
      <c r="B582" s="5"/>
      <c r="C582" s="5"/>
    </row>
    <row r="583" spans="2:3" x14ac:dyDescent="0.25">
      <c r="B583" s="5"/>
      <c r="C583" s="5"/>
    </row>
    <row r="584" spans="2:3" x14ac:dyDescent="0.25">
      <c r="B584" s="5"/>
      <c r="C584" s="5"/>
    </row>
    <row r="585" spans="2:3" x14ac:dyDescent="0.25">
      <c r="B585" s="5"/>
      <c r="C585" s="5"/>
    </row>
    <row r="586" spans="2:3" x14ac:dyDescent="0.25">
      <c r="B586" s="5"/>
      <c r="C586" s="5"/>
    </row>
    <row r="587" spans="2:3" x14ac:dyDescent="0.25">
      <c r="B587" s="5"/>
      <c r="C587" s="5"/>
    </row>
    <row r="588" spans="2:3" x14ac:dyDescent="0.25">
      <c r="B588" s="5"/>
      <c r="C588" s="5"/>
    </row>
    <row r="589" spans="2:3" x14ac:dyDescent="0.25">
      <c r="B589" s="5"/>
      <c r="C589" s="5"/>
    </row>
    <row r="590" spans="2:3" x14ac:dyDescent="0.25">
      <c r="B590" s="5"/>
      <c r="C590" s="5"/>
    </row>
    <row r="591" spans="2:3" x14ac:dyDescent="0.25">
      <c r="B591" s="5"/>
      <c r="C591" s="5"/>
    </row>
    <row r="592" spans="2:3" x14ac:dyDescent="0.25">
      <c r="B592" s="5"/>
      <c r="C592" s="5"/>
    </row>
    <row r="593" spans="2:3" x14ac:dyDescent="0.25">
      <c r="B593" s="5"/>
      <c r="C593" s="5"/>
    </row>
    <row r="594" spans="2:3" x14ac:dyDescent="0.25">
      <c r="B594" s="5"/>
      <c r="C594" s="5"/>
    </row>
    <row r="595" spans="2:3" x14ac:dyDescent="0.25">
      <c r="B595" s="5"/>
      <c r="C595" s="5"/>
    </row>
    <row r="596" spans="2:3" x14ac:dyDescent="0.25">
      <c r="B596" s="5"/>
      <c r="C596" s="5"/>
    </row>
    <row r="597" spans="2:3" x14ac:dyDescent="0.25">
      <c r="B597" s="5"/>
      <c r="C597" s="5"/>
    </row>
    <row r="598" spans="2:3" x14ac:dyDescent="0.25">
      <c r="B598" s="5"/>
      <c r="C598" s="5"/>
    </row>
    <row r="599" spans="2:3" x14ac:dyDescent="0.25">
      <c r="B599" s="5"/>
      <c r="C599" s="5"/>
    </row>
    <row r="600" spans="2:3" x14ac:dyDescent="0.25">
      <c r="B600" s="5"/>
      <c r="C600" s="5"/>
    </row>
    <row r="601" spans="2:3" x14ac:dyDescent="0.25">
      <c r="B601" s="5"/>
      <c r="C601" s="5"/>
    </row>
    <row r="602" spans="2:3" x14ac:dyDescent="0.25">
      <c r="B602" s="5"/>
      <c r="C602" s="5"/>
    </row>
    <row r="603" spans="2:3" x14ac:dyDescent="0.25">
      <c r="B603" s="5"/>
      <c r="C603" s="5"/>
    </row>
    <row r="604" spans="2:3" x14ac:dyDescent="0.25">
      <c r="B604" s="5"/>
      <c r="C604" s="5"/>
    </row>
    <row r="605" spans="2:3" x14ac:dyDescent="0.25">
      <c r="B605" s="5"/>
      <c r="C605" s="5"/>
    </row>
    <row r="606" spans="2:3" x14ac:dyDescent="0.25">
      <c r="B606" s="5"/>
      <c r="C606" s="5"/>
    </row>
    <row r="607" spans="2:3" x14ac:dyDescent="0.25">
      <c r="B607" s="5"/>
      <c r="C607" s="5"/>
    </row>
    <row r="608" spans="2:3" x14ac:dyDescent="0.25">
      <c r="B608" s="5"/>
      <c r="C608" s="5"/>
    </row>
    <row r="609" spans="2:3" x14ac:dyDescent="0.25">
      <c r="B609" s="5"/>
      <c r="C609" s="5"/>
    </row>
    <row r="610" spans="2:3" x14ac:dyDescent="0.25">
      <c r="B610" s="5"/>
      <c r="C610" s="5"/>
    </row>
    <row r="611" spans="2:3" x14ac:dyDescent="0.25">
      <c r="B611" s="5"/>
      <c r="C611" s="5"/>
    </row>
    <row r="612" spans="2:3" x14ac:dyDescent="0.25">
      <c r="B612" s="5"/>
      <c r="C612" s="5"/>
    </row>
    <row r="613" spans="2:3" x14ac:dyDescent="0.25">
      <c r="B613" s="5"/>
      <c r="C613" s="5"/>
    </row>
    <row r="614" spans="2:3" x14ac:dyDescent="0.25">
      <c r="B614" s="5"/>
      <c r="C614" s="5"/>
    </row>
    <row r="615" spans="2:3" x14ac:dyDescent="0.25">
      <c r="B615" s="5"/>
      <c r="C615" s="5"/>
    </row>
    <row r="616" spans="2:3" x14ac:dyDescent="0.25">
      <c r="B616" s="5"/>
      <c r="C616" s="5"/>
    </row>
    <row r="617" spans="2:3" x14ac:dyDescent="0.25">
      <c r="B617" s="5"/>
      <c r="C617" s="5"/>
    </row>
    <row r="618" spans="2:3" x14ac:dyDescent="0.25">
      <c r="B618" s="5"/>
      <c r="C618" s="5"/>
    </row>
    <row r="619" spans="2:3" x14ac:dyDescent="0.25">
      <c r="B619" s="5"/>
      <c r="C619" s="5"/>
    </row>
    <row r="620" spans="2:3" x14ac:dyDescent="0.25">
      <c r="B620" s="5"/>
      <c r="C620" s="5"/>
    </row>
    <row r="621" spans="2:3" x14ac:dyDescent="0.25">
      <c r="B621" s="5"/>
      <c r="C621" s="5"/>
    </row>
    <row r="622" spans="2:3" x14ac:dyDescent="0.25">
      <c r="B622" s="5"/>
      <c r="C622" s="5"/>
    </row>
    <row r="623" spans="2:3" x14ac:dyDescent="0.25">
      <c r="B623" s="5"/>
      <c r="C623" s="5"/>
    </row>
    <row r="624" spans="2:3" x14ac:dyDescent="0.25">
      <c r="B624" s="5"/>
      <c r="C624" s="5"/>
    </row>
    <row r="625" spans="2:3" x14ac:dyDescent="0.25">
      <c r="B625" s="5"/>
      <c r="C625" s="5"/>
    </row>
    <row r="626" spans="2:3" x14ac:dyDescent="0.25">
      <c r="B626" s="5"/>
      <c r="C626" s="5"/>
    </row>
    <row r="627" spans="2:3" x14ac:dyDescent="0.25">
      <c r="B627" s="5"/>
      <c r="C627" s="5"/>
    </row>
    <row r="628" spans="2:3" x14ac:dyDescent="0.25">
      <c r="B628" s="5"/>
      <c r="C628" s="5"/>
    </row>
    <row r="629" spans="2:3" x14ac:dyDescent="0.25">
      <c r="B629" s="5"/>
      <c r="C629" s="5"/>
    </row>
    <row r="630" spans="2:3" x14ac:dyDescent="0.25">
      <c r="B630" s="5"/>
      <c r="C630" s="5"/>
    </row>
    <row r="631" spans="2:3" x14ac:dyDescent="0.25">
      <c r="B631" s="5"/>
      <c r="C631" s="5"/>
    </row>
    <row r="632" spans="2:3" x14ac:dyDescent="0.25">
      <c r="B632" s="5"/>
      <c r="C632" s="5"/>
    </row>
    <row r="633" spans="2:3" x14ac:dyDescent="0.25">
      <c r="B633" s="5"/>
      <c r="C633" s="5"/>
    </row>
    <row r="634" spans="2:3" x14ac:dyDescent="0.25">
      <c r="B634" s="5"/>
      <c r="C634" s="5"/>
    </row>
    <row r="635" spans="2:3" x14ac:dyDescent="0.25">
      <c r="B635" s="5"/>
      <c r="C635" s="5"/>
    </row>
    <row r="636" spans="2:3" x14ac:dyDescent="0.25">
      <c r="B636" s="5"/>
      <c r="C636" s="5"/>
    </row>
    <row r="637" spans="2:3" x14ac:dyDescent="0.25">
      <c r="B637" s="5"/>
      <c r="C637" s="5"/>
    </row>
    <row r="638" spans="2:3" x14ac:dyDescent="0.25">
      <c r="B638" s="5"/>
      <c r="C638" s="5"/>
    </row>
    <row r="639" spans="2:3" x14ac:dyDescent="0.25">
      <c r="B639" s="5"/>
      <c r="C639" s="5"/>
    </row>
    <row r="640" spans="2:3" x14ac:dyDescent="0.25">
      <c r="B640" s="5"/>
      <c r="C640" s="5"/>
    </row>
    <row r="641" spans="2:3" x14ac:dyDescent="0.25">
      <c r="B641" s="5"/>
      <c r="C641" s="5"/>
    </row>
    <row r="642" spans="2:3" x14ac:dyDescent="0.25">
      <c r="B642" s="5"/>
      <c r="C642" s="5"/>
    </row>
    <row r="643" spans="2:3" x14ac:dyDescent="0.25">
      <c r="B643" s="5"/>
      <c r="C643" s="5"/>
    </row>
    <row r="644" spans="2:3" x14ac:dyDescent="0.25">
      <c r="B644" s="5"/>
      <c r="C644" s="5"/>
    </row>
    <row r="645" spans="2:3" x14ac:dyDescent="0.25">
      <c r="B645" s="5"/>
      <c r="C645" s="5"/>
    </row>
    <row r="646" spans="2:3" x14ac:dyDescent="0.25">
      <c r="B646" s="5"/>
      <c r="C646" s="5"/>
    </row>
    <row r="647" spans="2:3" x14ac:dyDescent="0.25">
      <c r="B647" s="5"/>
      <c r="C647" s="5"/>
    </row>
    <row r="648" spans="2:3" x14ac:dyDescent="0.25">
      <c r="B648" s="5"/>
      <c r="C648" s="5"/>
    </row>
    <row r="649" spans="2:3" x14ac:dyDescent="0.25">
      <c r="B649" s="5"/>
      <c r="C649" s="5"/>
    </row>
    <row r="650" spans="2:3" x14ac:dyDescent="0.25">
      <c r="B650" s="5"/>
      <c r="C650" s="5"/>
    </row>
    <row r="651" spans="2:3" x14ac:dyDescent="0.25">
      <c r="B651" s="5"/>
      <c r="C651" s="5"/>
    </row>
    <row r="652" spans="2:3" x14ac:dyDescent="0.25">
      <c r="B652" s="5"/>
      <c r="C652" s="5"/>
    </row>
    <row r="653" spans="2:3" x14ac:dyDescent="0.25">
      <c r="B653" s="5"/>
      <c r="C653" s="5"/>
    </row>
    <row r="654" spans="2:3" x14ac:dyDescent="0.25">
      <c r="B654" s="5"/>
      <c r="C654" s="5"/>
    </row>
    <row r="655" spans="2:3" x14ac:dyDescent="0.25">
      <c r="B655" s="5"/>
      <c r="C655" s="5"/>
    </row>
    <row r="656" spans="2:3" x14ac:dyDescent="0.25">
      <c r="B656" s="5"/>
      <c r="C656" s="5"/>
    </row>
    <row r="657" spans="2:3" x14ac:dyDescent="0.25">
      <c r="B657" s="5"/>
      <c r="C657" s="5"/>
    </row>
    <row r="658" spans="2:3" x14ac:dyDescent="0.25">
      <c r="B658" s="5"/>
      <c r="C658" s="5"/>
    </row>
    <row r="659" spans="2:3" x14ac:dyDescent="0.25">
      <c r="B659" s="5"/>
      <c r="C659" s="5"/>
    </row>
    <row r="660" spans="2:3" x14ac:dyDescent="0.25">
      <c r="B660" s="5"/>
      <c r="C660" s="5"/>
    </row>
    <row r="661" spans="2:3" x14ac:dyDescent="0.25">
      <c r="B661" s="5"/>
      <c r="C661" s="5"/>
    </row>
    <row r="662" spans="2:3" x14ac:dyDescent="0.25">
      <c r="B662" s="5"/>
      <c r="C662" s="5"/>
    </row>
    <row r="663" spans="2:3" x14ac:dyDescent="0.25">
      <c r="B663" s="5"/>
      <c r="C663" s="5"/>
    </row>
    <row r="664" spans="2:3" x14ac:dyDescent="0.25">
      <c r="B664" s="5"/>
      <c r="C664" s="5"/>
    </row>
    <row r="665" spans="2:3" x14ac:dyDescent="0.25">
      <c r="B665" s="5"/>
      <c r="C665" s="5"/>
    </row>
    <row r="666" spans="2:3" x14ac:dyDescent="0.25">
      <c r="B666" s="5"/>
      <c r="C666" s="5"/>
    </row>
    <row r="667" spans="2:3" x14ac:dyDescent="0.25">
      <c r="B667" s="5"/>
      <c r="C667" s="5"/>
    </row>
    <row r="668" spans="2:3" x14ac:dyDescent="0.25">
      <c r="B668" s="5"/>
      <c r="C668" s="5"/>
    </row>
    <row r="669" spans="2:3" x14ac:dyDescent="0.25">
      <c r="B669" s="5"/>
      <c r="C669" s="5"/>
    </row>
    <row r="670" spans="2:3" x14ac:dyDescent="0.25">
      <c r="B670" s="5"/>
      <c r="C670" s="5"/>
    </row>
    <row r="671" spans="2:3" x14ac:dyDescent="0.25">
      <c r="B671" s="5"/>
      <c r="C671" s="5"/>
    </row>
    <row r="672" spans="2:3" x14ac:dyDescent="0.25">
      <c r="B672" s="5"/>
      <c r="C672" s="5"/>
    </row>
    <row r="673" spans="2:3" x14ac:dyDescent="0.25">
      <c r="B673" s="5"/>
      <c r="C673" s="5"/>
    </row>
    <row r="674" spans="2:3" x14ac:dyDescent="0.25">
      <c r="B674" s="5"/>
      <c r="C674" s="5"/>
    </row>
    <row r="675" spans="2:3" x14ac:dyDescent="0.25">
      <c r="B675" s="5"/>
      <c r="C675" s="5"/>
    </row>
    <row r="676" spans="2:3" x14ac:dyDescent="0.25">
      <c r="B676" s="5"/>
      <c r="C676" s="5"/>
    </row>
    <row r="677" spans="2:3" x14ac:dyDescent="0.25">
      <c r="B677" s="5"/>
      <c r="C677" s="5"/>
    </row>
    <row r="678" spans="2:3" x14ac:dyDescent="0.25">
      <c r="B678" s="5"/>
      <c r="C678" s="5"/>
    </row>
    <row r="679" spans="2:3" x14ac:dyDescent="0.25">
      <c r="B679" s="5"/>
      <c r="C679" s="5"/>
    </row>
    <row r="680" spans="2:3" x14ac:dyDescent="0.25">
      <c r="B680" s="5"/>
      <c r="C680" s="5"/>
    </row>
    <row r="681" spans="2:3" x14ac:dyDescent="0.25">
      <c r="B681" s="5"/>
      <c r="C681" s="5"/>
    </row>
    <row r="682" spans="2:3" x14ac:dyDescent="0.25">
      <c r="B682" s="5"/>
      <c r="C682" s="5"/>
    </row>
    <row r="683" spans="2:3" x14ac:dyDescent="0.25">
      <c r="B683" s="5"/>
      <c r="C683" s="5"/>
    </row>
    <row r="684" spans="2:3" x14ac:dyDescent="0.25">
      <c r="B684" s="5"/>
      <c r="C684" s="5"/>
    </row>
    <row r="685" spans="2:3" x14ac:dyDescent="0.25">
      <c r="B685" s="5"/>
      <c r="C685" s="5"/>
    </row>
    <row r="686" spans="2:3" x14ac:dyDescent="0.25">
      <c r="B686" s="5"/>
      <c r="C686" s="5"/>
    </row>
    <row r="687" spans="2:3" x14ac:dyDescent="0.25">
      <c r="B687" s="5"/>
      <c r="C687" s="5"/>
    </row>
    <row r="688" spans="2:3" x14ac:dyDescent="0.25">
      <c r="B688" s="5"/>
      <c r="C688" s="5"/>
    </row>
    <row r="689" spans="2:3" x14ac:dyDescent="0.25">
      <c r="B689" s="5"/>
      <c r="C689" s="5"/>
    </row>
    <row r="690" spans="2:3" x14ac:dyDescent="0.25">
      <c r="B690" s="5"/>
      <c r="C690" s="5"/>
    </row>
    <row r="691" spans="2:3" x14ac:dyDescent="0.25">
      <c r="B691" s="5"/>
      <c r="C691" s="5"/>
    </row>
    <row r="692" spans="2:3" x14ac:dyDescent="0.25">
      <c r="B692" s="5"/>
      <c r="C692" s="5"/>
    </row>
    <row r="693" spans="2:3" x14ac:dyDescent="0.25">
      <c r="B693" s="5"/>
      <c r="C693" s="5"/>
    </row>
    <row r="694" spans="2:3" x14ac:dyDescent="0.25">
      <c r="B694" s="5"/>
      <c r="C694" s="5"/>
    </row>
    <row r="695" spans="2:3" x14ac:dyDescent="0.25">
      <c r="B695" s="5"/>
      <c r="C695" s="5"/>
    </row>
    <row r="696" spans="2:3" x14ac:dyDescent="0.25">
      <c r="B696" s="5"/>
      <c r="C696" s="5"/>
    </row>
    <row r="697" spans="2:3" x14ac:dyDescent="0.25">
      <c r="B697" s="5"/>
      <c r="C697" s="5"/>
    </row>
    <row r="698" spans="2:3" x14ac:dyDescent="0.25">
      <c r="B698" s="5"/>
      <c r="C698" s="5"/>
    </row>
    <row r="699" spans="2:3" x14ac:dyDescent="0.25">
      <c r="B699" s="5"/>
      <c r="C699" s="5"/>
    </row>
    <row r="700" spans="2:3" x14ac:dyDescent="0.25">
      <c r="B700" s="5"/>
      <c r="C700" s="5"/>
    </row>
    <row r="701" spans="2:3" x14ac:dyDescent="0.25">
      <c r="B701" s="5"/>
      <c r="C701" s="5"/>
    </row>
    <row r="702" spans="2:3" x14ac:dyDescent="0.25">
      <c r="B702" s="5"/>
      <c r="C702" s="5"/>
    </row>
    <row r="703" spans="2:3" x14ac:dyDescent="0.25">
      <c r="B703" s="5"/>
      <c r="C703" s="5"/>
    </row>
    <row r="704" spans="2:3" x14ac:dyDescent="0.25">
      <c r="B704" s="5"/>
      <c r="C704" s="5"/>
    </row>
    <row r="705" spans="2:3" x14ac:dyDescent="0.25">
      <c r="B705" s="5"/>
      <c r="C705" s="5"/>
    </row>
  </sheetData>
  <conditionalFormatting sqref="F8:F347">
    <cfRule type="cellIs" dxfId="2" priority="1" operator="greaterThan">
      <formula>75</formula>
    </cfRule>
    <cfRule type="cellIs" dxfId="1" priority="2" operator="equal">
      <formula>75</formula>
    </cfRule>
    <cfRule type="cellIs" dxfId="0" priority="3" operator="lessThan">
      <formula>75</formula>
    </cfRule>
  </conditionalFormatting>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3C39-6F37-44BE-8968-AA18AF0D3E80}">
  <dimension ref="B2:O30"/>
  <sheetViews>
    <sheetView showGridLines="0" workbookViewId="0">
      <selection activeCell="J15" sqref="J15"/>
    </sheetView>
  </sheetViews>
  <sheetFormatPr defaultRowHeight="15" x14ac:dyDescent="0.25"/>
  <cols>
    <col min="4" max="5" width="10.28515625" customWidth="1"/>
    <col min="8" max="8" width="9.7109375" customWidth="1"/>
    <col min="10" max="10" width="17.85546875" customWidth="1"/>
    <col min="11" max="11" width="17" customWidth="1"/>
    <col min="12" max="12" width="11" customWidth="1"/>
    <col min="13" max="13" width="12.42578125" customWidth="1"/>
    <col min="14" max="14" width="9.140625" style="8"/>
    <col min="15" max="15" width="12" customWidth="1"/>
  </cols>
  <sheetData>
    <row r="2" spans="2:15" ht="24" thickBot="1" x14ac:dyDescent="0.4">
      <c r="B2" s="36" t="s">
        <v>96</v>
      </c>
      <c r="C2" s="37"/>
      <c r="D2" s="37"/>
      <c r="E2" s="37"/>
      <c r="F2" s="37"/>
      <c r="G2" s="37"/>
      <c r="I2" s="36" t="s">
        <v>39</v>
      </c>
      <c r="J2" s="37"/>
    </row>
    <row r="3" spans="2:15" ht="9.75" customHeight="1" x14ac:dyDescent="0.25"/>
    <row r="5" spans="2:15" x14ac:dyDescent="0.25">
      <c r="B5" t="s">
        <v>20</v>
      </c>
      <c r="C5" t="s">
        <v>1</v>
      </c>
      <c r="D5" t="s">
        <v>19</v>
      </c>
      <c r="E5" t="s">
        <v>12</v>
      </c>
      <c r="F5" t="s">
        <v>70</v>
      </c>
      <c r="G5" t="s">
        <v>71</v>
      </c>
      <c r="I5" t="s">
        <v>40</v>
      </c>
      <c r="J5" t="s">
        <v>6</v>
      </c>
    </row>
    <row r="6" spans="2:15" x14ac:dyDescent="0.25">
      <c r="B6" t="s">
        <v>38</v>
      </c>
      <c r="C6">
        <v>0</v>
      </c>
      <c r="D6" s="10">
        <v>0</v>
      </c>
      <c r="E6">
        <v>2.25</v>
      </c>
      <c r="F6">
        <v>0</v>
      </c>
      <c r="G6">
        <v>0</v>
      </c>
      <c r="I6" t="s">
        <v>41</v>
      </c>
      <c r="L6" s="8" t="s">
        <v>17</v>
      </c>
      <c r="M6" t="s">
        <v>56</v>
      </c>
    </row>
    <row r="7" spans="2:15" x14ac:dyDescent="0.25">
      <c r="B7" t="s">
        <v>21</v>
      </c>
      <c r="C7">
        <v>700</v>
      </c>
      <c r="D7" s="10">
        <v>1100</v>
      </c>
      <c r="E7">
        <v>3.75</v>
      </c>
      <c r="F7">
        <v>0</v>
      </c>
      <c r="G7">
        <v>0</v>
      </c>
      <c r="I7" t="s">
        <v>81</v>
      </c>
      <c r="J7" t="s">
        <v>74</v>
      </c>
      <c r="L7" s="8">
        <v>1</v>
      </c>
      <c r="M7" s="5">
        <v>1</v>
      </c>
      <c r="N7" s="9"/>
      <c r="O7" s="6"/>
    </row>
    <row r="8" spans="2:15" x14ac:dyDescent="0.25">
      <c r="B8" t="s">
        <v>22</v>
      </c>
      <c r="C8">
        <v>700</v>
      </c>
      <c r="D8" s="10">
        <v>1500</v>
      </c>
      <c r="E8">
        <v>7.5</v>
      </c>
      <c r="F8">
        <v>0</v>
      </c>
      <c r="G8">
        <v>0</v>
      </c>
      <c r="I8" t="s">
        <v>82</v>
      </c>
      <c r="J8" t="s">
        <v>76</v>
      </c>
      <c r="L8" s="8">
        <v>2</v>
      </c>
      <c r="M8" s="7">
        <f ca="1">'Shift Tracker'!B14</f>
        <v>46014</v>
      </c>
    </row>
    <row r="9" spans="2:15" x14ac:dyDescent="0.25">
      <c r="B9" t="s">
        <v>23</v>
      </c>
      <c r="C9">
        <v>700</v>
      </c>
      <c r="D9" s="10">
        <v>1900</v>
      </c>
      <c r="E9">
        <v>11.25</v>
      </c>
      <c r="F9">
        <v>0</v>
      </c>
      <c r="G9">
        <v>0</v>
      </c>
      <c r="I9" t="s">
        <v>83</v>
      </c>
      <c r="J9" t="s">
        <v>75</v>
      </c>
      <c r="L9" s="8">
        <v>3</v>
      </c>
      <c r="M9" s="1">
        <f ca="1">M8+1</f>
        <v>46015</v>
      </c>
    </row>
    <row r="10" spans="2:15" x14ac:dyDescent="0.25">
      <c r="B10" t="s">
        <v>24</v>
      </c>
      <c r="C10">
        <v>715</v>
      </c>
      <c r="D10" s="10">
        <v>1515</v>
      </c>
      <c r="E10">
        <v>7.5</v>
      </c>
      <c r="F10">
        <v>0</v>
      </c>
      <c r="G10">
        <v>0</v>
      </c>
      <c r="I10" t="s">
        <v>84</v>
      </c>
      <c r="J10" t="s">
        <v>77</v>
      </c>
    </row>
    <row r="11" spans="2:15" x14ac:dyDescent="0.25">
      <c r="B11" t="s">
        <v>25</v>
      </c>
      <c r="C11">
        <v>730</v>
      </c>
      <c r="D11" s="10">
        <v>1530</v>
      </c>
      <c r="E11">
        <v>7.5</v>
      </c>
      <c r="F11">
        <v>0</v>
      </c>
      <c r="G11">
        <v>0</v>
      </c>
      <c r="I11" t="s">
        <v>85</v>
      </c>
      <c r="J11" t="s">
        <v>78</v>
      </c>
    </row>
    <row r="12" spans="2:15" x14ac:dyDescent="0.25">
      <c r="B12" t="s">
        <v>26</v>
      </c>
      <c r="C12">
        <v>730</v>
      </c>
      <c r="D12" s="10">
        <v>1930</v>
      </c>
      <c r="E12">
        <v>11.25</v>
      </c>
      <c r="F12">
        <v>0</v>
      </c>
      <c r="G12">
        <v>0</v>
      </c>
      <c r="I12" t="s">
        <v>86</v>
      </c>
      <c r="J12" t="s">
        <v>79</v>
      </c>
      <c r="L12" t="s">
        <v>17</v>
      </c>
    </row>
    <row r="13" spans="2:15" x14ac:dyDescent="0.25">
      <c r="B13" t="s">
        <v>27</v>
      </c>
      <c r="C13">
        <v>830</v>
      </c>
      <c r="D13" s="10">
        <v>1630</v>
      </c>
      <c r="E13">
        <v>7.5</v>
      </c>
      <c r="F13">
        <v>0</v>
      </c>
      <c r="G13">
        <v>0</v>
      </c>
      <c r="I13" t="s">
        <v>87</v>
      </c>
      <c r="J13" t="s">
        <v>76</v>
      </c>
      <c r="L13">
        <v>1</v>
      </c>
    </row>
    <row r="14" spans="2:15" x14ac:dyDescent="0.25">
      <c r="B14" t="s">
        <v>28</v>
      </c>
      <c r="C14">
        <v>930</v>
      </c>
      <c r="D14" s="10">
        <v>1400</v>
      </c>
      <c r="E14">
        <v>4.5</v>
      </c>
      <c r="F14">
        <v>0</v>
      </c>
      <c r="G14">
        <v>0</v>
      </c>
      <c r="I14" t="s">
        <v>88</v>
      </c>
      <c r="J14" t="s">
        <v>80</v>
      </c>
      <c r="L14">
        <v>2</v>
      </c>
    </row>
    <row r="15" spans="2:15" x14ac:dyDescent="0.25">
      <c r="B15" t="s">
        <v>29</v>
      </c>
      <c r="C15">
        <v>930</v>
      </c>
      <c r="D15" s="10">
        <v>1730</v>
      </c>
      <c r="E15">
        <v>7.5</v>
      </c>
      <c r="F15">
        <v>0</v>
      </c>
      <c r="G15">
        <v>0</v>
      </c>
      <c r="I15" t="s">
        <v>105</v>
      </c>
      <c r="J15" t="s">
        <v>106</v>
      </c>
      <c r="L15">
        <v>3</v>
      </c>
    </row>
    <row r="16" spans="2:15" x14ac:dyDescent="0.25">
      <c r="B16" t="s">
        <v>30</v>
      </c>
      <c r="C16">
        <v>1000</v>
      </c>
      <c r="D16" s="10">
        <v>1430</v>
      </c>
      <c r="E16">
        <v>4.5</v>
      </c>
      <c r="F16">
        <v>0</v>
      </c>
      <c r="G16">
        <v>0</v>
      </c>
      <c r="L16">
        <v>4</v>
      </c>
    </row>
    <row r="17" spans="2:12" x14ac:dyDescent="0.25">
      <c r="B17" t="s">
        <v>31</v>
      </c>
      <c r="C17">
        <v>1100</v>
      </c>
      <c r="D17" s="10">
        <v>1900</v>
      </c>
      <c r="E17">
        <v>7.5</v>
      </c>
      <c r="F17">
        <v>0</v>
      </c>
      <c r="G17">
        <v>0</v>
      </c>
      <c r="L17">
        <v>5</v>
      </c>
    </row>
    <row r="18" spans="2:12" x14ac:dyDescent="0.25">
      <c r="B18" t="s">
        <v>32</v>
      </c>
      <c r="C18">
        <v>1500</v>
      </c>
      <c r="D18" s="10">
        <v>2300</v>
      </c>
      <c r="E18">
        <v>7.5</v>
      </c>
      <c r="F18">
        <v>0</v>
      </c>
      <c r="G18">
        <v>0</v>
      </c>
    </row>
    <row r="19" spans="2:12" x14ac:dyDescent="0.25">
      <c r="B19" t="s">
        <v>34</v>
      </c>
      <c r="C19">
        <v>1530</v>
      </c>
      <c r="D19" s="10">
        <v>2330</v>
      </c>
      <c r="E19">
        <v>7.5</v>
      </c>
      <c r="F19">
        <v>0</v>
      </c>
      <c r="G19">
        <v>0</v>
      </c>
    </row>
    <row r="20" spans="2:12" x14ac:dyDescent="0.25">
      <c r="B20" t="s">
        <v>35</v>
      </c>
      <c r="C20">
        <v>1530</v>
      </c>
      <c r="D20" s="10">
        <v>1930</v>
      </c>
      <c r="E20">
        <v>4</v>
      </c>
      <c r="F20">
        <v>0</v>
      </c>
      <c r="G20">
        <v>0</v>
      </c>
      <c r="L20" s="35" t="s">
        <v>91</v>
      </c>
    </row>
    <row r="21" spans="2:12" x14ac:dyDescent="0.25">
      <c r="B21" t="s">
        <v>90</v>
      </c>
      <c r="C21">
        <v>1900</v>
      </c>
      <c r="D21" s="10">
        <v>2300</v>
      </c>
      <c r="E21">
        <v>4</v>
      </c>
      <c r="F21">
        <v>0</v>
      </c>
      <c r="G21">
        <v>0</v>
      </c>
      <c r="L21" s="32" t="s">
        <v>92</v>
      </c>
    </row>
    <row r="22" spans="2:12" x14ac:dyDescent="0.25">
      <c r="B22" t="s">
        <v>33</v>
      </c>
      <c r="C22">
        <v>1900</v>
      </c>
      <c r="D22" s="10">
        <v>700</v>
      </c>
      <c r="E22">
        <v>11.25</v>
      </c>
      <c r="F22">
        <v>0</v>
      </c>
      <c r="G22">
        <v>0</v>
      </c>
    </row>
    <row r="23" spans="2:12" x14ac:dyDescent="0.25">
      <c r="B23" t="s">
        <v>95</v>
      </c>
      <c r="C23">
        <v>1930</v>
      </c>
      <c r="D23" s="10">
        <v>2300</v>
      </c>
      <c r="E23">
        <v>4</v>
      </c>
      <c r="F23">
        <v>0</v>
      </c>
      <c r="G23">
        <v>0</v>
      </c>
    </row>
    <row r="24" spans="2:12" x14ac:dyDescent="0.25">
      <c r="B24" t="s">
        <v>36</v>
      </c>
      <c r="C24">
        <v>1930</v>
      </c>
      <c r="D24" s="10">
        <v>730</v>
      </c>
      <c r="E24">
        <v>11.25</v>
      </c>
      <c r="F24">
        <v>0</v>
      </c>
      <c r="G24">
        <v>0</v>
      </c>
    </row>
    <row r="25" spans="2:12" x14ac:dyDescent="0.25">
      <c r="B25" t="s">
        <v>107</v>
      </c>
      <c r="C25">
        <v>2300</v>
      </c>
      <c r="D25" s="10">
        <v>700</v>
      </c>
      <c r="E25">
        <v>7.5</v>
      </c>
    </row>
    <row r="26" spans="2:12" x14ac:dyDescent="0.25">
      <c r="B26" t="s">
        <v>37</v>
      </c>
      <c r="C26">
        <v>2330</v>
      </c>
      <c r="D26" s="10">
        <v>730</v>
      </c>
      <c r="E26">
        <v>7.5</v>
      </c>
      <c r="F26">
        <v>0</v>
      </c>
      <c r="G26">
        <v>0</v>
      </c>
    </row>
    <row r="27" spans="2:12" x14ac:dyDescent="0.25">
      <c r="B27" t="s">
        <v>44</v>
      </c>
      <c r="D27" s="10"/>
      <c r="F27">
        <v>0</v>
      </c>
      <c r="G27">
        <v>0</v>
      </c>
    </row>
    <row r="28" spans="2:12" x14ac:dyDescent="0.25">
      <c r="B28" t="s">
        <v>61</v>
      </c>
      <c r="D28" s="10"/>
      <c r="F28">
        <v>0</v>
      </c>
      <c r="G28">
        <v>0</v>
      </c>
    </row>
    <row r="29" spans="2:12" x14ac:dyDescent="0.25">
      <c r="B29" t="s">
        <v>62</v>
      </c>
      <c r="D29" s="10"/>
      <c r="F29">
        <v>0</v>
      </c>
      <c r="G29">
        <v>0</v>
      </c>
    </row>
    <row r="30" spans="2:12" x14ac:dyDescent="0.25">
      <c r="B30" t="s">
        <v>63</v>
      </c>
      <c r="D30" s="10"/>
      <c r="F30">
        <v>0</v>
      </c>
      <c r="G30">
        <v>0</v>
      </c>
    </row>
  </sheetData>
  <phoneticPr fontId="4" type="noConversion"/>
  <pageMargins left="0.7" right="0.7" top="0.75" bottom="0.75" header="0.3" footer="0.3"/>
  <pageSetup orientation="portrait" horizontalDpi="0" verticalDpi="0"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7F815-EE38-49FE-B7B3-5A8F43D29E9C}">
  <dimension ref="B2:M3998"/>
  <sheetViews>
    <sheetView zoomScaleNormal="100" workbookViewId="0">
      <selection activeCell="D55" sqref="D55"/>
    </sheetView>
  </sheetViews>
  <sheetFormatPr defaultRowHeight="15" x14ac:dyDescent="0.25"/>
  <cols>
    <col min="2" max="2" width="9.7109375" bestFit="1" customWidth="1"/>
    <col min="3" max="3" width="12.7109375" customWidth="1"/>
    <col min="5" max="5" width="11.42578125" customWidth="1"/>
    <col min="6" max="6" width="9" customWidth="1"/>
    <col min="7" max="7" width="12.7109375" customWidth="1"/>
    <col min="9" max="9" width="9.5703125" customWidth="1"/>
  </cols>
  <sheetData>
    <row r="2" spans="2:13" x14ac:dyDescent="0.25">
      <c r="B2" s="5">
        <v>44921</v>
      </c>
    </row>
    <row r="4" spans="2:13" x14ac:dyDescent="0.25">
      <c r="B4" t="s">
        <v>0</v>
      </c>
      <c r="C4" t="s">
        <v>1</v>
      </c>
      <c r="D4" t="s">
        <v>2</v>
      </c>
      <c r="E4" t="s">
        <v>3</v>
      </c>
      <c r="F4" t="s">
        <v>4</v>
      </c>
      <c r="G4" t="s">
        <v>5</v>
      </c>
      <c r="H4" t="s">
        <v>6</v>
      </c>
      <c r="I4" t="s">
        <v>7</v>
      </c>
      <c r="J4" t="s">
        <v>8</v>
      </c>
    </row>
    <row r="5" spans="2:13" x14ac:dyDescent="0.25">
      <c r="B5">
        <f>MONTH(Dates_Ref[[#This Row],[Start]])</f>
        <v>12</v>
      </c>
      <c r="C5" s="5">
        <v>44921</v>
      </c>
      <c r="D5" s="2">
        <v>52</v>
      </c>
      <c r="E5">
        <v>1</v>
      </c>
      <c r="F5" s="1">
        <v>44939</v>
      </c>
      <c r="G5" s="5">
        <f>IF(Dates_Ref[[#This Row],[Pay QCH]]&lt;&gt;E4,Dates_Ref[[#This Row],[Start]]+18,"")</f>
        <v>44939</v>
      </c>
      <c r="H5">
        <f>WEEKDAY(Dates_Ref[[#This Row],[Start]],2)</f>
        <v>1</v>
      </c>
      <c r="I5">
        <f>WEEKNUM(Dates_Ref[[#This Row],[Start]],21)</f>
        <v>52</v>
      </c>
      <c r="L5">
        <f>COUNTIF(Dates_Ref[Column1],"&lt;&gt;1")</f>
        <v>0</v>
      </c>
      <c r="M5">
        <f>_xlfn.DAYS(Dates_Ref[[#This Row],[QCH due]],Dates_Ref[[#This Row],[Start]])</f>
        <v>18</v>
      </c>
    </row>
    <row r="6" spans="2:13" x14ac:dyDescent="0.25">
      <c r="B6">
        <f>MONTH(Dates_Ref[[#This Row],[Start]])</f>
        <v>1</v>
      </c>
      <c r="C6" s="5">
        <f>C5+7</f>
        <v>44928</v>
      </c>
      <c r="D6">
        <v>1</v>
      </c>
      <c r="E6">
        <v>1</v>
      </c>
      <c r="F6" s="1">
        <v>44939</v>
      </c>
      <c r="G6" s="5" t="str">
        <f>IF(Dates_Ref[[#This Row],[Pay QCH]]&lt;&gt;E5,Dates_Ref[[#This Row],[Start]]+18,"")</f>
        <v/>
      </c>
      <c r="H6">
        <f>WEEKDAY(Dates_Ref[[#This Row],[Start]],2)</f>
        <v>1</v>
      </c>
      <c r="I6">
        <f>WEEKNUM(Dates_Ref[[#This Row],[Start]],21)</f>
        <v>1</v>
      </c>
      <c r="J6" s="1"/>
      <c r="M6" s="1">
        <f>C5+18</f>
        <v>44939</v>
      </c>
    </row>
    <row r="7" spans="2:13" x14ac:dyDescent="0.25">
      <c r="B7">
        <f>MONTH(Dates_Ref[[#This Row],[Start]])</f>
        <v>1</v>
      </c>
      <c r="C7" s="5">
        <f t="shared" ref="C7:C70" si="0">C6+7</f>
        <v>44935</v>
      </c>
      <c r="D7">
        <v>2</v>
      </c>
      <c r="E7">
        <v>2</v>
      </c>
      <c r="F7" s="1">
        <v>44953</v>
      </c>
      <c r="G7" s="5">
        <f>IF(Dates_Ref[[#This Row],[Pay QCH]]&lt;&gt;E6,Dates_Ref[[#This Row],[Start]]+18,"")</f>
        <v>44953</v>
      </c>
      <c r="H7">
        <f>WEEKDAY(Dates_Ref[[#This Row],[Start]],2)</f>
        <v>1</v>
      </c>
      <c r="I7">
        <f>WEEKNUM(Dates_Ref[[#This Row],[Start]],21)</f>
        <v>2</v>
      </c>
      <c r="M7" s="1">
        <f t="shared" ref="M7:M13" si="1">C6+18</f>
        <v>44946</v>
      </c>
    </row>
    <row r="8" spans="2:13" x14ac:dyDescent="0.25">
      <c r="B8">
        <f>MONTH(Dates_Ref[[#This Row],[Start]])</f>
        <v>1</v>
      </c>
      <c r="C8" s="5">
        <f t="shared" si="0"/>
        <v>44942</v>
      </c>
      <c r="D8">
        <v>3</v>
      </c>
      <c r="E8">
        <v>2</v>
      </c>
      <c r="F8" s="1">
        <v>44953</v>
      </c>
      <c r="G8" s="5" t="str">
        <f>IF(Dates_Ref[[#This Row],[Pay QCH]]&lt;&gt;E7,Dates_Ref[[#This Row],[Start]]+18,"")</f>
        <v/>
      </c>
      <c r="H8">
        <f>WEEKDAY(Dates_Ref[[#This Row],[Start]],2)</f>
        <v>1</v>
      </c>
      <c r="I8">
        <f>WEEKNUM(Dates_Ref[[#This Row],[Start]],21)</f>
        <v>3</v>
      </c>
      <c r="M8" s="1">
        <f t="shared" si="1"/>
        <v>44953</v>
      </c>
    </row>
    <row r="9" spans="2:13" x14ac:dyDescent="0.25">
      <c r="B9">
        <f>MONTH(Dates_Ref[[#This Row],[Start]])</f>
        <v>1</v>
      </c>
      <c r="C9" s="5">
        <f t="shared" si="0"/>
        <v>44949</v>
      </c>
      <c r="D9">
        <v>4</v>
      </c>
      <c r="E9">
        <v>3</v>
      </c>
      <c r="F9" s="1">
        <v>44967</v>
      </c>
      <c r="G9" s="5">
        <f>IF(Dates_Ref[[#This Row],[Pay QCH]]&lt;&gt;E8,Dates_Ref[[#This Row],[Start]]+18,"")</f>
        <v>44967</v>
      </c>
      <c r="H9">
        <f>WEEKDAY(Dates_Ref[[#This Row],[Start]],2)</f>
        <v>1</v>
      </c>
      <c r="I9">
        <f>WEEKNUM(Dates_Ref[[#This Row],[Start]],21)</f>
        <v>4</v>
      </c>
      <c r="M9" s="1">
        <f t="shared" si="1"/>
        <v>44960</v>
      </c>
    </row>
    <row r="10" spans="2:13" x14ac:dyDescent="0.25">
      <c r="B10">
        <f>MONTH(Dates_Ref[[#This Row],[Start]])</f>
        <v>1</v>
      </c>
      <c r="C10" s="5">
        <f t="shared" si="0"/>
        <v>44956</v>
      </c>
      <c r="D10">
        <v>5</v>
      </c>
      <c r="E10">
        <v>3</v>
      </c>
      <c r="F10" s="1">
        <v>44967</v>
      </c>
      <c r="G10" s="5" t="str">
        <f>IF(Dates_Ref[[#This Row],[Pay QCH]]&lt;&gt;E9,Dates_Ref[[#This Row],[Start]]+18,"")</f>
        <v/>
      </c>
      <c r="H10">
        <f>WEEKDAY(Dates_Ref[[#This Row],[Start]],2)</f>
        <v>1</v>
      </c>
      <c r="I10">
        <f>WEEKNUM(Dates_Ref[[#This Row],[Start]],21)</f>
        <v>5</v>
      </c>
      <c r="J10" s="1"/>
      <c r="M10" s="1">
        <f t="shared" si="1"/>
        <v>44967</v>
      </c>
    </row>
    <row r="11" spans="2:13" x14ac:dyDescent="0.25">
      <c r="B11">
        <f>MONTH(Dates_Ref[[#This Row],[Start]])</f>
        <v>2</v>
      </c>
      <c r="C11" s="5">
        <f t="shared" si="0"/>
        <v>44963</v>
      </c>
      <c r="D11">
        <v>6</v>
      </c>
      <c r="E11">
        <v>4</v>
      </c>
      <c r="F11" s="1">
        <v>44981</v>
      </c>
      <c r="G11" s="5">
        <f>IF(Dates_Ref[[#This Row],[Pay QCH]]&lt;&gt;E10,Dates_Ref[[#This Row],[Start]]+18,"")</f>
        <v>44981</v>
      </c>
      <c r="H11">
        <f>WEEKDAY(Dates_Ref[[#This Row],[Start]],2)</f>
        <v>1</v>
      </c>
      <c r="I11">
        <f>WEEKNUM(Dates_Ref[[#This Row],[Start]],21)</f>
        <v>6</v>
      </c>
      <c r="M11" s="1">
        <f t="shared" si="1"/>
        <v>44974</v>
      </c>
    </row>
    <row r="12" spans="2:13" x14ac:dyDescent="0.25">
      <c r="B12">
        <f>MONTH(Dates_Ref[[#This Row],[Start]])</f>
        <v>2</v>
      </c>
      <c r="C12" s="5">
        <f t="shared" si="0"/>
        <v>44970</v>
      </c>
      <c r="D12">
        <v>7</v>
      </c>
      <c r="E12">
        <v>4</v>
      </c>
      <c r="F12" s="1">
        <v>44981</v>
      </c>
      <c r="G12" s="5" t="str">
        <f>IF(Dates_Ref[[#This Row],[Pay QCH]]&lt;&gt;E11,Dates_Ref[[#This Row],[Start]]+18,"")</f>
        <v/>
      </c>
      <c r="H12">
        <f>WEEKDAY(Dates_Ref[[#This Row],[Start]],2)</f>
        <v>1</v>
      </c>
      <c r="I12">
        <f>WEEKNUM(Dates_Ref[[#This Row],[Start]],21)</f>
        <v>7</v>
      </c>
      <c r="M12" s="1">
        <f t="shared" si="1"/>
        <v>44981</v>
      </c>
    </row>
    <row r="13" spans="2:13" x14ac:dyDescent="0.25">
      <c r="B13">
        <f>MONTH(Dates_Ref[[#This Row],[Start]])</f>
        <v>2</v>
      </c>
      <c r="C13" s="5">
        <f t="shared" si="0"/>
        <v>44977</v>
      </c>
      <c r="D13">
        <v>8</v>
      </c>
      <c r="E13">
        <v>5</v>
      </c>
      <c r="F13" s="1">
        <v>44995</v>
      </c>
      <c r="G13" s="5">
        <f>IF(Dates_Ref[[#This Row],[Pay QCH]]&lt;&gt;E12,Dates_Ref[[#This Row],[Start]]+18,"")</f>
        <v>44995</v>
      </c>
      <c r="H13">
        <f>WEEKDAY(Dates_Ref[[#This Row],[Start]],2)</f>
        <v>1</v>
      </c>
      <c r="I13">
        <f>WEEKNUM(Dates_Ref[[#This Row],[Start]],21)</f>
        <v>8</v>
      </c>
      <c r="M13" s="1">
        <f t="shared" si="1"/>
        <v>44988</v>
      </c>
    </row>
    <row r="14" spans="2:13" x14ac:dyDescent="0.25">
      <c r="B14">
        <f>MONTH(Dates_Ref[[#This Row],[Start]])</f>
        <v>2</v>
      </c>
      <c r="C14" s="5">
        <f t="shared" si="0"/>
        <v>44984</v>
      </c>
      <c r="D14">
        <v>9</v>
      </c>
      <c r="E14">
        <v>5</v>
      </c>
      <c r="F14" s="1">
        <v>44995</v>
      </c>
      <c r="G14" s="5" t="str">
        <f>IF(Dates_Ref[[#This Row],[Pay QCH]]&lt;&gt;E13,Dates_Ref[[#This Row],[Start]]+18,"")</f>
        <v/>
      </c>
      <c r="H14">
        <f>WEEKDAY(Dates_Ref[[#This Row],[Start]],2)</f>
        <v>1</v>
      </c>
      <c r="I14">
        <f>WEEKNUM(Dates_Ref[[#This Row],[Start]],21)</f>
        <v>9</v>
      </c>
      <c r="J14" s="1"/>
    </row>
    <row r="15" spans="2:13" x14ac:dyDescent="0.25">
      <c r="B15">
        <f>MONTH(Dates_Ref[[#This Row],[Start]])</f>
        <v>3</v>
      </c>
      <c r="C15" s="5">
        <f t="shared" si="0"/>
        <v>44991</v>
      </c>
      <c r="D15">
        <v>10</v>
      </c>
      <c r="E15">
        <v>6</v>
      </c>
      <c r="F15" s="1">
        <v>45009</v>
      </c>
      <c r="G15" s="5">
        <f>IF(Dates_Ref[[#This Row],[Pay QCH]]&lt;&gt;E14,Dates_Ref[[#This Row],[Start]]+18,"")</f>
        <v>45009</v>
      </c>
      <c r="H15">
        <f>WEEKDAY(Dates_Ref[[#This Row],[Start]],2)</f>
        <v>1</v>
      </c>
      <c r="I15">
        <f>WEEKNUM(Dates_Ref[[#This Row],[Start]],21)</f>
        <v>10</v>
      </c>
    </row>
    <row r="16" spans="2:13" x14ac:dyDescent="0.25">
      <c r="B16">
        <f>MONTH(Dates_Ref[[#This Row],[Start]])</f>
        <v>3</v>
      </c>
      <c r="C16" s="5">
        <f t="shared" si="0"/>
        <v>44998</v>
      </c>
      <c r="D16">
        <v>11</v>
      </c>
      <c r="E16">
        <v>6</v>
      </c>
      <c r="F16" s="1">
        <v>45009</v>
      </c>
      <c r="G16" s="5" t="str">
        <f>IF(Dates_Ref[[#This Row],[Pay QCH]]&lt;&gt;E15,Dates_Ref[[#This Row],[Start]]+18,"")</f>
        <v/>
      </c>
      <c r="H16">
        <f>WEEKDAY(Dates_Ref[[#This Row],[Start]],2)</f>
        <v>1</v>
      </c>
      <c r="I16">
        <f>WEEKNUM(Dates_Ref[[#This Row],[Start]],21)</f>
        <v>11</v>
      </c>
    </row>
    <row r="17" spans="2:10" x14ac:dyDescent="0.25">
      <c r="B17">
        <f>MONTH(Dates_Ref[[#This Row],[Start]])</f>
        <v>3</v>
      </c>
      <c r="C17" s="5">
        <f t="shared" si="0"/>
        <v>45005</v>
      </c>
      <c r="D17">
        <v>12</v>
      </c>
      <c r="E17">
        <v>7</v>
      </c>
      <c r="F17" s="1">
        <v>45023</v>
      </c>
      <c r="G17" s="5">
        <f>IF(Dates_Ref[[#This Row],[Pay QCH]]&lt;&gt;E16,Dates_Ref[[#This Row],[Start]]+18,"")</f>
        <v>45023</v>
      </c>
      <c r="H17">
        <f>WEEKDAY(Dates_Ref[[#This Row],[Start]],2)</f>
        <v>1</v>
      </c>
      <c r="I17">
        <f>WEEKNUM(Dates_Ref[[#This Row],[Start]],21)</f>
        <v>12</v>
      </c>
    </row>
    <row r="18" spans="2:10" x14ac:dyDescent="0.25">
      <c r="B18">
        <f>MONTH(Dates_Ref[[#This Row],[Start]])</f>
        <v>3</v>
      </c>
      <c r="C18" s="5">
        <f t="shared" si="0"/>
        <v>45012</v>
      </c>
      <c r="D18">
        <v>13</v>
      </c>
      <c r="E18">
        <v>7</v>
      </c>
      <c r="F18" s="1">
        <v>45023</v>
      </c>
      <c r="G18" s="5" t="str">
        <f>IF(Dates_Ref[[#This Row],[Pay QCH]]&lt;&gt;E17,Dates_Ref[[#This Row],[Start]]+18,"")</f>
        <v/>
      </c>
      <c r="H18">
        <f>WEEKDAY(Dates_Ref[[#This Row],[Start]],2)</f>
        <v>1</v>
      </c>
      <c r="I18">
        <f>WEEKNUM(Dates_Ref[[#This Row],[Start]],21)</f>
        <v>13</v>
      </c>
      <c r="J18" s="1"/>
    </row>
    <row r="19" spans="2:10" x14ac:dyDescent="0.25">
      <c r="B19">
        <f>MONTH(Dates_Ref[[#This Row],[Start]])</f>
        <v>4</v>
      </c>
      <c r="C19" s="5">
        <f t="shared" si="0"/>
        <v>45019</v>
      </c>
      <c r="D19">
        <v>14</v>
      </c>
      <c r="E19">
        <v>8</v>
      </c>
      <c r="F19" s="1">
        <v>45037</v>
      </c>
      <c r="G19" s="5">
        <f>IF(Dates_Ref[[#This Row],[Pay QCH]]&lt;&gt;E18,Dates_Ref[[#This Row],[Start]]+18,"")</f>
        <v>45037</v>
      </c>
      <c r="H19">
        <f>WEEKDAY(Dates_Ref[[#This Row],[Start]],2)</f>
        <v>1</v>
      </c>
      <c r="I19">
        <f>WEEKNUM(Dates_Ref[[#This Row],[Start]],21)</f>
        <v>14</v>
      </c>
    </row>
    <row r="20" spans="2:10" x14ac:dyDescent="0.25">
      <c r="B20">
        <f>MONTH(Dates_Ref[[#This Row],[Start]])</f>
        <v>4</v>
      </c>
      <c r="C20" s="5">
        <f t="shared" si="0"/>
        <v>45026</v>
      </c>
      <c r="D20">
        <v>15</v>
      </c>
      <c r="E20">
        <v>8</v>
      </c>
      <c r="F20" s="1">
        <v>45037</v>
      </c>
      <c r="G20" s="5" t="str">
        <f>IF(Dates_Ref[[#This Row],[Pay QCH]]&lt;&gt;E19,Dates_Ref[[#This Row],[Start]]+18,"")</f>
        <v/>
      </c>
      <c r="H20">
        <f>WEEKDAY(Dates_Ref[[#This Row],[Start]],2)</f>
        <v>1</v>
      </c>
      <c r="I20">
        <f>WEEKNUM(Dates_Ref[[#This Row],[Start]],21)</f>
        <v>15</v>
      </c>
    </row>
    <row r="21" spans="2:10" x14ac:dyDescent="0.25">
      <c r="B21">
        <f>MONTH(Dates_Ref[[#This Row],[Start]])</f>
        <v>4</v>
      </c>
      <c r="C21" s="5">
        <f t="shared" si="0"/>
        <v>45033</v>
      </c>
      <c r="D21">
        <v>16</v>
      </c>
      <c r="E21">
        <v>9</v>
      </c>
      <c r="F21" s="1">
        <v>45051</v>
      </c>
      <c r="G21" s="5">
        <f>IF(Dates_Ref[[#This Row],[Pay QCH]]&lt;&gt;E20,Dates_Ref[[#This Row],[Start]]+18,"")</f>
        <v>45051</v>
      </c>
      <c r="H21">
        <f>WEEKDAY(Dates_Ref[[#This Row],[Start]],2)</f>
        <v>1</v>
      </c>
      <c r="I21">
        <f>WEEKNUM(Dates_Ref[[#This Row],[Start]],21)</f>
        <v>16</v>
      </c>
    </row>
    <row r="22" spans="2:10" x14ac:dyDescent="0.25">
      <c r="B22">
        <f>MONTH(Dates_Ref[[#This Row],[Start]])</f>
        <v>4</v>
      </c>
      <c r="C22" s="5">
        <f t="shared" si="0"/>
        <v>45040</v>
      </c>
      <c r="D22">
        <v>17</v>
      </c>
      <c r="E22">
        <v>9</v>
      </c>
      <c r="F22" s="1">
        <v>45051</v>
      </c>
      <c r="G22" s="5" t="str">
        <f>IF(Dates_Ref[[#This Row],[Pay QCH]]&lt;&gt;E21,Dates_Ref[[#This Row],[Start]]+18,"")</f>
        <v/>
      </c>
      <c r="H22">
        <f>WEEKDAY(Dates_Ref[[#This Row],[Start]],2)</f>
        <v>1</v>
      </c>
      <c r="I22">
        <f>WEEKNUM(Dates_Ref[[#This Row],[Start]],21)</f>
        <v>17</v>
      </c>
    </row>
    <row r="23" spans="2:10" x14ac:dyDescent="0.25">
      <c r="B23">
        <f>MONTH(Dates_Ref[[#This Row],[Start]])</f>
        <v>5</v>
      </c>
      <c r="C23" s="5">
        <f t="shared" si="0"/>
        <v>45047</v>
      </c>
      <c r="D23">
        <v>18</v>
      </c>
      <c r="E23">
        <v>10</v>
      </c>
      <c r="F23" s="1">
        <v>45065</v>
      </c>
      <c r="G23" s="5">
        <f>IF(Dates_Ref[[#This Row],[Pay QCH]]&lt;&gt;E22,Dates_Ref[[#This Row],[Start]]+18,"")</f>
        <v>45065</v>
      </c>
      <c r="H23">
        <f>WEEKDAY(Dates_Ref[[#This Row],[Start]],2)</f>
        <v>1</v>
      </c>
      <c r="I23">
        <f>WEEKNUM(Dates_Ref[[#This Row],[Start]],21)</f>
        <v>18</v>
      </c>
    </row>
    <row r="24" spans="2:10" x14ac:dyDescent="0.25">
      <c r="B24">
        <f>MONTH(Dates_Ref[[#This Row],[Start]])</f>
        <v>5</v>
      </c>
      <c r="C24" s="5">
        <f t="shared" si="0"/>
        <v>45054</v>
      </c>
      <c r="D24">
        <v>19</v>
      </c>
      <c r="E24">
        <v>10</v>
      </c>
      <c r="F24" s="1">
        <v>45065</v>
      </c>
      <c r="G24" s="5" t="str">
        <f>IF(Dates_Ref[[#This Row],[Pay QCH]]&lt;&gt;E23,Dates_Ref[[#This Row],[Start]]+18,"")</f>
        <v/>
      </c>
      <c r="H24">
        <f>WEEKDAY(Dates_Ref[[#This Row],[Start]],2)</f>
        <v>1</v>
      </c>
      <c r="I24">
        <f>WEEKNUM(Dates_Ref[[#This Row],[Start]],21)</f>
        <v>19</v>
      </c>
    </row>
    <row r="25" spans="2:10" x14ac:dyDescent="0.25">
      <c r="B25">
        <f>MONTH(Dates_Ref[[#This Row],[Start]])</f>
        <v>5</v>
      </c>
      <c r="C25" s="5">
        <f t="shared" si="0"/>
        <v>45061</v>
      </c>
      <c r="D25">
        <v>20</v>
      </c>
      <c r="E25">
        <v>11</v>
      </c>
      <c r="F25" s="1">
        <v>45079</v>
      </c>
      <c r="G25" s="5">
        <f>IF(Dates_Ref[[#This Row],[Pay QCH]]&lt;&gt;E24,Dates_Ref[[#This Row],[Start]]+18,"")</f>
        <v>45079</v>
      </c>
      <c r="H25">
        <f>WEEKDAY(Dates_Ref[[#This Row],[Start]],2)</f>
        <v>1</v>
      </c>
      <c r="I25">
        <f>WEEKNUM(Dates_Ref[[#This Row],[Start]],21)</f>
        <v>20</v>
      </c>
    </row>
    <row r="26" spans="2:10" x14ac:dyDescent="0.25">
      <c r="B26">
        <f>MONTH(Dates_Ref[[#This Row],[Start]])</f>
        <v>5</v>
      </c>
      <c r="C26" s="5">
        <f t="shared" si="0"/>
        <v>45068</v>
      </c>
      <c r="D26">
        <v>21</v>
      </c>
      <c r="E26">
        <v>11</v>
      </c>
      <c r="F26" s="1">
        <v>45079</v>
      </c>
      <c r="G26" s="5" t="str">
        <f>IF(Dates_Ref[[#This Row],[Pay QCH]]&lt;&gt;E25,Dates_Ref[[#This Row],[Start]]+18,"")</f>
        <v/>
      </c>
      <c r="H26">
        <f>WEEKDAY(Dates_Ref[[#This Row],[Start]],2)</f>
        <v>1</v>
      </c>
      <c r="I26">
        <f>WEEKNUM(Dates_Ref[[#This Row],[Start]],21)</f>
        <v>21</v>
      </c>
    </row>
    <row r="27" spans="2:10" x14ac:dyDescent="0.25">
      <c r="B27">
        <f>MONTH(Dates_Ref[[#This Row],[Start]])</f>
        <v>5</v>
      </c>
      <c r="C27" s="5">
        <f t="shared" si="0"/>
        <v>45075</v>
      </c>
      <c r="D27">
        <v>22</v>
      </c>
      <c r="E27">
        <v>12</v>
      </c>
      <c r="F27" s="1">
        <v>45093</v>
      </c>
      <c r="G27" s="5">
        <f>IF(Dates_Ref[[#This Row],[Pay QCH]]&lt;&gt;E26,Dates_Ref[[#This Row],[Start]]+18,"")</f>
        <v>45093</v>
      </c>
      <c r="H27">
        <f>WEEKDAY(Dates_Ref[[#This Row],[Start]],2)</f>
        <v>1</v>
      </c>
      <c r="I27">
        <f>WEEKNUM(Dates_Ref[[#This Row],[Start]],21)</f>
        <v>22</v>
      </c>
    </row>
    <row r="28" spans="2:10" x14ac:dyDescent="0.25">
      <c r="B28">
        <f>MONTH(Dates_Ref[[#This Row],[Start]])</f>
        <v>6</v>
      </c>
      <c r="C28" s="5">
        <f t="shared" si="0"/>
        <v>45082</v>
      </c>
      <c r="D28">
        <v>23</v>
      </c>
      <c r="E28">
        <v>12</v>
      </c>
      <c r="F28" s="1">
        <v>45093</v>
      </c>
      <c r="G28" s="5" t="str">
        <f>IF(Dates_Ref[[#This Row],[Pay QCH]]&lt;&gt;E27,Dates_Ref[[#This Row],[Start]]+18,"")</f>
        <v/>
      </c>
      <c r="H28">
        <f>WEEKDAY(Dates_Ref[[#This Row],[Start]],2)</f>
        <v>1</v>
      </c>
      <c r="I28">
        <f>WEEKNUM(Dates_Ref[[#This Row],[Start]],21)</f>
        <v>23</v>
      </c>
    </row>
    <row r="29" spans="2:10" x14ac:dyDescent="0.25">
      <c r="B29">
        <f>MONTH(Dates_Ref[[#This Row],[Start]])</f>
        <v>6</v>
      </c>
      <c r="C29" s="5">
        <f t="shared" si="0"/>
        <v>45089</v>
      </c>
      <c r="D29">
        <v>24</v>
      </c>
      <c r="E29">
        <v>13</v>
      </c>
      <c r="F29" s="1">
        <v>45107</v>
      </c>
      <c r="G29" s="5">
        <f>IF(Dates_Ref[[#This Row],[Pay QCH]]&lt;&gt;E28,Dates_Ref[[#This Row],[Start]]+18,"")</f>
        <v>45107</v>
      </c>
      <c r="H29">
        <f>WEEKDAY(Dates_Ref[[#This Row],[Start]],2)</f>
        <v>1</v>
      </c>
      <c r="I29">
        <f>WEEKNUM(Dates_Ref[[#This Row],[Start]],21)</f>
        <v>24</v>
      </c>
    </row>
    <row r="30" spans="2:10" x14ac:dyDescent="0.25">
      <c r="B30">
        <f>MONTH(Dates_Ref[[#This Row],[Start]])</f>
        <v>6</v>
      </c>
      <c r="C30" s="5">
        <f t="shared" si="0"/>
        <v>45096</v>
      </c>
      <c r="D30">
        <v>25</v>
      </c>
      <c r="E30">
        <v>13</v>
      </c>
      <c r="F30" s="1">
        <v>45107</v>
      </c>
      <c r="G30" s="5" t="str">
        <f>IF(Dates_Ref[[#This Row],[Pay QCH]]&lt;&gt;E29,Dates_Ref[[#This Row],[Start]]+18,"")</f>
        <v/>
      </c>
      <c r="H30">
        <f>WEEKDAY(Dates_Ref[[#This Row],[Start]],2)</f>
        <v>1</v>
      </c>
      <c r="I30">
        <f>WEEKNUM(Dates_Ref[[#This Row],[Start]],21)</f>
        <v>25</v>
      </c>
    </row>
    <row r="31" spans="2:10" x14ac:dyDescent="0.25">
      <c r="B31">
        <f>MONTH(Dates_Ref[[#This Row],[Start]])</f>
        <v>6</v>
      </c>
      <c r="C31" s="5">
        <f t="shared" si="0"/>
        <v>45103</v>
      </c>
      <c r="D31">
        <v>26</v>
      </c>
      <c r="E31">
        <v>14</v>
      </c>
      <c r="F31" s="1">
        <v>45121</v>
      </c>
      <c r="G31" s="5">
        <f>IF(Dates_Ref[[#This Row],[Pay QCH]]&lt;&gt;E30,Dates_Ref[[#This Row],[Start]]+18,"")</f>
        <v>45121</v>
      </c>
      <c r="H31">
        <f>WEEKDAY(Dates_Ref[[#This Row],[Start]],2)</f>
        <v>1</v>
      </c>
      <c r="I31">
        <f>WEEKNUM(Dates_Ref[[#This Row],[Start]],21)</f>
        <v>26</v>
      </c>
    </row>
    <row r="32" spans="2:10" x14ac:dyDescent="0.25">
      <c r="B32">
        <f>MONTH(Dates_Ref[[#This Row],[Start]])</f>
        <v>7</v>
      </c>
      <c r="C32" s="5">
        <f t="shared" si="0"/>
        <v>45110</v>
      </c>
      <c r="D32">
        <v>27</v>
      </c>
      <c r="E32">
        <v>14</v>
      </c>
      <c r="F32" s="1">
        <v>45121</v>
      </c>
      <c r="G32" s="5" t="str">
        <f>IF(Dates_Ref[[#This Row],[Pay QCH]]&lt;&gt;E31,Dates_Ref[[#This Row],[Start]]+18,"")</f>
        <v/>
      </c>
      <c r="H32">
        <f>WEEKDAY(Dates_Ref[[#This Row],[Start]],2)</f>
        <v>1</v>
      </c>
      <c r="I32">
        <f>WEEKNUM(Dates_Ref[[#This Row],[Start]],21)</f>
        <v>27</v>
      </c>
    </row>
    <row r="33" spans="2:9" x14ac:dyDescent="0.25">
      <c r="B33">
        <f>MONTH(Dates_Ref[[#This Row],[Start]])</f>
        <v>7</v>
      </c>
      <c r="C33" s="5">
        <f t="shared" si="0"/>
        <v>45117</v>
      </c>
      <c r="D33">
        <v>28</v>
      </c>
      <c r="E33">
        <v>15</v>
      </c>
      <c r="F33" s="1">
        <v>45135</v>
      </c>
      <c r="G33" s="5">
        <f>IF(Dates_Ref[[#This Row],[Pay QCH]]&lt;&gt;E32,Dates_Ref[[#This Row],[Start]]+18,"")</f>
        <v>45135</v>
      </c>
      <c r="H33">
        <f>WEEKDAY(Dates_Ref[[#This Row],[Start]],2)</f>
        <v>1</v>
      </c>
      <c r="I33">
        <f>WEEKNUM(Dates_Ref[[#This Row],[Start]],21)</f>
        <v>28</v>
      </c>
    </row>
    <row r="34" spans="2:9" x14ac:dyDescent="0.25">
      <c r="B34">
        <f>MONTH(Dates_Ref[[#This Row],[Start]])</f>
        <v>7</v>
      </c>
      <c r="C34" s="5">
        <f t="shared" si="0"/>
        <v>45124</v>
      </c>
      <c r="D34">
        <v>29</v>
      </c>
      <c r="E34">
        <v>15</v>
      </c>
      <c r="F34" s="1">
        <v>45135</v>
      </c>
      <c r="G34" s="5" t="str">
        <f>IF(Dates_Ref[[#This Row],[Pay QCH]]&lt;&gt;E33,Dates_Ref[[#This Row],[Start]]+18,"")</f>
        <v/>
      </c>
      <c r="H34">
        <f>WEEKDAY(Dates_Ref[[#This Row],[Start]],2)</f>
        <v>1</v>
      </c>
      <c r="I34">
        <f>WEEKNUM(Dates_Ref[[#This Row],[Start]],21)</f>
        <v>29</v>
      </c>
    </row>
    <row r="35" spans="2:9" x14ac:dyDescent="0.25">
      <c r="B35">
        <f>MONTH(Dates_Ref[[#This Row],[Start]])</f>
        <v>7</v>
      </c>
      <c r="C35" s="5">
        <f t="shared" si="0"/>
        <v>45131</v>
      </c>
      <c r="D35">
        <v>30</v>
      </c>
      <c r="E35">
        <v>16</v>
      </c>
      <c r="F35" s="1">
        <v>45149</v>
      </c>
      <c r="G35" s="5">
        <f>IF(Dates_Ref[[#This Row],[Pay QCH]]&lt;&gt;E34,Dates_Ref[[#This Row],[Start]]+18,"")</f>
        <v>45149</v>
      </c>
      <c r="H35">
        <f>WEEKDAY(Dates_Ref[[#This Row],[Start]],2)</f>
        <v>1</v>
      </c>
      <c r="I35">
        <f>WEEKNUM(Dates_Ref[[#This Row],[Start]],21)</f>
        <v>30</v>
      </c>
    </row>
    <row r="36" spans="2:9" x14ac:dyDescent="0.25">
      <c r="B36">
        <f>MONTH(Dates_Ref[[#This Row],[Start]])</f>
        <v>7</v>
      </c>
      <c r="C36" s="5">
        <f t="shared" si="0"/>
        <v>45138</v>
      </c>
      <c r="D36">
        <v>31</v>
      </c>
      <c r="E36">
        <v>16</v>
      </c>
      <c r="F36" s="1">
        <v>45149</v>
      </c>
      <c r="G36" s="5" t="str">
        <f>IF(Dates_Ref[[#This Row],[Pay QCH]]&lt;&gt;E35,Dates_Ref[[#This Row],[Start]]+18,"")</f>
        <v/>
      </c>
      <c r="H36">
        <f>WEEKDAY(Dates_Ref[[#This Row],[Start]],2)</f>
        <v>1</v>
      </c>
      <c r="I36">
        <f>WEEKNUM(Dates_Ref[[#This Row],[Start]],21)</f>
        <v>31</v>
      </c>
    </row>
    <row r="37" spans="2:9" x14ac:dyDescent="0.25">
      <c r="B37">
        <f>MONTH(Dates_Ref[[#This Row],[Start]])</f>
        <v>8</v>
      </c>
      <c r="C37" s="5">
        <f t="shared" si="0"/>
        <v>45145</v>
      </c>
      <c r="D37">
        <v>32</v>
      </c>
      <c r="E37">
        <v>17</v>
      </c>
      <c r="F37" s="1">
        <v>45163</v>
      </c>
      <c r="G37" s="5">
        <f>IF(Dates_Ref[[#This Row],[Pay QCH]]&lt;&gt;E36,Dates_Ref[[#This Row],[Start]]+18,"")</f>
        <v>45163</v>
      </c>
      <c r="H37">
        <f>WEEKDAY(Dates_Ref[[#This Row],[Start]],2)</f>
        <v>1</v>
      </c>
      <c r="I37">
        <f>WEEKNUM(Dates_Ref[[#This Row],[Start]],21)</f>
        <v>32</v>
      </c>
    </row>
    <row r="38" spans="2:9" x14ac:dyDescent="0.25">
      <c r="B38">
        <f>MONTH(Dates_Ref[[#This Row],[Start]])</f>
        <v>8</v>
      </c>
      <c r="C38" s="5">
        <f t="shared" si="0"/>
        <v>45152</v>
      </c>
      <c r="D38">
        <v>33</v>
      </c>
      <c r="E38">
        <v>17</v>
      </c>
      <c r="F38" s="1">
        <v>45163</v>
      </c>
      <c r="G38" s="5" t="str">
        <f>IF(Dates_Ref[[#This Row],[Pay QCH]]&lt;&gt;E37,Dates_Ref[[#This Row],[Start]]+18,"")</f>
        <v/>
      </c>
      <c r="H38">
        <f>WEEKDAY(Dates_Ref[[#This Row],[Start]],2)</f>
        <v>1</v>
      </c>
      <c r="I38">
        <f>WEEKNUM(Dates_Ref[[#This Row],[Start]],21)</f>
        <v>33</v>
      </c>
    </row>
    <row r="39" spans="2:9" x14ac:dyDescent="0.25">
      <c r="B39">
        <f>MONTH(Dates_Ref[[#This Row],[Start]])</f>
        <v>8</v>
      </c>
      <c r="C39" s="5">
        <f t="shared" si="0"/>
        <v>45159</v>
      </c>
      <c r="D39">
        <v>34</v>
      </c>
      <c r="E39">
        <v>18</v>
      </c>
      <c r="F39" s="1">
        <v>45177</v>
      </c>
      <c r="G39" s="5">
        <f>IF(Dates_Ref[[#This Row],[Pay QCH]]&lt;&gt;E38,Dates_Ref[[#This Row],[Start]]+18,"")</f>
        <v>45177</v>
      </c>
      <c r="H39">
        <f>WEEKDAY(Dates_Ref[[#This Row],[Start]],2)</f>
        <v>1</v>
      </c>
      <c r="I39">
        <f>WEEKNUM(Dates_Ref[[#This Row],[Start]],21)</f>
        <v>34</v>
      </c>
    </row>
    <row r="40" spans="2:9" x14ac:dyDescent="0.25">
      <c r="B40">
        <f>MONTH(Dates_Ref[[#This Row],[Start]])</f>
        <v>8</v>
      </c>
      <c r="C40" s="5">
        <f t="shared" si="0"/>
        <v>45166</v>
      </c>
      <c r="D40">
        <v>35</v>
      </c>
      <c r="E40">
        <v>18</v>
      </c>
      <c r="F40" s="1">
        <v>45177</v>
      </c>
      <c r="G40" s="5" t="str">
        <f>IF(Dates_Ref[[#This Row],[Pay QCH]]&lt;&gt;E39,Dates_Ref[[#This Row],[Start]]+18,"")</f>
        <v/>
      </c>
      <c r="H40">
        <f>WEEKDAY(Dates_Ref[[#This Row],[Start]],2)</f>
        <v>1</v>
      </c>
      <c r="I40">
        <f>WEEKNUM(Dates_Ref[[#This Row],[Start]],21)</f>
        <v>35</v>
      </c>
    </row>
    <row r="41" spans="2:9" x14ac:dyDescent="0.25">
      <c r="B41">
        <f>MONTH(Dates_Ref[[#This Row],[Start]])</f>
        <v>9</v>
      </c>
      <c r="C41" s="5">
        <f t="shared" si="0"/>
        <v>45173</v>
      </c>
      <c r="D41">
        <v>36</v>
      </c>
      <c r="E41">
        <v>19</v>
      </c>
      <c r="F41" s="1">
        <v>45191</v>
      </c>
      <c r="G41" s="5">
        <f>IF(Dates_Ref[[#This Row],[Pay QCH]]&lt;&gt;E40,Dates_Ref[[#This Row],[Start]]+18,"")</f>
        <v>45191</v>
      </c>
      <c r="H41">
        <f>WEEKDAY(Dates_Ref[[#This Row],[Start]],2)</f>
        <v>1</v>
      </c>
      <c r="I41">
        <f>WEEKNUM(Dates_Ref[[#This Row],[Start]],21)</f>
        <v>36</v>
      </c>
    </row>
    <row r="42" spans="2:9" x14ac:dyDescent="0.25">
      <c r="B42">
        <f>MONTH(Dates_Ref[[#This Row],[Start]])</f>
        <v>9</v>
      </c>
      <c r="C42" s="5">
        <f t="shared" si="0"/>
        <v>45180</v>
      </c>
      <c r="D42">
        <v>37</v>
      </c>
      <c r="E42">
        <v>19</v>
      </c>
      <c r="F42" s="1">
        <v>45191</v>
      </c>
      <c r="G42" s="5" t="str">
        <f>IF(Dates_Ref[[#This Row],[Pay QCH]]&lt;&gt;E41,Dates_Ref[[#This Row],[Start]]+18,"")</f>
        <v/>
      </c>
      <c r="H42">
        <f>WEEKDAY(Dates_Ref[[#This Row],[Start]],2)</f>
        <v>1</v>
      </c>
      <c r="I42">
        <f>WEEKNUM(Dates_Ref[[#This Row],[Start]],21)</f>
        <v>37</v>
      </c>
    </row>
    <row r="43" spans="2:9" x14ac:dyDescent="0.25">
      <c r="B43">
        <f>MONTH(Dates_Ref[[#This Row],[Start]])</f>
        <v>9</v>
      </c>
      <c r="C43" s="5">
        <f t="shared" si="0"/>
        <v>45187</v>
      </c>
      <c r="D43">
        <v>38</v>
      </c>
      <c r="E43">
        <v>20</v>
      </c>
      <c r="F43" s="1">
        <v>45205</v>
      </c>
      <c r="G43" s="5">
        <f>IF(Dates_Ref[[#This Row],[Pay QCH]]&lt;&gt;E42,Dates_Ref[[#This Row],[Start]]+18,"")</f>
        <v>45205</v>
      </c>
      <c r="H43">
        <f>WEEKDAY(Dates_Ref[[#This Row],[Start]],2)</f>
        <v>1</v>
      </c>
      <c r="I43">
        <f>WEEKNUM(Dates_Ref[[#This Row],[Start]],21)</f>
        <v>38</v>
      </c>
    </row>
    <row r="44" spans="2:9" x14ac:dyDescent="0.25">
      <c r="B44">
        <f>MONTH(Dates_Ref[[#This Row],[Start]])</f>
        <v>9</v>
      </c>
      <c r="C44" s="5">
        <f t="shared" si="0"/>
        <v>45194</v>
      </c>
      <c r="D44">
        <v>39</v>
      </c>
      <c r="E44">
        <v>20</v>
      </c>
      <c r="F44" s="1">
        <v>45205</v>
      </c>
      <c r="G44" s="5" t="str">
        <f>IF(Dates_Ref[[#This Row],[Pay QCH]]&lt;&gt;E43,Dates_Ref[[#This Row],[Start]]+18,"")</f>
        <v/>
      </c>
      <c r="H44">
        <f>WEEKDAY(Dates_Ref[[#This Row],[Start]],2)</f>
        <v>1</v>
      </c>
      <c r="I44">
        <f>WEEKNUM(Dates_Ref[[#This Row],[Start]],21)</f>
        <v>39</v>
      </c>
    </row>
    <row r="45" spans="2:9" x14ac:dyDescent="0.25">
      <c r="B45">
        <f>MONTH(Dates_Ref[[#This Row],[Start]])</f>
        <v>10</v>
      </c>
      <c r="C45" s="5">
        <f t="shared" si="0"/>
        <v>45201</v>
      </c>
      <c r="D45">
        <v>40</v>
      </c>
      <c r="E45">
        <v>21</v>
      </c>
      <c r="F45" s="1">
        <v>45219</v>
      </c>
      <c r="G45" s="5">
        <f>IF(Dates_Ref[[#This Row],[Pay QCH]]&lt;&gt;E44,Dates_Ref[[#This Row],[Start]]+18,"")</f>
        <v>45219</v>
      </c>
      <c r="H45">
        <f>WEEKDAY(Dates_Ref[[#This Row],[Start]],2)</f>
        <v>1</v>
      </c>
      <c r="I45">
        <f>WEEKNUM(Dates_Ref[[#This Row],[Start]],21)</f>
        <v>40</v>
      </c>
    </row>
    <row r="46" spans="2:9" x14ac:dyDescent="0.25">
      <c r="B46">
        <f>MONTH(Dates_Ref[[#This Row],[Start]])</f>
        <v>10</v>
      </c>
      <c r="C46" s="5">
        <f t="shared" si="0"/>
        <v>45208</v>
      </c>
      <c r="D46">
        <v>41</v>
      </c>
      <c r="E46">
        <v>21</v>
      </c>
      <c r="F46" s="1">
        <v>45219</v>
      </c>
      <c r="G46" s="5" t="str">
        <f>IF(Dates_Ref[[#This Row],[Pay QCH]]&lt;&gt;E45,Dates_Ref[[#This Row],[Start]]+18,"")</f>
        <v/>
      </c>
      <c r="H46">
        <f>WEEKDAY(Dates_Ref[[#This Row],[Start]],2)</f>
        <v>1</v>
      </c>
      <c r="I46">
        <f>WEEKNUM(Dates_Ref[[#This Row],[Start]],21)</f>
        <v>41</v>
      </c>
    </row>
    <row r="47" spans="2:9" x14ac:dyDescent="0.25">
      <c r="B47">
        <f>MONTH(Dates_Ref[[#This Row],[Start]])</f>
        <v>10</v>
      </c>
      <c r="C47" s="5">
        <f t="shared" si="0"/>
        <v>45215</v>
      </c>
      <c r="D47">
        <v>42</v>
      </c>
      <c r="E47">
        <v>22</v>
      </c>
      <c r="F47" s="1">
        <v>45233</v>
      </c>
      <c r="G47" s="5">
        <f>IF(Dates_Ref[[#This Row],[Pay QCH]]&lt;&gt;E46,Dates_Ref[[#This Row],[Start]]+18,"")</f>
        <v>45233</v>
      </c>
      <c r="H47">
        <f>WEEKDAY(Dates_Ref[[#This Row],[Start]],2)</f>
        <v>1</v>
      </c>
      <c r="I47">
        <f>WEEKNUM(Dates_Ref[[#This Row],[Start]],21)</f>
        <v>42</v>
      </c>
    </row>
    <row r="48" spans="2:9" x14ac:dyDescent="0.25">
      <c r="B48">
        <f>MONTH(Dates_Ref[[#This Row],[Start]])</f>
        <v>10</v>
      </c>
      <c r="C48" s="5">
        <f t="shared" si="0"/>
        <v>45222</v>
      </c>
      <c r="D48">
        <v>43</v>
      </c>
      <c r="E48">
        <v>22</v>
      </c>
      <c r="F48" s="1">
        <v>45233</v>
      </c>
      <c r="G48" s="5" t="str">
        <f>IF(Dates_Ref[[#This Row],[Pay QCH]]&lt;&gt;E47,Dates_Ref[[#This Row],[Start]]+18,"")</f>
        <v/>
      </c>
      <c r="H48">
        <f>WEEKDAY(Dates_Ref[[#This Row],[Start]],2)</f>
        <v>1</v>
      </c>
      <c r="I48">
        <f>WEEKNUM(Dates_Ref[[#This Row],[Start]],21)</f>
        <v>43</v>
      </c>
    </row>
    <row r="49" spans="2:9" x14ac:dyDescent="0.25">
      <c r="B49">
        <f>MONTH(Dates_Ref[[#This Row],[Start]])</f>
        <v>10</v>
      </c>
      <c r="C49" s="5">
        <f t="shared" si="0"/>
        <v>45229</v>
      </c>
      <c r="D49">
        <v>44</v>
      </c>
      <c r="E49">
        <v>23</v>
      </c>
      <c r="F49" s="1">
        <v>45247</v>
      </c>
      <c r="G49" s="5">
        <f>IF(Dates_Ref[[#This Row],[Pay QCH]]&lt;&gt;E48,Dates_Ref[[#This Row],[Start]]+18,"")</f>
        <v>45247</v>
      </c>
      <c r="H49">
        <f>WEEKDAY(Dates_Ref[[#This Row],[Start]],2)</f>
        <v>1</v>
      </c>
      <c r="I49">
        <f>WEEKNUM(Dates_Ref[[#This Row],[Start]],21)</f>
        <v>44</v>
      </c>
    </row>
    <row r="50" spans="2:9" x14ac:dyDescent="0.25">
      <c r="B50">
        <f>MONTH(Dates_Ref[[#This Row],[Start]])</f>
        <v>11</v>
      </c>
      <c r="C50" s="5">
        <f t="shared" si="0"/>
        <v>45236</v>
      </c>
      <c r="D50">
        <v>45</v>
      </c>
      <c r="E50">
        <v>23</v>
      </c>
      <c r="F50" s="1">
        <v>45247</v>
      </c>
      <c r="G50" s="5" t="str">
        <f>IF(Dates_Ref[[#This Row],[Pay QCH]]&lt;&gt;E49,Dates_Ref[[#This Row],[Start]]+18,"")</f>
        <v/>
      </c>
      <c r="H50">
        <f>WEEKDAY(Dates_Ref[[#This Row],[Start]],2)</f>
        <v>1</v>
      </c>
      <c r="I50">
        <f>WEEKNUM(Dates_Ref[[#This Row],[Start]],21)</f>
        <v>45</v>
      </c>
    </row>
    <row r="51" spans="2:9" x14ac:dyDescent="0.25">
      <c r="B51">
        <f>MONTH(Dates_Ref[[#This Row],[Start]])</f>
        <v>11</v>
      </c>
      <c r="C51" s="5">
        <f t="shared" si="0"/>
        <v>45243</v>
      </c>
      <c r="D51">
        <v>46</v>
      </c>
      <c r="E51">
        <v>24</v>
      </c>
      <c r="F51" s="1">
        <v>45261</v>
      </c>
      <c r="G51" s="5">
        <f>IF(Dates_Ref[[#This Row],[Pay QCH]]&lt;&gt;E50,Dates_Ref[[#This Row],[Start]]+18,"")</f>
        <v>45261</v>
      </c>
      <c r="H51">
        <f>WEEKDAY(Dates_Ref[[#This Row],[Start]],2)</f>
        <v>1</v>
      </c>
      <c r="I51">
        <f>WEEKNUM(Dates_Ref[[#This Row],[Start]],21)</f>
        <v>46</v>
      </c>
    </row>
    <row r="52" spans="2:9" x14ac:dyDescent="0.25">
      <c r="B52">
        <f>MONTH(Dates_Ref[[#This Row],[Start]])</f>
        <v>11</v>
      </c>
      <c r="C52" s="5">
        <f t="shared" si="0"/>
        <v>45250</v>
      </c>
      <c r="D52">
        <v>47</v>
      </c>
      <c r="E52">
        <v>24</v>
      </c>
      <c r="F52" s="1">
        <v>45261</v>
      </c>
      <c r="G52" s="5" t="str">
        <f>IF(Dates_Ref[[#This Row],[Pay QCH]]&lt;&gt;E51,Dates_Ref[[#This Row],[Start]]+18,"")</f>
        <v/>
      </c>
      <c r="H52">
        <f>WEEKDAY(Dates_Ref[[#This Row],[Start]],2)</f>
        <v>1</v>
      </c>
      <c r="I52">
        <f>WEEKNUM(Dates_Ref[[#This Row],[Start]],21)</f>
        <v>47</v>
      </c>
    </row>
    <row r="53" spans="2:9" x14ac:dyDescent="0.25">
      <c r="B53">
        <f>MONTH(Dates_Ref[[#This Row],[Start]])</f>
        <v>11</v>
      </c>
      <c r="C53" s="5">
        <f t="shared" si="0"/>
        <v>45257</v>
      </c>
      <c r="D53">
        <v>48</v>
      </c>
      <c r="E53">
        <v>25</v>
      </c>
      <c r="F53" s="1">
        <v>45275</v>
      </c>
      <c r="G53" s="5">
        <f>IF(Dates_Ref[[#This Row],[Pay QCH]]&lt;&gt;E52,Dates_Ref[[#This Row],[Start]]+18,"")</f>
        <v>45275</v>
      </c>
      <c r="H53">
        <f>WEEKDAY(Dates_Ref[[#This Row],[Start]],2)</f>
        <v>1</v>
      </c>
      <c r="I53">
        <f>WEEKNUM(Dates_Ref[[#This Row],[Start]],21)</f>
        <v>48</v>
      </c>
    </row>
    <row r="54" spans="2:9" x14ac:dyDescent="0.25">
      <c r="B54">
        <f>MONTH(Dates_Ref[[#This Row],[Start]])</f>
        <v>12</v>
      </c>
      <c r="C54" s="5">
        <f t="shared" si="0"/>
        <v>45264</v>
      </c>
      <c r="D54">
        <v>49</v>
      </c>
      <c r="E54">
        <v>25</v>
      </c>
      <c r="F54" s="1">
        <v>45275</v>
      </c>
      <c r="G54" s="5" t="str">
        <f>IF(Dates_Ref[[#This Row],[Pay QCH]]&lt;&gt;E53,Dates_Ref[[#This Row],[Start]]+18,"")</f>
        <v/>
      </c>
      <c r="H54">
        <f>WEEKDAY(Dates_Ref[[#This Row],[Start]],2)</f>
        <v>1</v>
      </c>
      <c r="I54">
        <f>WEEKNUM(Dates_Ref[[#This Row],[Start]],21)</f>
        <v>49</v>
      </c>
    </row>
    <row r="55" spans="2:9" x14ac:dyDescent="0.25">
      <c r="B55">
        <f>MONTH(Dates_Ref[[#This Row],[Start]])</f>
        <v>12</v>
      </c>
      <c r="C55" s="5">
        <f t="shared" si="0"/>
        <v>45271</v>
      </c>
      <c r="D55">
        <v>50</v>
      </c>
      <c r="E55">
        <v>26</v>
      </c>
      <c r="F55" s="1">
        <v>45289</v>
      </c>
      <c r="G55" s="5">
        <f>IF(Dates_Ref[[#This Row],[Pay QCH]]&lt;&gt;E54,Dates_Ref[[#This Row],[Start]]+18,"")</f>
        <v>45289</v>
      </c>
      <c r="H55">
        <f>WEEKDAY(Dates_Ref[[#This Row],[Start]],2)</f>
        <v>1</v>
      </c>
      <c r="I55">
        <f>WEEKNUM(Dates_Ref[[#This Row],[Start]],21)</f>
        <v>50</v>
      </c>
    </row>
    <row r="56" spans="2:9" x14ac:dyDescent="0.25">
      <c r="B56">
        <f>MONTH(Dates_Ref[[#This Row],[Start]])</f>
        <v>12</v>
      </c>
      <c r="C56" s="5">
        <f t="shared" si="0"/>
        <v>45278</v>
      </c>
      <c r="D56">
        <v>51</v>
      </c>
      <c r="E56">
        <v>26</v>
      </c>
      <c r="F56" s="1">
        <v>45289</v>
      </c>
      <c r="G56" s="5" t="str">
        <f>IF(Dates_Ref[[#This Row],[Pay QCH]]&lt;&gt;E55,Dates_Ref[[#This Row],[Start]]+18,"")</f>
        <v/>
      </c>
      <c r="H56">
        <f>WEEKDAY(Dates_Ref[[#This Row],[Start]],2)</f>
        <v>1</v>
      </c>
      <c r="I56">
        <f>WEEKNUM(Dates_Ref[[#This Row],[Start]],21)</f>
        <v>51</v>
      </c>
    </row>
    <row r="57" spans="2:9" x14ac:dyDescent="0.25">
      <c r="B57">
        <f>MONTH(Dates_Ref[[#This Row],[Start]])</f>
        <v>12</v>
      </c>
      <c r="C57" s="5">
        <f t="shared" si="0"/>
        <v>45285</v>
      </c>
      <c r="D57">
        <v>52</v>
      </c>
      <c r="E57">
        <v>1</v>
      </c>
      <c r="F57" s="1">
        <v>45303</v>
      </c>
      <c r="G57" s="5">
        <f>IF(Dates_Ref[[#This Row],[Pay QCH]]&lt;&gt;E56,Dates_Ref[[#This Row],[Start]]+18,"")</f>
        <v>45303</v>
      </c>
      <c r="H57">
        <f>WEEKDAY(Dates_Ref[[#This Row],[Start]],2)</f>
        <v>1</v>
      </c>
      <c r="I57">
        <f>WEEKNUM(Dates_Ref[[#This Row],[Start]],21)</f>
        <v>52</v>
      </c>
    </row>
    <row r="58" spans="2:9" x14ac:dyDescent="0.25">
      <c r="B58">
        <f>MONTH(Dates_Ref[[#This Row],[Start]])</f>
        <v>1</v>
      </c>
      <c r="C58" s="5">
        <f t="shared" si="0"/>
        <v>45292</v>
      </c>
      <c r="D58" s="2">
        <v>1</v>
      </c>
      <c r="E58">
        <v>1</v>
      </c>
      <c r="F58" s="1">
        <v>45303</v>
      </c>
      <c r="G58" s="5" t="str">
        <f>IF(Dates_Ref[[#This Row],[Pay QCH]]&lt;&gt;E57,Dates_Ref[[#This Row],[Start]]+18,"")</f>
        <v/>
      </c>
      <c r="H58">
        <f>WEEKDAY(Dates_Ref[[#This Row],[Start]],2)</f>
        <v>1</v>
      </c>
      <c r="I58">
        <f>WEEKNUM(Dates_Ref[[#This Row],[Start]],21)</f>
        <v>1</v>
      </c>
    </row>
    <row r="59" spans="2:9" x14ac:dyDescent="0.25">
      <c r="B59">
        <f>MONTH(Dates_Ref[[#This Row],[Start]])</f>
        <v>1</v>
      </c>
      <c r="C59" s="5">
        <f t="shared" si="0"/>
        <v>45299</v>
      </c>
      <c r="D59" s="2">
        <v>2</v>
      </c>
      <c r="E59">
        <v>2</v>
      </c>
      <c r="F59" s="1">
        <v>45317</v>
      </c>
      <c r="G59" s="5">
        <f>IF(Dates_Ref[[#This Row],[Pay QCH]]&lt;&gt;E58,Dates_Ref[[#This Row],[Start]]+18,"")</f>
        <v>45317</v>
      </c>
      <c r="H59">
        <f>WEEKDAY(Dates_Ref[[#This Row],[Start]],2)</f>
        <v>1</v>
      </c>
      <c r="I59">
        <f>WEEKNUM(Dates_Ref[[#This Row],[Start]],21)</f>
        <v>2</v>
      </c>
    </row>
    <row r="60" spans="2:9" x14ac:dyDescent="0.25">
      <c r="B60">
        <f>MONTH(Dates_Ref[[#This Row],[Start]])</f>
        <v>1</v>
      </c>
      <c r="C60" s="5">
        <f t="shared" si="0"/>
        <v>45306</v>
      </c>
      <c r="D60" s="2">
        <v>3</v>
      </c>
      <c r="E60">
        <v>2</v>
      </c>
      <c r="G60" s="5" t="str">
        <f>IF(Dates_Ref[[#This Row],[Pay QCH]]&lt;&gt;E59,Dates_Ref[[#This Row],[Start]]+18,"")</f>
        <v/>
      </c>
      <c r="H60">
        <f>WEEKDAY(Dates_Ref[[#This Row],[Start]],2)</f>
        <v>1</v>
      </c>
      <c r="I60">
        <f>WEEKNUM(Dates_Ref[[#This Row],[Start]],21)</f>
        <v>3</v>
      </c>
    </row>
    <row r="61" spans="2:9" x14ac:dyDescent="0.25">
      <c r="B61">
        <f>MONTH(Dates_Ref[[#This Row],[Start]])</f>
        <v>1</v>
      </c>
      <c r="C61" s="5">
        <f t="shared" si="0"/>
        <v>45313</v>
      </c>
      <c r="D61" s="2">
        <v>4</v>
      </c>
      <c r="E61">
        <v>3</v>
      </c>
      <c r="F61" s="1">
        <v>45331</v>
      </c>
      <c r="G61" s="5">
        <f>IF(Dates_Ref[[#This Row],[Pay QCH]]&lt;&gt;E60,Dates_Ref[[#This Row],[Start]]+18,"")</f>
        <v>45331</v>
      </c>
      <c r="H61">
        <f>WEEKDAY(Dates_Ref[[#This Row],[Start]],2)</f>
        <v>1</v>
      </c>
      <c r="I61">
        <f>WEEKNUM(Dates_Ref[[#This Row],[Start]],21)</f>
        <v>4</v>
      </c>
    </row>
    <row r="62" spans="2:9" x14ac:dyDescent="0.25">
      <c r="B62">
        <f>MONTH(Dates_Ref[[#This Row],[Start]])</f>
        <v>1</v>
      </c>
      <c r="C62" s="5">
        <f t="shared" si="0"/>
        <v>45320</v>
      </c>
      <c r="D62" s="2">
        <v>5</v>
      </c>
      <c r="E62">
        <v>3</v>
      </c>
      <c r="G62" s="5" t="str">
        <f>IF(Dates_Ref[[#This Row],[Pay QCH]]&lt;&gt;E61,Dates_Ref[[#This Row],[Start]]+18,"")</f>
        <v/>
      </c>
      <c r="H62">
        <f>WEEKDAY(Dates_Ref[[#This Row],[Start]],2)</f>
        <v>1</v>
      </c>
      <c r="I62">
        <f>WEEKNUM(Dates_Ref[[#This Row],[Start]],21)</f>
        <v>5</v>
      </c>
    </row>
    <row r="63" spans="2:9" x14ac:dyDescent="0.25">
      <c r="B63">
        <f>MONTH(Dates_Ref[[#This Row],[Start]])</f>
        <v>2</v>
      </c>
      <c r="C63" s="5">
        <f t="shared" si="0"/>
        <v>45327</v>
      </c>
      <c r="D63" s="2">
        <v>6</v>
      </c>
      <c r="E63">
        <v>4</v>
      </c>
      <c r="F63" s="1">
        <v>45345</v>
      </c>
      <c r="G63" s="5">
        <f>IF(Dates_Ref[[#This Row],[Pay QCH]]&lt;&gt;E62,Dates_Ref[[#This Row],[Start]]+18,"")</f>
        <v>45345</v>
      </c>
      <c r="H63">
        <f>WEEKDAY(Dates_Ref[[#This Row],[Start]],2)</f>
        <v>1</v>
      </c>
      <c r="I63">
        <f>WEEKNUM(Dates_Ref[[#This Row],[Start]],21)</f>
        <v>6</v>
      </c>
    </row>
    <row r="64" spans="2:9" x14ac:dyDescent="0.25">
      <c r="B64">
        <f>MONTH(Dates_Ref[[#This Row],[Start]])</f>
        <v>2</v>
      </c>
      <c r="C64" s="5">
        <f t="shared" si="0"/>
        <v>45334</v>
      </c>
      <c r="D64" s="2">
        <v>7</v>
      </c>
      <c r="E64">
        <v>4</v>
      </c>
      <c r="G64" s="5" t="str">
        <f>IF(Dates_Ref[[#This Row],[Pay QCH]]&lt;&gt;E63,Dates_Ref[[#This Row],[Start]]+18,"")</f>
        <v/>
      </c>
      <c r="H64">
        <f>WEEKDAY(Dates_Ref[[#This Row],[Start]],2)</f>
        <v>1</v>
      </c>
      <c r="I64">
        <f>WEEKNUM(Dates_Ref[[#This Row],[Start]],21)</f>
        <v>7</v>
      </c>
    </row>
    <row r="65" spans="2:9" x14ac:dyDescent="0.25">
      <c r="B65">
        <f>MONTH(Dates_Ref[[#This Row],[Start]])</f>
        <v>2</v>
      </c>
      <c r="C65" s="5">
        <f t="shared" si="0"/>
        <v>45341</v>
      </c>
      <c r="D65" s="2">
        <v>8</v>
      </c>
      <c r="E65">
        <v>5</v>
      </c>
      <c r="F65" s="1">
        <v>45359</v>
      </c>
      <c r="G65" s="5">
        <f>IF(Dates_Ref[[#This Row],[Pay QCH]]&lt;&gt;E64,Dates_Ref[[#This Row],[Start]]+18,"")</f>
        <v>45359</v>
      </c>
      <c r="H65">
        <f>WEEKDAY(Dates_Ref[[#This Row],[Start]],2)</f>
        <v>1</v>
      </c>
      <c r="I65">
        <f>WEEKNUM(Dates_Ref[[#This Row],[Start]],21)</f>
        <v>8</v>
      </c>
    </row>
    <row r="66" spans="2:9" x14ac:dyDescent="0.25">
      <c r="B66">
        <f>MONTH(Dates_Ref[[#This Row],[Start]])</f>
        <v>2</v>
      </c>
      <c r="C66" s="5">
        <f t="shared" si="0"/>
        <v>45348</v>
      </c>
      <c r="D66" s="2">
        <v>9</v>
      </c>
      <c r="E66">
        <v>5</v>
      </c>
      <c r="G66" s="5" t="str">
        <f>IF(Dates_Ref[[#This Row],[Pay QCH]]&lt;&gt;E65,Dates_Ref[[#This Row],[Start]]+18,"")</f>
        <v/>
      </c>
      <c r="H66">
        <f>WEEKDAY(Dates_Ref[[#This Row],[Start]],2)</f>
        <v>1</v>
      </c>
      <c r="I66">
        <f>WEEKNUM(Dates_Ref[[#This Row],[Start]],21)</f>
        <v>9</v>
      </c>
    </row>
    <row r="67" spans="2:9" x14ac:dyDescent="0.25">
      <c r="B67">
        <f>MONTH(Dates_Ref[[#This Row],[Start]])</f>
        <v>3</v>
      </c>
      <c r="C67" s="5">
        <f t="shared" si="0"/>
        <v>45355</v>
      </c>
      <c r="D67" s="2">
        <v>10</v>
      </c>
      <c r="E67">
        <v>6</v>
      </c>
      <c r="F67" s="1">
        <v>45373</v>
      </c>
      <c r="G67" s="5">
        <f>IF(Dates_Ref[[#This Row],[Pay QCH]]&lt;&gt;E66,Dates_Ref[[#This Row],[Start]]+18,"")</f>
        <v>45373</v>
      </c>
      <c r="H67">
        <f>WEEKDAY(Dates_Ref[[#This Row],[Start]],2)</f>
        <v>1</v>
      </c>
      <c r="I67">
        <f>WEEKNUM(Dates_Ref[[#This Row],[Start]],21)</f>
        <v>10</v>
      </c>
    </row>
    <row r="68" spans="2:9" x14ac:dyDescent="0.25">
      <c r="B68">
        <f>MONTH(Dates_Ref[[#This Row],[Start]])</f>
        <v>3</v>
      </c>
      <c r="C68" s="5">
        <f t="shared" si="0"/>
        <v>45362</v>
      </c>
      <c r="D68" s="2">
        <v>11</v>
      </c>
      <c r="E68">
        <v>6</v>
      </c>
      <c r="G68" s="5" t="str">
        <f>IF(Dates_Ref[[#This Row],[Pay QCH]]&lt;&gt;E67,Dates_Ref[[#This Row],[Start]]+18,"")</f>
        <v/>
      </c>
      <c r="H68">
        <f>WEEKDAY(Dates_Ref[[#This Row],[Start]],2)</f>
        <v>1</v>
      </c>
      <c r="I68">
        <f>WEEKNUM(Dates_Ref[[#This Row],[Start]],21)</f>
        <v>11</v>
      </c>
    </row>
    <row r="69" spans="2:9" x14ac:dyDescent="0.25">
      <c r="B69">
        <f>MONTH(Dates_Ref[[#This Row],[Start]])</f>
        <v>3</v>
      </c>
      <c r="C69" s="5">
        <f t="shared" si="0"/>
        <v>45369</v>
      </c>
      <c r="D69" s="2">
        <v>12</v>
      </c>
      <c r="E69">
        <v>7</v>
      </c>
      <c r="F69" s="1">
        <v>45387</v>
      </c>
      <c r="G69" s="5">
        <f>IF(Dates_Ref[[#This Row],[Pay QCH]]&lt;&gt;E68,Dates_Ref[[#This Row],[Start]]+18,"")</f>
        <v>45387</v>
      </c>
      <c r="H69">
        <f>WEEKDAY(Dates_Ref[[#This Row],[Start]],2)</f>
        <v>1</v>
      </c>
      <c r="I69">
        <f>WEEKNUM(Dates_Ref[[#This Row],[Start]],21)</f>
        <v>12</v>
      </c>
    </row>
    <row r="70" spans="2:9" x14ac:dyDescent="0.25">
      <c r="B70">
        <f>MONTH(Dates_Ref[[#This Row],[Start]])</f>
        <v>3</v>
      </c>
      <c r="C70" s="5">
        <f t="shared" si="0"/>
        <v>45376</v>
      </c>
      <c r="D70" s="2">
        <v>13</v>
      </c>
      <c r="E70">
        <v>7</v>
      </c>
      <c r="G70" s="5" t="str">
        <f>IF(Dates_Ref[[#This Row],[Pay QCH]]&lt;&gt;E69,Dates_Ref[[#This Row],[Start]]+18,"")</f>
        <v/>
      </c>
      <c r="H70">
        <f>WEEKDAY(Dates_Ref[[#This Row],[Start]],2)</f>
        <v>1</v>
      </c>
      <c r="I70">
        <f>WEEKNUM(Dates_Ref[[#This Row],[Start]],21)</f>
        <v>13</v>
      </c>
    </row>
    <row r="71" spans="2:9" x14ac:dyDescent="0.25">
      <c r="B71">
        <f>MONTH(Dates_Ref[[#This Row],[Start]])</f>
        <v>4</v>
      </c>
      <c r="C71" s="5">
        <f t="shared" ref="C71:C134" si="2">C70+7</f>
        <v>45383</v>
      </c>
      <c r="D71" s="2">
        <v>14</v>
      </c>
      <c r="E71">
        <v>8</v>
      </c>
      <c r="F71" s="1">
        <v>45401</v>
      </c>
      <c r="G71" s="5">
        <f>IF(Dates_Ref[[#This Row],[Pay QCH]]&lt;&gt;E70,Dates_Ref[[#This Row],[Start]]+18,"")</f>
        <v>45401</v>
      </c>
      <c r="H71">
        <f>WEEKDAY(Dates_Ref[[#This Row],[Start]],2)</f>
        <v>1</v>
      </c>
      <c r="I71">
        <f>WEEKNUM(Dates_Ref[[#This Row],[Start]],21)</f>
        <v>14</v>
      </c>
    </row>
    <row r="72" spans="2:9" x14ac:dyDescent="0.25">
      <c r="B72">
        <f>MONTH(Dates_Ref[[#This Row],[Start]])</f>
        <v>4</v>
      </c>
      <c r="C72" s="5">
        <f t="shared" si="2"/>
        <v>45390</v>
      </c>
      <c r="D72" s="2">
        <v>15</v>
      </c>
      <c r="E72">
        <v>8</v>
      </c>
      <c r="G72" s="5" t="str">
        <f>IF(Dates_Ref[[#This Row],[Pay QCH]]&lt;&gt;E71,Dates_Ref[[#This Row],[Start]]+18,"")</f>
        <v/>
      </c>
      <c r="H72">
        <f>WEEKDAY(Dates_Ref[[#This Row],[Start]],2)</f>
        <v>1</v>
      </c>
      <c r="I72">
        <f>WEEKNUM(Dates_Ref[[#This Row],[Start]],21)</f>
        <v>15</v>
      </c>
    </row>
    <row r="73" spans="2:9" x14ac:dyDescent="0.25">
      <c r="B73">
        <f>MONTH(Dates_Ref[[#This Row],[Start]])</f>
        <v>4</v>
      </c>
      <c r="C73" s="5">
        <f t="shared" si="2"/>
        <v>45397</v>
      </c>
      <c r="D73" s="2">
        <v>16</v>
      </c>
      <c r="E73">
        <v>9</v>
      </c>
      <c r="F73" s="1">
        <v>45415</v>
      </c>
      <c r="G73" s="5">
        <f>IF(Dates_Ref[[#This Row],[Pay QCH]]&lt;&gt;E72,Dates_Ref[[#This Row],[Start]]+18,"")</f>
        <v>45415</v>
      </c>
      <c r="H73">
        <f>WEEKDAY(Dates_Ref[[#This Row],[Start]],2)</f>
        <v>1</v>
      </c>
      <c r="I73">
        <f>WEEKNUM(Dates_Ref[[#This Row],[Start]],21)</f>
        <v>16</v>
      </c>
    </row>
    <row r="74" spans="2:9" x14ac:dyDescent="0.25">
      <c r="B74">
        <f>MONTH(Dates_Ref[[#This Row],[Start]])</f>
        <v>4</v>
      </c>
      <c r="C74" s="5">
        <f t="shared" si="2"/>
        <v>45404</v>
      </c>
      <c r="D74" s="2">
        <v>17</v>
      </c>
      <c r="E74">
        <v>9</v>
      </c>
      <c r="G74" s="5" t="str">
        <f>IF(Dates_Ref[[#This Row],[Pay QCH]]&lt;&gt;E73,Dates_Ref[[#This Row],[Start]]+18,"")</f>
        <v/>
      </c>
      <c r="H74">
        <f>WEEKDAY(Dates_Ref[[#This Row],[Start]],2)</f>
        <v>1</v>
      </c>
      <c r="I74">
        <f>WEEKNUM(Dates_Ref[[#This Row],[Start]],21)</f>
        <v>17</v>
      </c>
    </row>
    <row r="75" spans="2:9" x14ac:dyDescent="0.25">
      <c r="B75">
        <f>MONTH(Dates_Ref[[#This Row],[Start]])</f>
        <v>4</v>
      </c>
      <c r="C75" s="5">
        <f t="shared" si="2"/>
        <v>45411</v>
      </c>
      <c r="D75" s="2">
        <v>18</v>
      </c>
      <c r="E75">
        <v>10</v>
      </c>
      <c r="F75" s="1">
        <v>45429</v>
      </c>
      <c r="G75" s="5">
        <f>IF(Dates_Ref[[#This Row],[Pay QCH]]&lt;&gt;E74,Dates_Ref[[#This Row],[Start]]+18,"")</f>
        <v>45429</v>
      </c>
      <c r="H75">
        <f>WEEKDAY(Dates_Ref[[#This Row],[Start]],2)</f>
        <v>1</v>
      </c>
      <c r="I75">
        <f>WEEKNUM(Dates_Ref[[#This Row],[Start]],21)</f>
        <v>18</v>
      </c>
    </row>
    <row r="76" spans="2:9" x14ac:dyDescent="0.25">
      <c r="B76">
        <f>MONTH(Dates_Ref[[#This Row],[Start]])</f>
        <v>5</v>
      </c>
      <c r="C76" s="5">
        <f t="shared" si="2"/>
        <v>45418</v>
      </c>
      <c r="D76" s="2">
        <v>19</v>
      </c>
      <c r="E76">
        <v>10</v>
      </c>
      <c r="G76" s="5" t="str">
        <f>IF(Dates_Ref[[#This Row],[Pay QCH]]&lt;&gt;E75,Dates_Ref[[#This Row],[Start]]+18,"")</f>
        <v/>
      </c>
      <c r="H76">
        <f>WEEKDAY(Dates_Ref[[#This Row],[Start]],2)</f>
        <v>1</v>
      </c>
      <c r="I76">
        <f>WEEKNUM(Dates_Ref[[#This Row],[Start]],21)</f>
        <v>19</v>
      </c>
    </row>
    <row r="77" spans="2:9" x14ac:dyDescent="0.25">
      <c r="B77">
        <f>MONTH(Dates_Ref[[#This Row],[Start]])</f>
        <v>5</v>
      </c>
      <c r="C77" s="5">
        <f t="shared" si="2"/>
        <v>45425</v>
      </c>
      <c r="D77" s="2">
        <v>20</v>
      </c>
      <c r="E77">
        <v>11</v>
      </c>
      <c r="F77" s="1">
        <v>45443</v>
      </c>
      <c r="G77" s="5">
        <f>IF(Dates_Ref[[#This Row],[Pay QCH]]&lt;&gt;E76,Dates_Ref[[#This Row],[Start]]+18,"")</f>
        <v>45443</v>
      </c>
      <c r="H77">
        <f>WEEKDAY(Dates_Ref[[#This Row],[Start]],2)</f>
        <v>1</v>
      </c>
      <c r="I77">
        <f>WEEKNUM(Dates_Ref[[#This Row],[Start]],21)</f>
        <v>20</v>
      </c>
    </row>
    <row r="78" spans="2:9" x14ac:dyDescent="0.25">
      <c r="B78">
        <f>MONTH(Dates_Ref[[#This Row],[Start]])</f>
        <v>5</v>
      </c>
      <c r="C78" s="5">
        <f t="shared" si="2"/>
        <v>45432</v>
      </c>
      <c r="D78" s="2">
        <v>21</v>
      </c>
      <c r="E78">
        <v>11</v>
      </c>
      <c r="G78" s="5" t="str">
        <f>IF(Dates_Ref[[#This Row],[Pay QCH]]&lt;&gt;E77,Dates_Ref[[#This Row],[Start]]+18,"")</f>
        <v/>
      </c>
      <c r="H78">
        <f>WEEKDAY(Dates_Ref[[#This Row],[Start]],2)</f>
        <v>1</v>
      </c>
      <c r="I78">
        <f>WEEKNUM(Dates_Ref[[#This Row],[Start]],21)</f>
        <v>21</v>
      </c>
    </row>
    <row r="79" spans="2:9" x14ac:dyDescent="0.25">
      <c r="B79">
        <f>MONTH(Dates_Ref[[#This Row],[Start]])</f>
        <v>5</v>
      </c>
      <c r="C79" s="5">
        <f t="shared" si="2"/>
        <v>45439</v>
      </c>
      <c r="D79" s="2">
        <v>22</v>
      </c>
      <c r="E79">
        <v>12</v>
      </c>
      <c r="F79" s="1">
        <v>45457</v>
      </c>
      <c r="G79" s="5">
        <f>IF(Dates_Ref[[#This Row],[Pay QCH]]&lt;&gt;E78,Dates_Ref[[#This Row],[Start]]+18,"")</f>
        <v>45457</v>
      </c>
      <c r="H79">
        <f>WEEKDAY(Dates_Ref[[#This Row],[Start]],2)</f>
        <v>1</v>
      </c>
      <c r="I79">
        <f>WEEKNUM(Dates_Ref[[#This Row],[Start]],21)</f>
        <v>22</v>
      </c>
    </row>
    <row r="80" spans="2:9" x14ac:dyDescent="0.25">
      <c r="B80">
        <f>MONTH(Dates_Ref[[#This Row],[Start]])</f>
        <v>6</v>
      </c>
      <c r="C80" s="5">
        <f t="shared" si="2"/>
        <v>45446</v>
      </c>
      <c r="D80" s="2">
        <v>23</v>
      </c>
      <c r="E80">
        <v>12</v>
      </c>
      <c r="G80" s="5" t="str">
        <f>IF(Dates_Ref[[#This Row],[Pay QCH]]&lt;&gt;E79,Dates_Ref[[#This Row],[Start]]+18,"")</f>
        <v/>
      </c>
      <c r="H80">
        <f>WEEKDAY(Dates_Ref[[#This Row],[Start]],2)</f>
        <v>1</v>
      </c>
      <c r="I80">
        <f>WEEKNUM(Dates_Ref[[#This Row],[Start]],21)</f>
        <v>23</v>
      </c>
    </row>
    <row r="81" spans="2:9" x14ac:dyDescent="0.25">
      <c r="B81">
        <f>MONTH(Dates_Ref[[#This Row],[Start]])</f>
        <v>6</v>
      </c>
      <c r="C81" s="5">
        <f t="shared" si="2"/>
        <v>45453</v>
      </c>
      <c r="D81" s="2">
        <v>24</v>
      </c>
      <c r="E81">
        <v>13</v>
      </c>
      <c r="F81" s="1">
        <v>45471</v>
      </c>
      <c r="G81" s="5">
        <f>IF(Dates_Ref[[#This Row],[Pay QCH]]&lt;&gt;E80,Dates_Ref[[#This Row],[Start]]+18,"")</f>
        <v>45471</v>
      </c>
      <c r="H81">
        <f>WEEKDAY(Dates_Ref[[#This Row],[Start]],2)</f>
        <v>1</v>
      </c>
      <c r="I81">
        <f>WEEKNUM(Dates_Ref[[#This Row],[Start]],21)</f>
        <v>24</v>
      </c>
    </row>
    <row r="82" spans="2:9" x14ac:dyDescent="0.25">
      <c r="B82">
        <f>MONTH(Dates_Ref[[#This Row],[Start]])</f>
        <v>6</v>
      </c>
      <c r="C82" s="5">
        <f t="shared" si="2"/>
        <v>45460</v>
      </c>
      <c r="D82" s="2">
        <v>25</v>
      </c>
      <c r="E82">
        <v>13</v>
      </c>
      <c r="G82" s="5" t="str">
        <f>IF(Dates_Ref[[#This Row],[Pay QCH]]&lt;&gt;E81,Dates_Ref[[#This Row],[Start]]+18,"")</f>
        <v/>
      </c>
      <c r="H82">
        <f>WEEKDAY(Dates_Ref[[#This Row],[Start]],2)</f>
        <v>1</v>
      </c>
      <c r="I82">
        <f>WEEKNUM(Dates_Ref[[#This Row],[Start]],21)</f>
        <v>25</v>
      </c>
    </row>
    <row r="83" spans="2:9" x14ac:dyDescent="0.25">
      <c r="B83">
        <f>MONTH(Dates_Ref[[#This Row],[Start]])</f>
        <v>6</v>
      </c>
      <c r="C83" s="5">
        <f t="shared" si="2"/>
        <v>45467</v>
      </c>
      <c r="D83" s="2">
        <v>26</v>
      </c>
      <c r="E83">
        <v>14</v>
      </c>
      <c r="F83" s="1">
        <v>45485</v>
      </c>
      <c r="G83" s="5">
        <f>IF(Dates_Ref[[#This Row],[Pay QCH]]&lt;&gt;E82,Dates_Ref[[#This Row],[Start]]+18,"")</f>
        <v>45485</v>
      </c>
      <c r="H83">
        <f>WEEKDAY(Dates_Ref[[#This Row],[Start]],2)</f>
        <v>1</v>
      </c>
      <c r="I83">
        <f>WEEKNUM(Dates_Ref[[#This Row],[Start]],21)</f>
        <v>26</v>
      </c>
    </row>
    <row r="84" spans="2:9" x14ac:dyDescent="0.25">
      <c r="B84">
        <f>MONTH(Dates_Ref[[#This Row],[Start]])</f>
        <v>7</v>
      </c>
      <c r="C84" s="5">
        <f t="shared" si="2"/>
        <v>45474</v>
      </c>
      <c r="D84" s="2">
        <v>27</v>
      </c>
      <c r="E84">
        <v>14</v>
      </c>
      <c r="G84" s="5" t="str">
        <f>IF(Dates_Ref[[#This Row],[Pay QCH]]&lt;&gt;E83,Dates_Ref[[#This Row],[Start]]+18,"")</f>
        <v/>
      </c>
      <c r="H84">
        <f>WEEKDAY(Dates_Ref[[#This Row],[Start]],2)</f>
        <v>1</v>
      </c>
      <c r="I84">
        <f>WEEKNUM(Dates_Ref[[#This Row],[Start]],21)</f>
        <v>27</v>
      </c>
    </row>
    <row r="85" spans="2:9" x14ac:dyDescent="0.25">
      <c r="B85">
        <f>MONTH(Dates_Ref[[#This Row],[Start]])</f>
        <v>7</v>
      </c>
      <c r="C85" s="5">
        <f t="shared" si="2"/>
        <v>45481</v>
      </c>
      <c r="D85" s="2">
        <v>28</v>
      </c>
      <c r="E85">
        <v>15</v>
      </c>
      <c r="F85" s="1">
        <v>45499</v>
      </c>
      <c r="G85" s="5">
        <f>IF(Dates_Ref[[#This Row],[Pay QCH]]&lt;&gt;E84,Dates_Ref[[#This Row],[Start]]+18,"")</f>
        <v>45499</v>
      </c>
      <c r="H85">
        <f>WEEKDAY(Dates_Ref[[#This Row],[Start]],2)</f>
        <v>1</v>
      </c>
      <c r="I85">
        <f>WEEKNUM(Dates_Ref[[#This Row],[Start]],21)</f>
        <v>28</v>
      </c>
    </row>
    <row r="86" spans="2:9" x14ac:dyDescent="0.25">
      <c r="B86">
        <f>MONTH(Dates_Ref[[#This Row],[Start]])</f>
        <v>7</v>
      </c>
      <c r="C86" s="5">
        <f t="shared" si="2"/>
        <v>45488</v>
      </c>
      <c r="D86" s="2">
        <v>29</v>
      </c>
      <c r="E86">
        <v>15</v>
      </c>
      <c r="G86" s="5" t="str">
        <f>IF(Dates_Ref[[#This Row],[Pay QCH]]&lt;&gt;E85,Dates_Ref[[#This Row],[Start]]+18,"")</f>
        <v/>
      </c>
      <c r="H86">
        <f>WEEKDAY(Dates_Ref[[#This Row],[Start]],2)</f>
        <v>1</v>
      </c>
      <c r="I86">
        <f>WEEKNUM(Dates_Ref[[#This Row],[Start]],21)</f>
        <v>29</v>
      </c>
    </row>
    <row r="87" spans="2:9" x14ac:dyDescent="0.25">
      <c r="B87">
        <f>MONTH(Dates_Ref[[#This Row],[Start]])</f>
        <v>7</v>
      </c>
      <c r="C87" s="5">
        <f t="shared" si="2"/>
        <v>45495</v>
      </c>
      <c r="D87" s="2">
        <v>30</v>
      </c>
      <c r="E87">
        <v>16</v>
      </c>
      <c r="F87" s="1">
        <v>45513</v>
      </c>
      <c r="G87" s="5">
        <f>IF(Dates_Ref[[#This Row],[Pay QCH]]&lt;&gt;E86,Dates_Ref[[#This Row],[Start]]+18,"")</f>
        <v>45513</v>
      </c>
      <c r="H87">
        <f>WEEKDAY(Dates_Ref[[#This Row],[Start]],2)</f>
        <v>1</v>
      </c>
      <c r="I87">
        <f>WEEKNUM(Dates_Ref[[#This Row],[Start]],21)</f>
        <v>30</v>
      </c>
    </row>
    <row r="88" spans="2:9" x14ac:dyDescent="0.25">
      <c r="B88">
        <f>MONTH(Dates_Ref[[#This Row],[Start]])</f>
        <v>7</v>
      </c>
      <c r="C88" s="5">
        <f t="shared" si="2"/>
        <v>45502</v>
      </c>
      <c r="D88" s="2">
        <v>31</v>
      </c>
      <c r="E88">
        <v>16</v>
      </c>
      <c r="G88" s="5" t="str">
        <f>IF(Dates_Ref[[#This Row],[Pay QCH]]&lt;&gt;E87,Dates_Ref[[#This Row],[Start]]+18,"")</f>
        <v/>
      </c>
      <c r="H88">
        <f>WEEKDAY(Dates_Ref[[#This Row],[Start]],2)</f>
        <v>1</v>
      </c>
      <c r="I88">
        <f>WEEKNUM(Dates_Ref[[#This Row],[Start]],21)</f>
        <v>31</v>
      </c>
    </row>
    <row r="89" spans="2:9" x14ac:dyDescent="0.25">
      <c r="B89">
        <f>MONTH(Dates_Ref[[#This Row],[Start]])</f>
        <v>8</v>
      </c>
      <c r="C89" s="5">
        <f t="shared" si="2"/>
        <v>45509</v>
      </c>
      <c r="D89" s="2">
        <v>32</v>
      </c>
      <c r="E89">
        <v>17</v>
      </c>
      <c r="F89" s="1">
        <v>45527</v>
      </c>
      <c r="G89" s="5">
        <f>IF(Dates_Ref[[#This Row],[Pay QCH]]&lt;&gt;E88,Dates_Ref[[#This Row],[Start]]+18,"")</f>
        <v>45527</v>
      </c>
      <c r="H89">
        <f>WEEKDAY(Dates_Ref[[#This Row],[Start]],2)</f>
        <v>1</v>
      </c>
      <c r="I89">
        <f>WEEKNUM(Dates_Ref[[#This Row],[Start]],21)</f>
        <v>32</v>
      </c>
    </row>
    <row r="90" spans="2:9" x14ac:dyDescent="0.25">
      <c r="B90">
        <f>MONTH(Dates_Ref[[#This Row],[Start]])</f>
        <v>8</v>
      </c>
      <c r="C90" s="5">
        <f t="shared" si="2"/>
        <v>45516</v>
      </c>
      <c r="D90" s="2">
        <v>33</v>
      </c>
      <c r="E90">
        <v>17</v>
      </c>
      <c r="G90" s="5" t="str">
        <f>IF(Dates_Ref[[#This Row],[Pay QCH]]&lt;&gt;E89,Dates_Ref[[#This Row],[Start]]+18,"")</f>
        <v/>
      </c>
      <c r="H90">
        <f>WEEKDAY(Dates_Ref[[#This Row],[Start]],2)</f>
        <v>1</v>
      </c>
      <c r="I90">
        <f>WEEKNUM(Dates_Ref[[#This Row],[Start]],21)</f>
        <v>33</v>
      </c>
    </row>
    <row r="91" spans="2:9" x14ac:dyDescent="0.25">
      <c r="B91">
        <f>MONTH(Dates_Ref[[#This Row],[Start]])</f>
        <v>8</v>
      </c>
      <c r="C91" s="5">
        <f t="shared" si="2"/>
        <v>45523</v>
      </c>
      <c r="D91" s="2">
        <v>34</v>
      </c>
      <c r="E91">
        <v>18</v>
      </c>
      <c r="F91" s="1">
        <v>45541</v>
      </c>
      <c r="G91" s="5">
        <f>IF(Dates_Ref[[#This Row],[Pay QCH]]&lt;&gt;E90,Dates_Ref[[#This Row],[Start]]+18,"")</f>
        <v>45541</v>
      </c>
      <c r="H91">
        <f>WEEKDAY(Dates_Ref[[#This Row],[Start]],2)</f>
        <v>1</v>
      </c>
      <c r="I91">
        <f>WEEKNUM(Dates_Ref[[#This Row],[Start]],21)</f>
        <v>34</v>
      </c>
    </row>
    <row r="92" spans="2:9" x14ac:dyDescent="0.25">
      <c r="B92">
        <f>MONTH(Dates_Ref[[#This Row],[Start]])</f>
        <v>8</v>
      </c>
      <c r="C92" s="5">
        <f t="shared" si="2"/>
        <v>45530</v>
      </c>
      <c r="D92" s="2">
        <v>35</v>
      </c>
      <c r="E92">
        <v>18</v>
      </c>
      <c r="G92" s="5" t="str">
        <f>IF(Dates_Ref[[#This Row],[Pay QCH]]&lt;&gt;E91,Dates_Ref[[#This Row],[Start]]+18,"")</f>
        <v/>
      </c>
      <c r="H92">
        <f>WEEKDAY(Dates_Ref[[#This Row],[Start]],2)</f>
        <v>1</v>
      </c>
      <c r="I92">
        <f>WEEKNUM(Dates_Ref[[#This Row],[Start]],21)</f>
        <v>35</v>
      </c>
    </row>
    <row r="93" spans="2:9" x14ac:dyDescent="0.25">
      <c r="B93">
        <f>MONTH(Dates_Ref[[#This Row],[Start]])</f>
        <v>9</v>
      </c>
      <c r="C93" s="5">
        <f t="shared" si="2"/>
        <v>45537</v>
      </c>
      <c r="D93" s="2">
        <v>36</v>
      </c>
      <c r="E93">
        <v>19</v>
      </c>
      <c r="F93" s="1">
        <v>45555</v>
      </c>
      <c r="G93" s="5">
        <f>IF(Dates_Ref[[#This Row],[Pay QCH]]&lt;&gt;E92,Dates_Ref[[#This Row],[Start]]+18,"")</f>
        <v>45555</v>
      </c>
      <c r="H93">
        <f>WEEKDAY(Dates_Ref[[#This Row],[Start]],2)</f>
        <v>1</v>
      </c>
      <c r="I93">
        <f>WEEKNUM(Dates_Ref[[#This Row],[Start]],21)</f>
        <v>36</v>
      </c>
    </row>
    <row r="94" spans="2:9" x14ac:dyDescent="0.25">
      <c r="B94">
        <f>MONTH(Dates_Ref[[#This Row],[Start]])</f>
        <v>9</v>
      </c>
      <c r="C94" s="5">
        <f t="shared" si="2"/>
        <v>45544</v>
      </c>
      <c r="D94" s="2">
        <v>37</v>
      </c>
      <c r="E94">
        <v>19</v>
      </c>
      <c r="G94" s="5" t="str">
        <f>IF(Dates_Ref[[#This Row],[Pay QCH]]&lt;&gt;E93,Dates_Ref[[#This Row],[Start]]+18,"")</f>
        <v/>
      </c>
      <c r="H94">
        <f>WEEKDAY(Dates_Ref[[#This Row],[Start]],2)</f>
        <v>1</v>
      </c>
      <c r="I94">
        <f>WEEKNUM(Dates_Ref[[#This Row],[Start]],21)</f>
        <v>37</v>
      </c>
    </row>
    <row r="95" spans="2:9" x14ac:dyDescent="0.25">
      <c r="B95">
        <f>MONTH(Dates_Ref[[#This Row],[Start]])</f>
        <v>9</v>
      </c>
      <c r="C95" s="5">
        <f t="shared" si="2"/>
        <v>45551</v>
      </c>
      <c r="D95" s="2">
        <v>38</v>
      </c>
      <c r="E95">
        <v>20</v>
      </c>
      <c r="F95" s="1">
        <v>45569</v>
      </c>
      <c r="G95" s="5">
        <f>IF(Dates_Ref[[#This Row],[Pay QCH]]&lt;&gt;E94,Dates_Ref[[#This Row],[Start]]+18,"")</f>
        <v>45569</v>
      </c>
      <c r="H95">
        <f>WEEKDAY(Dates_Ref[[#This Row],[Start]],2)</f>
        <v>1</v>
      </c>
      <c r="I95">
        <f>WEEKNUM(Dates_Ref[[#This Row],[Start]],21)</f>
        <v>38</v>
      </c>
    </row>
    <row r="96" spans="2:9" x14ac:dyDescent="0.25">
      <c r="B96">
        <f>MONTH(Dates_Ref[[#This Row],[Start]])</f>
        <v>9</v>
      </c>
      <c r="C96" s="5">
        <f t="shared" si="2"/>
        <v>45558</v>
      </c>
      <c r="D96" s="2">
        <v>39</v>
      </c>
      <c r="E96">
        <v>20</v>
      </c>
      <c r="G96" s="5" t="str">
        <f>IF(Dates_Ref[[#This Row],[Pay QCH]]&lt;&gt;E95,Dates_Ref[[#This Row],[Start]]+18,"")</f>
        <v/>
      </c>
      <c r="H96">
        <f>WEEKDAY(Dates_Ref[[#This Row],[Start]],2)</f>
        <v>1</v>
      </c>
      <c r="I96">
        <f>WEEKNUM(Dates_Ref[[#This Row],[Start]],21)</f>
        <v>39</v>
      </c>
    </row>
    <row r="97" spans="2:9" x14ac:dyDescent="0.25">
      <c r="B97">
        <f>MONTH(Dates_Ref[[#This Row],[Start]])</f>
        <v>9</v>
      </c>
      <c r="C97" s="5">
        <f t="shared" si="2"/>
        <v>45565</v>
      </c>
      <c r="D97" s="2">
        <v>40</v>
      </c>
      <c r="E97">
        <v>21</v>
      </c>
      <c r="F97" s="1">
        <v>45583</v>
      </c>
      <c r="G97" s="5">
        <f>IF(Dates_Ref[[#This Row],[Pay QCH]]&lt;&gt;E96,Dates_Ref[[#This Row],[Start]]+18,"")</f>
        <v>45583</v>
      </c>
      <c r="H97">
        <f>WEEKDAY(Dates_Ref[[#This Row],[Start]],2)</f>
        <v>1</v>
      </c>
      <c r="I97">
        <f>WEEKNUM(Dates_Ref[[#This Row],[Start]],21)</f>
        <v>40</v>
      </c>
    </row>
    <row r="98" spans="2:9" x14ac:dyDescent="0.25">
      <c r="B98">
        <f>MONTH(Dates_Ref[[#This Row],[Start]])</f>
        <v>10</v>
      </c>
      <c r="C98" s="5">
        <f t="shared" si="2"/>
        <v>45572</v>
      </c>
      <c r="D98" s="2">
        <v>41</v>
      </c>
      <c r="E98">
        <v>21</v>
      </c>
      <c r="G98" s="5" t="str">
        <f>IF(Dates_Ref[[#This Row],[Pay QCH]]&lt;&gt;E97,Dates_Ref[[#This Row],[Start]]+18,"")</f>
        <v/>
      </c>
      <c r="H98">
        <f>WEEKDAY(Dates_Ref[[#This Row],[Start]],2)</f>
        <v>1</v>
      </c>
      <c r="I98">
        <f>WEEKNUM(Dates_Ref[[#This Row],[Start]],21)</f>
        <v>41</v>
      </c>
    </row>
    <row r="99" spans="2:9" x14ac:dyDescent="0.25">
      <c r="B99">
        <f>MONTH(Dates_Ref[[#This Row],[Start]])</f>
        <v>10</v>
      </c>
      <c r="C99" s="5">
        <f t="shared" si="2"/>
        <v>45579</v>
      </c>
      <c r="D99" s="2">
        <v>42</v>
      </c>
      <c r="E99">
        <v>22</v>
      </c>
      <c r="F99" s="1">
        <v>45597</v>
      </c>
      <c r="G99" s="5">
        <f>IF(Dates_Ref[[#This Row],[Pay QCH]]&lt;&gt;E98,Dates_Ref[[#This Row],[Start]]+18,"")</f>
        <v>45597</v>
      </c>
      <c r="H99">
        <f>WEEKDAY(Dates_Ref[[#This Row],[Start]],2)</f>
        <v>1</v>
      </c>
      <c r="I99">
        <f>WEEKNUM(Dates_Ref[[#This Row],[Start]],21)</f>
        <v>42</v>
      </c>
    </row>
    <row r="100" spans="2:9" x14ac:dyDescent="0.25">
      <c r="B100">
        <f>MONTH(Dates_Ref[[#This Row],[Start]])</f>
        <v>10</v>
      </c>
      <c r="C100" s="5">
        <f t="shared" si="2"/>
        <v>45586</v>
      </c>
      <c r="D100" s="2">
        <v>43</v>
      </c>
      <c r="E100">
        <v>22</v>
      </c>
      <c r="G100" s="5" t="str">
        <f>IF(Dates_Ref[[#This Row],[Pay QCH]]&lt;&gt;E99,Dates_Ref[[#This Row],[Start]]+18,"")</f>
        <v/>
      </c>
      <c r="H100">
        <f>WEEKDAY(Dates_Ref[[#This Row],[Start]],2)</f>
        <v>1</v>
      </c>
      <c r="I100">
        <f>WEEKNUM(Dates_Ref[[#This Row],[Start]],21)</f>
        <v>43</v>
      </c>
    </row>
    <row r="101" spans="2:9" x14ac:dyDescent="0.25">
      <c r="B101">
        <f>MONTH(Dates_Ref[[#This Row],[Start]])</f>
        <v>10</v>
      </c>
      <c r="C101" s="5">
        <f t="shared" si="2"/>
        <v>45593</v>
      </c>
      <c r="D101" s="2">
        <v>44</v>
      </c>
      <c r="E101">
        <v>23</v>
      </c>
      <c r="F101" s="1">
        <v>45611</v>
      </c>
      <c r="G101" s="5">
        <f>IF(Dates_Ref[[#This Row],[Pay QCH]]&lt;&gt;E100,Dates_Ref[[#This Row],[Start]]+18,"")</f>
        <v>45611</v>
      </c>
      <c r="H101">
        <f>WEEKDAY(Dates_Ref[[#This Row],[Start]],2)</f>
        <v>1</v>
      </c>
      <c r="I101">
        <f>WEEKNUM(Dates_Ref[[#This Row],[Start]],21)</f>
        <v>44</v>
      </c>
    </row>
    <row r="102" spans="2:9" x14ac:dyDescent="0.25">
      <c r="B102">
        <f>MONTH(Dates_Ref[[#This Row],[Start]])</f>
        <v>11</v>
      </c>
      <c r="C102" s="5">
        <f t="shared" si="2"/>
        <v>45600</v>
      </c>
      <c r="D102" s="2">
        <v>45</v>
      </c>
      <c r="E102">
        <v>23</v>
      </c>
      <c r="G102" s="5" t="str">
        <f>IF(Dates_Ref[[#This Row],[Pay QCH]]&lt;&gt;E101,Dates_Ref[[#This Row],[Start]]+18,"")</f>
        <v/>
      </c>
      <c r="H102">
        <f>WEEKDAY(Dates_Ref[[#This Row],[Start]],2)</f>
        <v>1</v>
      </c>
      <c r="I102">
        <f>WEEKNUM(Dates_Ref[[#This Row],[Start]],21)</f>
        <v>45</v>
      </c>
    </row>
    <row r="103" spans="2:9" x14ac:dyDescent="0.25">
      <c r="B103">
        <f>MONTH(Dates_Ref[[#This Row],[Start]])</f>
        <v>11</v>
      </c>
      <c r="C103" s="5">
        <f t="shared" si="2"/>
        <v>45607</v>
      </c>
      <c r="D103" s="2">
        <v>46</v>
      </c>
      <c r="E103">
        <v>24</v>
      </c>
      <c r="F103" s="1">
        <v>45625</v>
      </c>
      <c r="G103" s="5">
        <f>IF(Dates_Ref[[#This Row],[Pay QCH]]&lt;&gt;E102,Dates_Ref[[#This Row],[Start]]+18,"")</f>
        <v>45625</v>
      </c>
      <c r="H103">
        <f>WEEKDAY(Dates_Ref[[#This Row],[Start]],2)</f>
        <v>1</v>
      </c>
      <c r="I103">
        <f>WEEKNUM(Dates_Ref[[#This Row],[Start]],21)</f>
        <v>46</v>
      </c>
    </row>
    <row r="104" spans="2:9" x14ac:dyDescent="0.25">
      <c r="B104">
        <f>MONTH(Dates_Ref[[#This Row],[Start]])</f>
        <v>11</v>
      </c>
      <c r="C104" s="5">
        <f t="shared" si="2"/>
        <v>45614</v>
      </c>
      <c r="D104" s="2">
        <v>47</v>
      </c>
      <c r="E104">
        <v>24</v>
      </c>
      <c r="G104" s="5" t="str">
        <f>IF(Dates_Ref[[#This Row],[Pay QCH]]&lt;&gt;E103,Dates_Ref[[#This Row],[Start]]+18,"")</f>
        <v/>
      </c>
      <c r="H104">
        <f>WEEKDAY(Dates_Ref[[#This Row],[Start]],2)</f>
        <v>1</v>
      </c>
      <c r="I104">
        <f>WEEKNUM(Dates_Ref[[#This Row],[Start]],21)</f>
        <v>47</v>
      </c>
    </row>
    <row r="105" spans="2:9" x14ac:dyDescent="0.25">
      <c r="B105">
        <f>MONTH(Dates_Ref[[#This Row],[Start]])</f>
        <v>11</v>
      </c>
      <c r="C105" s="5">
        <f t="shared" si="2"/>
        <v>45621</v>
      </c>
      <c r="D105" s="2">
        <v>48</v>
      </c>
      <c r="E105">
        <v>25</v>
      </c>
      <c r="F105" s="1">
        <v>45639</v>
      </c>
      <c r="G105" s="5">
        <f>IF(Dates_Ref[[#This Row],[Pay QCH]]&lt;&gt;E104,Dates_Ref[[#This Row],[Start]]+18,"")</f>
        <v>45639</v>
      </c>
      <c r="H105">
        <f>WEEKDAY(Dates_Ref[[#This Row],[Start]],2)</f>
        <v>1</v>
      </c>
      <c r="I105">
        <f>WEEKNUM(Dates_Ref[[#This Row],[Start]],21)</f>
        <v>48</v>
      </c>
    </row>
    <row r="106" spans="2:9" x14ac:dyDescent="0.25">
      <c r="B106">
        <f>MONTH(Dates_Ref[[#This Row],[Start]])</f>
        <v>12</v>
      </c>
      <c r="C106" s="5">
        <f t="shared" si="2"/>
        <v>45628</v>
      </c>
      <c r="D106" s="2">
        <v>49</v>
      </c>
      <c r="E106">
        <v>25</v>
      </c>
      <c r="G106" s="5" t="str">
        <f>IF(Dates_Ref[[#This Row],[Pay QCH]]&lt;&gt;E105,Dates_Ref[[#This Row],[Start]]+18,"")</f>
        <v/>
      </c>
      <c r="H106">
        <f>WEEKDAY(Dates_Ref[[#This Row],[Start]],2)</f>
        <v>1</v>
      </c>
      <c r="I106">
        <f>WEEKNUM(Dates_Ref[[#This Row],[Start]],21)</f>
        <v>49</v>
      </c>
    </row>
    <row r="107" spans="2:9" x14ac:dyDescent="0.25">
      <c r="B107">
        <f>MONTH(Dates_Ref[[#This Row],[Start]])</f>
        <v>12</v>
      </c>
      <c r="C107" s="5">
        <f t="shared" si="2"/>
        <v>45635</v>
      </c>
      <c r="D107" s="2">
        <v>50</v>
      </c>
      <c r="E107">
        <v>26</v>
      </c>
      <c r="F107" s="1">
        <v>45653</v>
      </c>
      <c r="G107" s="5">
        <f>IF(Dates_Ref[[#This Row],[Pay QCH]]&lt;&gt;E106,Dates_Ref[[#This Row],[Start]]+18,"")</f>
        <v>45653</v>
      </c>
      <c r="H107">
        <f>WEEKDAY(Dates_Ref[[#This Row],[Start]],2)</f>
        <v>1</v>
      </c>
      <c r="I107">
        <f>WEEKNUM(Dates_Ref[[#This Row],[Start]],21)</f>
        <v>50</v>
      </c>
    </row>
    <row r="108" spans="2:9" x14ac:dyDescent="0.25">
      <c r="B108">
        <f>MONTH(Dates_Ref[[#This Row],[Start]])</f>
        <v>12</v>
      </c>
      <c r="C108" s="5">
        <f t="shared" si="2"/>
        <v>45642</v>
      </c>
      <c r="D108" s="2">
        <v>51</v>
      </c>
      <c r="E108">
        <v>26</v>
      </c>
      <c r="G108" s="5" t="str">
        <f>IF(Dates_Ref[[#This Row],[Pay QCH]]&lt;&gt;E107,Dates_Ref[[#This Row],[Start]]+18,"")</f>
        <v/>
      </c>
      <c r="H108">
        <f>WEEKDAY(Dates_Ref[[#This Row],[Start]],2)</f>
        <v>1</v>
      </c>
      <c r="I108">
        <f>WEEKNUM(Dates_Ref[[#This Row],[Start]],21)</f>
        <v>51</v>
      </c>
    </row>
    <row r="109" spans="2:9" x14ac:dyDescent="0.25">
      <c r="B109">
        <f>MONTH(Dates_Ref[[#This Row],[Start]])</f>
        <v>12</v>
      </c>
      <c r="C109" s="5">
        <f t="shared" si="2"/>
        <v>45649</v>
      </c>
      <c r="D109" s="2">
        <v>52</v>
      </c>
      <c r="E109">
        <v>1</v>
      </c>
      <c r="F109" s="1">
        <v>45667</v>
      </c>
      <c r="G109" s="5">
        <f>IF(Dates_Ref[[#This Row],[Pay QCH]]&lt;&gt;E108,Dates_Ref[[#This Row],[Start]]+18,"")</f>
        <v>45667</v>
      </c>
      <c r="H109">
        <f>WEEKDAY(Dates_Ref[[#This Row],[Start]],2)</f>
        <v>1</v>
      </c>
      <c r="I109">
        <f>WEEKNUM(Dates_Ref[[#This Row],[Start]],21)</f>
        <v>52</v>
      </c>
    </row>
    <row r="110" spans="2:9" x14ac:dyDescent="0.25">
      <c r="B110">
        <f>MONTH(Dates_Ref[[#This Row],[Start]])</f>
        <v>12</v>
      </c>
      <c r="C110" s="5">
        <f t="shared" si="2"/>
        <v>45656</v>
      </c>
      <c r="D110" s="2">
        <v>1</v>
      </c>
      <c r="E110">
        <v>1</v>
      </c>
      <c r="G110" s="5" t="str">
        <f>IF(Dates_Ref[[#This Row],[Pay QCH]]&lt;&gt;E109,Dates_Ref[[#This Row],[Start]]+18,"")</f>
        <v/>
      </c>
      <c r="H110">
        <f>WEEKDAY(Dates_Ref[[#This Row],[Start]],2)</f>
        <v>1</v>
      </c>
      <c r="I110">
        <f>WEEKNUM(Dates_Ref[[#This Row],[Start]],21)</f>
        <v>1</v>
      </c>
    </row>
    <row r="111" spans="2:9" x14ac:dyDescent="0.25">
      <c r="B111">
        <f>MONTH(Dates_Ref[[#This Row],[Start]])</f>
        <v>1</v>
      </c>
      <c r="C111" s="5">
        <f t="shared" si="2"/>
        <v>45663</v>
      </c>
      <c r="D111" s="2">
        <v>2</v>
      </c>
      <c r="E111">
        <v>2</v>
      </c>
      <c r="F111" s="1">
        <v>45681</v>
      </c>
      <c r="G111" s="5">
        <f>IF(Dates_Ref[[#This Row],[Pay QCH]]&lt;&gt;E110,Dates_Ref[[#This Row],[Start]]+18,"")</f>
        <v>45681</v>
      </c>
      <c r="H111">
        <f>WEEKDAY(Dates_Ref[[#This Row],[Start]],2)</f>
        <v>1</v>
      </c>
      <c r="I111">
        <f>WEEKNUM(Dates_Ref[[#This Row],[Start]],21)</f>
        <v>2</v>
      </c>
    </row>
    <row r="112" spans="2:9" x14ac:dyDescent="0.25">
      <c r="B112">
        <f>MONTH(Dates_Ref[[#This Row],[Start]])</f>
        <v>1</v>
      </c>
      <c r="C112" s="5">
        <f t="shared" si="2"/>
        <v>45670</v>
      </c>
      <c r="D112" s="2">
        <v>3</v>
      </c>
      <c r="E112">
        <v>2</v>
      </c>
      <c r="G112" s="5" t="str">
        <f>IF(Dates_Ref[[#This Row],[Pay QCH]]&lt;&gt;E111,Dates_Ref[[#This Row],[Start]]+18,"")</f>
        <v/>
      </c>
      <c r="H112">
        <f>WEEKDAY(Dates_Ref[[#This Row],[Start]],2)</f>
        <v>1</v>
      </c>
      <c r="I112">
        <f>WEEKNUM(Dates_Ref[[#This Row],[Start]],21)</f>
        <v>3</v>
      </c>
    </row>
    <row r="113" spans="2:9" x14ac:dyDescent="0.25">
      <c r="B113">
        <f>MONTH(Dates_Ref[[#This Row],[Start]])</f>
        <v>1</v>
      </c>
      <c r="C113" s="5">
        <f t="shared" si="2"/>
        <v>45677</v>
      </c>
      <c r="D113" s="2">
        <v>4</v>
      </c>
      <c r="E113">
        <v>3</v>
      </c>
      <c r="F113" s="1">
        <v>45695</v>
      </c>
      <c r="G113" s="5">
        <f>IF(Dates_Ref[[#This Row],[Pay QCH]]&lt;&gt;E112,Dates_Ref[[#This Row],[Start]]+18,"")</f>
        <v>45695</v>
      </c>
      <c r="H113">
        <f>WEEKDAY(Dates_Ref[[#This Row],[Start]],2)</f>
        <v>1</v>
      </c>
      <c r="I113">
        <f>WEEKNUM(Dates_Ref[[#This Row],[Start]],21)</f>
        <v>4</v>
      </c>
    </row>
    <row r="114" spans="2:9" x14ac:dyDescent="0.25">
      <c r="B114">
        <f>MONTH(Dates_Ref[[#This Row],[Start]])</f>
        <v>1</v>
      </c>
      <c r="C114" s="5">
        <f t="shared" si="2"/>
        <v>45684</v>
      </c>
      <c r="D114" s="2">
        <v>5</v>
      </c>
      <c r="E114">
        <v>3</v>
      </c>
      <c r="G114" s="5" t="str">
        <f>IF(Dates_Ref[[#This Row],[Pay QCH]]&lt;&gt;E113,Dates_Ref[[#This Row],[Start]]+18,"")</f>
        <v/>
      </c>
      <c r="H114">
        <f>WEEKDAY(Dates_Ref[[#This Row],[Start]],2)</f>
        <v>1</v>
      </c>
      <c r="I114">
        <f>WEEKNUM(Dates_Ref[[#This Row],[Start]],21)</f>
        <v>5</v>
      </c>
    </row>
    <row r="115" spans="2:9" x14ac:dyDescent="0.25">
      <c r="B115">
        <f>MONTH(Dates_Ref[[#This Row],[Start]])</f>
        <v>2</v>
      </c>
      <c r="C115" s="5">
        <f t="shared" si="2"/>
        <v>45691</v>
      </c>
      <c r="D115" s="2">
        <v>6</v>
      </c>
      <c r="E115">
        <v>4</v>
      </c>
      <c r="F115" s="1">
        <v>45709</v>
      </c>
      <c r="G115" s="5">
        <f>IF(Dates_Ref[[#This Row],[Pay QCH]]&lt;&gt;E114,Dates_Ref[[#This Row],[Start]]+18,"")</f>
        <v>45709</v>
      </c>
      <c r="H115">
        <f>WEEKDAY(Dates_Ref[[#This Row],[Start]],2)</f>
        <v>1</v>
      </c>
      <c r="I115">
        <f>WEEKNUM(Dates_Ref[[#This Row],[Start]],21)</f>
        <v>6</v>
      </c>
    </row>
    <row r="116" spans="2:9" x14ac:dyDescent="0.25">
      <c r="B116">
        <f>MONTH(Dates_Ref[[#This Row],[Start]])</f>
        <v>2</v>
      </c>
      <c r="C116" s="5">
        <f t="shared" si="2"/>
        <v>45698</v>
      </c>
      <c r="D116" s="2">
        <v>7</v>
      </c>
      <c r="E116">
        <v>4</v>
      </c>
      <c r="G116" s="5" t="str">
        <f>IF(Dates_Ref[[#This Row],[Pay QCH]]&lt;&gt;E115,Dates_Ref[[#This Row],[Start]]+18,"")</f>
        <v/>
      </c>
      <c r="H116">
        <f>WEEKDAY(Dates_Ref[[#This Row],[Start]],2)</f>
        <v>1</v>
      </c>
      <c r="I116">
        <f>WEEKNUM(Dates_Ref[[#This Row],[Start]],21)</f>
        <v>7</v>
      </c>
    </row>
    <row r="117" spans="2:9" x14ac:dyDescent="0.25">
      <c r="B117">
        <f>MONTH(Dates_Ref[[#This Row],[Start]])</f>
        <v>2</v>
      </c>
      <c r="C117" s="5">
        <f t="shared" si="2"/>
        <v>45705</v>
      </c>
      <c r="D117" s="2">
        <v>8</v>
      </c>
      <c r="E117">
        <v>5</v>
      </c>
      <c r="F117" s="1">
        <v>45723</v>
      </c>
      <c r="G117" s="5">
        <f>IF(Dates_Ref[[#This Row],[Pay QCH]]&lt;&gt;E116,Dates_Ref[[#This Row],[Start]]+18,"")</f>
        <v>45723</v>
      </c>
      <c r="H117">
        <f>WEEKDAY(Dates_Ref[[#This Row],[Start]],2)</f>
        <v>1</v>
      </c>
      <c r="I117">
        <f>WEEKNUM(Dates_Ref[[#This Row],[Start]],21)</f>
        <v>8</v>
      </c>
    </row>
    <row r="118" spans="2:9" x14ac:dyDescent="0.25">
      <c r="B118">
        <f>MONTH(Dates_Ref[[#This Row],[Start]])</f>
        <v>2</v>
      </c>
      <c r="C118" s="5">
        <f t="shared" si="2"/>
        <v>45712</v>
      </c>
      <c r="D118" s="2">
        <v>9</v>
      </c>
      <c r="E118">
        <v>5</v>
      </c>
      <c r="G118" s="5" t="str">
        <f>IF(Dates_Ref[[#This Row],[Pay QCH]]&lt;&gt;E117,Dates_Ref[[#This Row],[Start]]+18,"")</f>
        <v/>
      </c>
      <c r="H118">
        <f>WEEKDAY(Dates_Ref[[#This Row],[Start]],2)</f>
        <v>1</v>
      </c>
      <c r="I118">
        <f>WEEKNUM(Dates_Ref[[#This Row],[Start]],21)</f>
        <v>9</v>
      </c>
    </row>
    <row r="119" spans="2:9" x14ac:dyDescent="0.25">
      <c r="B119">
        <f>MONTH(Dates_Ref[[#This Row],[Start]])</f>
        <v>3</v>
      </c>
      <c r="C119" s="5">
        <f t="shared" si="2"/>
        <v>45719</v>
      </c>
      <c r="D119" s="2">
        <v>10</v>
      </c>
      <c r="E119">
        <v>6</v>
      </c>
      <c r="F119" s="1">
        <v>45737</v>
      </c>
      <c r="G119" s="5">
        <f>IF(Dates_Ref[[#This Row],[Pay QCH]]&lt;&gt;E118,Dates_Ref[[#This Row],[Start]]+18,"")</f>
        <v>45737</v>
      </c>
      <c r="H119">
        <f>WEEKDAY(Dates_Ref[[#This Row],[Start]],2)</f>
        <v>1</v>
      </c>
      <c r="I119">
        <f>WEEKNUM(Dates_Ref[[#This Row],[Start]],21)</f>
        <v>10</v>
      </c>
    </row>
    <row r="120" spans="2:9" x14ac:dyDescent="0.25">
      <c r="B120">
        <f>MONTH(Dates_Ref[[#This Row],[Start]])</f>
        <v>3</v>
      </c>
      <c r="C120" s="5">
        <f t="shared" si="2"/>
        <v>45726</v>
      </c>
      <c r="D120" s="2">
        <v>11</v>
      </c>
      <c r="E120">
        <v>6</v>
      </c>
      <c r="G120" s="5" t="str">
        <f>IF(Dates_Ref[[#This Row],[Pay QCH]]&lt;&gt;E119,Dates_Ref[[#This Row],[Start]]+18,"")</f>
        <v/>
      </c>
      <c r="H120">
        <f>WEEKDAY(Dates_Ref[[#This Row],[Start]],2)</f>
        <v>1</v>
      </c>
      <c r="I120">
        <f>WEEKNUM(Dates_Ref[[#This Row],[Start]],21)</f>
        <v>11</v>
      </c>
    </row>
    <row r="121" spans="2:9" x14ac:dyDescent="0.25">
      <c r="B121">
        <f>MONTH(Dates_Ref[[#This Row],[Start]])</f>
        <v>3</v>
      </c>
      <c r="C121" s="5">
        <f t="shared" si="2"/>
        <v>45733</v>
      </c>
      <c r="D121" s="2">
        <v>12</v>
      </c>
      <c r="E121">
        <v>7</v>
      </c>
      <c r="F121" s="1">
        <v>45751</v>
      </c>
      <c r="G121" s="5">
        <f>IF(Dates_Ref[[#This Row],[Pay QCH]]&lt;&gt;E120,Dates_Ref[[#This Row],[Start]]+18,"")</f>
        <v>45751</v>
      </c>
      <c r="H121">
        <f>WEEKDAY(Dates_Ref[[#This Row],[Start]],2)</f>
        <v>1</v>
      </c>
      <c r="I121">
        <f>WEEKNUM(Dates_Ref[[#This Row],[Start]],21)</f>
        <v>12</v>
      </c>
    </row>
    <row r="122" spans="2:9" x14ac:dyDescent="0.25">
      <c r="B122">
        <f>MONTH(Dates_Ref[[#This Row],[Start]])</f>
        <v>3</v>
      </c>
      <c r="C122" s="5">
        <f t="shared" si="2"/>
        <v>45740</v>
      </c>
      <c r="D122" s="2">
        <v>13</v>
      </c>
      <c r="E122">
        <v>7</v>
      </c>
      <c r="G122" s="5" t="str">
        <f>IF(Dates_Ref[[#This Row],[Pay QCH]]&lt;&gt;E121,Dates_Ref[[#This Row],[Start]]+18,"")</f>
        <v/>
      </c>
      <c r="H122">
        <f>WEEKDAY(Dates_Ref[[#This Row],[Start]],2)</f>
        <v>1</v>
      </c>
      <c r="I122">
        <f>WEEKNUM(Dates_Ref[[#This Row],[Start]],21)</f>
        <v>13</v>
      </c>
    </row>
    <row r="123" spans="2:9" x14ac:dyDescent="0.25">
      <c r="B123">
        <f>MONTH(Dates_Ref[[#This Row],[Start]])</f>
        <v>3</v>
      </c>
      <c r="C123" s="5">
        <f t="shared" si="2"/>
        <v>45747</v>
      </c>
      <c r="D123" s="2">
        <v>14</v>
      </c>
      <c r="E123">
        <v>8</v>
      </c>
      <c r="F123" s="1">
        <v>45765</v>
      </c>
      <c r="G123" s="5">
        <f>IF(Dates_Ref[[#This Row],[Pay QCH]]&lt;&gt;E122,Dates_Ref[[#This Row],[Start]]+18,"")</f>
        <v>45765</v>
      </c>
      <c r="H123">
        <f>WEEKDAY(Dates_Ref[[#This Row],[Start]],2)</f>
        <v>1</v>
      </c>
      <c r="I123">
        <f>WEEKNUM(Dates_Ref[[#This Row],[Start]],21)</f>
        <v>14</v>
      </c>
    </row>
    <row r="124" spans="2:9" x14ac:dyDescent="0.25">
      <c r="B124">
        <f>MONTH(Dates_Ref[[#This Row],[Start]])</f>
        <v>4</v>
      </c>
      <c r="C124" s="5">
        <f t="shared" si="2"/>
        <v>45754</v>
      </c>
      <c r="D124" s="2">
        <v>15</v>
      </c>
      <c r="E124">
        <v>8</v>
      </c>
      <c r="G124" s="5" t="str">
        <f>IF(Dates_Ref[[#This Row],[Pay QCH]]&lt;&gt;E123,Dates_Ref[[#This Row],[Start]]+18,"")</f>
        <v/>
      </c>
      <c r="H124">
        <f>WEEKDAY(Dates_Ref[[#This Row],[Start]],2)</f>
        <v>1</v>
      </c>
      <c r="I124">
        <f>WEEKNUM(Dates_Ref[[#This Row],[Start]],21)</f>
        <v>15</v>
      </c>
    </row>
    <row r="125" spans="2:9" x14ac:dyDescent="0.25">
      <c r="B125">
        <f>MONTH(Dates_Ref[[#This Row],[Start]])</f>
        <v>4</v>
      </c>
      <c r="C125" s="5">
        <f t="shared" si="2"/>
        <v>45761</v>
      </c>
      <c r="D125" s="2">
        <v>16</v>
      </c>
      <c r="E125">
        <v>9</v>
      </c>
      <c r="F125" s="1">
        <v>45779</v>
      </c>
      <c r="G125" s="5">
        <f>IF(Dates_Ref[[#This Row],[Pay QCH]]&lt;&gt;E124,Dates_Ref[[#This Row],[Start]]+18,"")</f>
        <v>45779</v>
      </c>
      <c r="H125">
        <f>WEEKDAY(Dates_Ref[[#This Row],[Start]],2)</f>
        <v>1</v>
      </c>
      <c r="I125">
        <f>WEEKNUM(Dates_Ref[[#This Row],[Start]],21)</f>
        <v>16</v>
      </c>
    </row>
    <row r="126" spans="2:9" x14ac:dyDescent="0.25">
      <c r="B126">
        <f>MONTH(Dates_Ref[[#This Row],[Start]])</f>
        <v>4</v>
      </c>
      <c r="C126" s="5">
        <f t="shared" si="2"/>
        <v>45768</v>
      </c>
      <c r="D126" s="2">
        <v>17</v>
      </c>
      <c r="E126">
        <v>9</v>
      </c>
      <c r="G126" s="5" t="str">
        <f>IF(Dates_Ref[[#This Row],[Pay QCH]]&lt;&gt;E125,Dates_Ref[[#This Row],[Start]]+18,"")</f>
        <v/>
      </c>
      <c r="H126">
        <f>WEEKDAY(Dates_Ref[[#This Row],[Start]],2)</f>
        <v>1</v>
      </c>
      <c r="I126">
        <f>WEEKNUM(Dates_Ref[[#This Row],[Start]],21)</f>
        <v>17</v>
      </c>
    </row>
    <row r="127" spans="2:9" x14ac:dyDescent="0.25">
      <c r="B127">
        <f>MONTH(Dates_Ref[[#This Row],[Start]])</f>
        <v>4</v>
      </c>
      <c r="C127" s="5">
        <f t="shared" si="2"/>
        <v>45775</v>
      </c>
      <c r="D127" s="2">
        <v>18</v>
      </c>
      <c r="E127">
        <v>10</v>
      </c>
      <c r="F127" s="1">
        <v>45793</v>
      </c>
      <c r="G127" s="5">
        <f>IF(Dates_Ref[[#This Row],[Pay QCH]]&lt;&gt;E126,Dates_Ref[[#This Row],[Start]]+18,"")</f>
        <v>45793</v>
      </c>
      <c r="H127">
        <f>WEEKDAY(Dates_Ref[[#This Row],[Start]],2)</f>
        <v>1</v>
      </c>
      <c r="I127">
        <f>WEEKNUM(Dates_Ref[[#This Row],[Start]],21)</f>
        <v>18</v>
      </c>
    </row>
    <row r="128" spans="2:9" x14ac:dyDescent="0.25">
      <c r="B128">
        <f>MONTH(Dates_Ref[[#This Row],[Start]])</f>
        <v>5</v>
      </c>
      <c r="C128" s="5">
        <f t="shared" si="2"/>
        <v>45782</v>
      </c>
      <c r="D128" s="2">
        <v>19</v>
      </c>
      <c r="E128">
        <v>10</v>
      </c>
      <c r="G128" s="5" t="str">
        <f>IF(Dates_Ref[[#This Row],[Pay QCH]]&lt;&gt;E127,Dates_Ref[[#This Row],[Start]]+18,"")</f>
        <v/>
      </c>
      <c r="H128">
        <f>WEEKDAY(Dates_Ref[[#This Row],[Start]],2)</f>
        <v>1</v>
      </c>
      <c r="I128">
        <f>WEEKNUM(Dates_Ref[[#This Row],[Start]],21)</f>
        <v>19</v>
      </c>
    </row>
    <row r="129" spans="2:9" x14ac:dyDescent="0.25">
      <c r="B129">
        <f>MONTH(Dates_Ref[[#This Row],[Start]])</f>
        <v>5</v>
      </c>
      <c r="C129" s="5">
        <f t="shared" si="2"/>
        <v>45789</v>
      </c>
      <c r="D129" s="2">
        <v>20</v>
      </c>
      <c r="E129">
        <v>11</v>
      </c>
      <c r="F129" s="1">
        <v>45807</v>
      </c>
      <c r="G129" s="5">
        <f>IF(Dates_Ref[[#This Row],[Pay QCH]]&lt;&gt;E128,Dates_Ref[[#This Row],[Start]]+18,"")</f>
        <v>45807</v>
      </c>
      <c r="H129">
        <f>WEEKDAY(Dates_Ref[[#This Row],[Start]],2)</f>
        <v>1</v>
      </c>
      <c r="I129">
        <f>WEEKNUM(Dates_Ref[[#This Row],[Start]],21)</f>
        <v>20</v>
      </c>
    </row>
    <row r="130" spans="2:9" x14ac:dyDescent="0.25">
      <c r="B130">
        <f>MONTH(Dates_Ref[[#This Row],[Start]])</f>
        <v>5</v>
      </c>
      <c r="C130" s="5">
        <f t="shared" si="2"/>
        <v>45796</v>
      </c>
      <c r="D130" s="2">
        <v>21</v>
      </c>
      <c r="E130">
        <v>11</v>
      </c>
      <c r="G130" s="5" t="str">
        <f>IF(Dates_Ref[[#This Row],[Pay QCH]]&lt;&gt;E129,Dates_Ref[[#This Row],[Start]]+18,"")</f>
        <v/>
      </c>
      <c r="H130">
        <f>WEEKDAY(Dates_Ref[[#This Row],[Start]],2)</f>
        <v>1</v>
      </c>
      <c r="I130">
        <f>WEEKNUM(Dates_Ref[[#This Row],[Start]],21)</f>
        <v>21</v>
      </c>
    </row>
    <row r="131" spans="2:9" x14ac:dyDescent="0.25">
      <c r="B131">
        <f>MONTH(Dates_Ref[[#This Row],[Start]])</f>
        <v>5</v>
      </c>
      <c r="C131" s="5">
        <f t="shared" si="2"/>
        <v>45803</v>
      </c>
      <c r="D131" s="2">
        <v>22</v>
      </c>
      <c r="E131">
        <v>12</v>
      </c>
      <c r="F131" s="1">
        <v>45821</v>
      </c>
      <c r="G131" s="5">
        <f>IF(Dates_Ref[[#This Row],[Pay QCH]]&lt;&gt;E130,Dates_Ref[[#This Row],[Start]]+18,"")</f>
        <v>45821</v>
      </c>
      <c r="H131">
        <f>WEEKDAY(Dates_Ref[[#This Row],[Start]],2)</f>
        <v>1</v>
      </c>
      <c r="I131">
        <f>WEEKNUM(Dates_Ref[[#This Row],[Start]],21)</f>
        <v>22</v>
      </c>
    </row>
    <row r="132" spans="2:9" x14ac:dyDescent="0.25">
      <c r="B132">
        <f>MONTH(Dates_Ref[[#This Row],[Start]])</f>
        <v>6</v>
      </c>
      <c r="C132" s="5">
        <f t="shared" si="2"/>
        <v>45810</v>
      </c>
      <c r="D132" s="2">
        <v>23</v>
      </c>
      <c r="E132">
        <v>12</v>
      </c>
      <c r="G132" s="5" t="str">
        <f>IF(Dates_Ref[[#This Row],[Pay QCH]]&lt;&gt;E131,Dates_Ref[[#This Row],[Start]]+18,"")</f>
        <v/>
      </c>
      <c r="H132">
        <f>WEEKDAY(Dates_Ref[[#This Row],[Start]],2)</f>
        <v>1</v>
      </c>
      <c r="I132">
        <f>WEEKNUM(Dates_Ref[[#This Row],[Start]],21)</f>
        <v>23</v>
      </c>
    </row>
    <row r="133" spans="2:9" x14ac:dyDescent="0.25">
      <c r="B133">
        <f>MONTH(Dates_Ref[[#This Row],[Start]])</f>
        <v>6</v>
      </c>
      <c r="C133" s="5">
        <f t="shared" si="2"/>
        <v>45817</v>
      </c>
      <c r="D133" s="2">
        <v>24</v>
      </c>
      <c r="E133">
        <v>13</v>
      </c>
      <c r="F133" s="1">
        <v>45835</v>
      </c>
      <c r="G133" s="5">
        <f>IF(Dates_Ref[[#This Row],[Pay QCH]]&lt;&gt;E132,Dates_Ref[[#This Row],[Start]]+18,"")</f>
        <v>45835</v>
      </c>
      <c r="H133">
        <f>WEEKDAY(Dates_Ref[[#This Row],[Start]],2)</f>
        <v>1</v>
      </c>
      <c r="I133">
        <f>WEEKNUM(Dates_Ref[[#This Row],[Start]],21)</f>
        <v>24</v>
      </c>
    </row>
    <row r="134" spans="2:9" x14ac:dyDescent="0.25">
      <c r="B134">
        <f>MONTH(Dates_Ref[[#This Row],[Start]])</f>
        <v>6</v>
      </c>
      <c r="C134" s="5">
        <f t="shared" si="2"/>
        <v>45824</v>
      </c>
      <c r="D134" s="2">
        <v>25</v>
      </c>
      <c r="E134">
        <v>13</v>
      </c>
      <c r="G134" s="5" t="str">
        <f>IF(Dates_Ref[[#This Row],[Pay QCH]]&lt;&gt;E133,Dates_Ref[[#This Row],[Start]]+18,"")</f>
        <v/>
      </c>
      <c r="H134">
        <f>WEEKDAY(Dates_Ref[[#This Row],[Start]],2)</f>
        <v>1</v>
      </c>
      <c r="I134">
        <f>WEEKNUM(Dates_Ref[[#This Row],[Start]],21)</f>
        <v>25</v>
      </c>
    </row>
    <row r="135" spans="2:9" x14ac:dyDescent="0.25">
      <c r="B135">
        <f>MONTH(Dates_Ref[[#This Row],[Start]])</f>
        <v>6</v>
      </c>
      <c r="C135" s="5">
        <f t="shared" ref="C135:C198" si="3">C134+7</f>
        <v>45831</v>
      </c>
      <c r="D135" s="2">
        <v>26</v>
      </c>
      <c r="E135">
        <v>14</v>
      </c>
      <c r="F135" s="1">
        <v>45849</v>
      </c>
      <c r="G135" s="5">
        <f>IF(Dates_Ref[[#This Row],[Pay QCH]]&lt;&gt;E134,Dates_Ref[[#This Row],[Start]]+18,"")</f>
        <v>45849</v>
      </c>
      <c r="H135">
        <f>WEEKDAY(Dates_Ref[[#This Row],[Start]],2)</f>
        <v>1</v>
      </c>
      <c r="I135">
        <f>WEEKNUM(Dates_Ref[[#This Row],[Start]],21)</f>
        <v>26</v>
      </c>
    </row>
    <row r="136" spans="2:9" x14ac:dyDescent="0.25">
      <c r="B136">
        <f>MONTH(Dates_Ref[[#This Row],[Start]])</f>
        <v>6</v>
      </c>
      <c r="C136" s="5">
        <f t="shared" si="3"/>
        <v>45838</v>
      </c>
      <c r="D136" s="2">
        <v>27</v>
      </c>
      <c r="E136">
        <v>14</v>
      </c>
      <c r="G136" s="5" t="str">
        <f>IF(Dates_Ref[[#This Row],[Pay QCH]]&lt;&gt;E135,Dates_Ref[[#This Row],[Start]]+18,"")</f>
        <v/>
      </c>
      <c r="H136">
        <f>WEEKDAY(Dates_Ref[[#This Row],[Start]],2)</f>
        <v>1</v>
      </c>
      <c r="I136">
        <f>WEEKNUM(Dates_Ref[[#This Row],[Start]],21)</f>
        <v>27</v>
      </c>
    </row>
    <row r="137" spans="2:9" x14ac:dyDescent="0.25">
      <c r="B137">
        <f>MONTH(Dates_Ref[[#This Row],[Start]])</f>
        <v>7</v>
      </c>
      <c r="C137" s="5">
        <f t="shared" si="3"/>
        <v>45845</v>
      </c>
      <c r="D137" s="2">
        <v>28</v>
      </c>
      <c r="E137">
        <v>15</v>
      </c>
      <c r="F137" s="1">
        <v>45863</v>
      </c>
      <c r="G137" s="5">
        <f>IF(Dates_Ref[[#This Row],[Pay QCH]]&lt;&gt;E136,Dates_Ref[[#This Row],[Start]]+18,"")</f>
        <v>45863</v>
      </c>
      <c r="H137">
        <f>WEEKDAY(Dates_Ref[[#This Row],[Start]],2)</f>
        <v>1</v>
      </c>
      <c r="I137">
        <f>WEEKNUM(Dates_Ref[[#This Row],[Start]],21)</f>
        <v>28</v>
      </c>
    </row>
    <row r="138" spans="2:9" x14ac:dyDescent="0.25">
      <c r="B138">
        <f>MONTH(Dates_Ref[[#This Row],[Start]])</f>
        <v>7</v>
      </c>
      <c r="C138" s="5">
        <f t="shared" si="3"/>
        <v>45852</v>
      </c>
      <c r="D138" s="2">
        <v>29</v>
      </c>
      <c r="E138">
        <v>15</v>
      </c>
      <c r="G138" s="5" t="str">
        <f>IF(Dates_Ref[[#This Row],[Pay QCH]]&lt;&gt;E137,Dates_Ref[[#This Row],[Start]]+18,"")</f>
        <v/>
      </c>
      <c r="H138">
        <f>WEEKDAY(Dates_Ref[[#This Row],[Start]],2)</f>
        <v>1</v>
      </c>
      <c r="I138">
        <f>WEEKNUM(Dates_Ref[[#This Row],[Start]],21)</f>
        <v>29</v>
      </c>
    </row>
    <row r="139" spans="2:9" x14ac:dyDescent="0.25">
      <c r="B139">
        <f>MONTH(Dates_Ref[[#This Row],[Start]])</f>
        <v>7</v>
      </c>
      <c r="C139" s="5">
        <f t="shared" si="3"/>
        <v>45859</v>
      </c>
      <c r="D139" s="2">
        <v>30</v>
      </c>
      <c r="E139">
        <v>16</v>
      </c>
      <c r="F139" s="1">
        <v>45877</v>
      </c>
      <c r="G139" s="5">
        <f>IF(Dates_Ref[[#This Row],[Pay QCH]]&lt;&gt;E138,Dates_Ref[[#This Row],[Start]]+18,"")</f>
        <v>45877</v>
      </c>
      <c r="H139">
        <f>WEEKDAY(Dates_Ref[[#This Row],[Start]],2)</f>
        <v>1</v>
      </c>
      <c r="I139">
        <f>WEEKNUM(Dates_Ref[[#This Row],[Start]],21)</f>
        <v>30</v>
      </c>
    </row>
    <row r="140" spans="2:9" x14ac:dyDescent="0.25">
      <c r="B140">
        <f>MONTH(Dates_Ref[[#This Row],[Start]])</f>
        <v>7</v>
      </c>
      <c r="C140" s="5">
        <f t="shared" si="3"/>
        <v>45866</v>
      </c>
      <c r="D140" s="2">
        <v>31</v>
      </c>
      <c r="E140">
        <v>16</v>
      </c>
      <c r="G140" s="5" t="str">
        <f>IF(Dates_Ref[[#This Row],[Pay QCH]]&lt;&gt;E139,Dates_Ref[[#This Row],[Start]]+18,"")</f>
        <v/>
      </c>
      <c r="H140">
        <f>WEEKDAY(Dates_Ref[[#This Row],[Start]],2)</f>
        <v>1</v>
      </c>
      <c r="I140">
        <f>WEEKNUM(Dates_Ref[[#This Row],[Start]],21)</f>
        <v>31</v>
      </c>
    </row>
    <row r="141" spans="2:9" x14ac:dyDescent="0.25">
      <c r="B141">
        <f>MONTH(Dates_Ref[[#This Row],[Start]])</f>
        <v>8</v>
      </c>
      <c r="C141" s="5">
        <f t="shared" si="3"/>
        <v>45873</v>
      </c>
      <c r="D141" s="2">
        <v>32</v>
      </c>
      <c r="E141">
        <v>17</v>
      </c>
      <c r="F141" s="1">
        <v>45891</v>
      </c>
      <c r="G141" s="5">
        <f>IF(Dates_Ref[[#This Row],[Pay QCH]]&lt;&gt;E140,Dates_Ref[[#This Row],[Start]]+18,"")</f>
        <v>45891</v>
      </c>
      <c r="H141">
        <f>WEEKDAY(Dates_Ref[[#This Row],[Start]],2)</f>
        <v>1</v>
      </c>
      <c r="I141">
        <f>WEEKNUM(Dates_Ref[[#This Row],[Start]],21)</f>
        <v>32</v>
      </c>
    </row>
    <row r="142" spans="2:9" x14ac:dyDescent="0.25">
      <c r="B142">
        <f>MONTH(Dates_Ref[[#This Row],[Start]])</f>
        <v>8</v>
      </c>
      <c r="C142" s="5">
        <f t="shared" si="3"/>
        <v>45880</v>
      </c>
      <c r="D142" s="2">
        <v>33</v>
      </c>
      <c r="E142">
        <v>17</v>
      </c>
      <c r="G142" s="5" t="str">
        <f>IF(Dates_Ref[[#This Row],[Pay QCH]]&lt;&gt;E141,Dates_Ref[[#This Row],[Start]]+18,"")</f>
        <v/>
      </c>
      <c r="H142">
        <f>WEEKDAY(Dates_Ref[[#This Row],[Start]],2)</f>
        <v>1</v>
      </c>
      <c r="I142">
        <f>WEEKNUM(Dates_Ref[[#This Row],[Start]],21)</f>
        <v>33</v>
      </c>
    </row>
    <row r="143" spans="2:9" x14ac:dyDescent="0.25">
      <c r="B143">
        <f>MONTH(Dates_Ref[[#This Row],[Start]])</f>
        <v>8</v>
      </c>
      <c r="C143" s="5">
        <f t="shared" si="3"/>
        <v>45887</v>
      </c>
      <c r="D143" s="2">
        <v>34</v>
      </c>
      <c r="E143">
        <v>18</v>
      </c>
      <c r="F143" s="1">
        <v>45905</v>
      </c>
      <c r="G143" s="5">
        <f>IF(Dates_Ref[[#This Row],[Pay QCH]]&lt;&gt;E142,Dates_Ref[[#This Row],[Start]]+18,"")</f>
        <v>45905</v>
      </c>
      <c r="H143">
        <f>WEEKDAY(Dates_Ref[[#This Row],[Start]],2)</f>
        <v>1</v>
      </c>
      <c r="I143">
        <f>WEEKNUM(Dates_Ref[[#This Row],[Start]],21)</f>
        <v>34</v>
      </c>
    </row>
    <row r="144" spans="2:9" x14ac:dyDescent="0.25">
      <c r="B144">
        <f>MONTH(Dates_Ref[[#This Row],[Start]])</f>
        <v>8</v>
      </c>
      <c r="C144" s="5">
        <f t="shared" si="3"/>
        <v>45894</v>
      </c>
      <c r="D144" s="2">
        <v>35</v>
      </c>
      <c r="E144">
        <v>18</v>
      </c>
      <c r="G144" s="5" t="str">
        <f>IF(Dates_Ref[[#This Row],[Pay QCH]]&lt;&gt;E143,Dates_Ref[[#This Row],[Start]]+18,"")</f>
        <v/>
      </c>
      <c r="H144">
        <f>WEEKDAY(Dates_Ref[[#This Row],[Start]],2)</f>
        <v>1</v>
      </c>
      <c r="I144">
        <f>WEEKNUM(Dates_Ref[[#This Row],[Start]],21)</f>
        <v>35</v>
      </c>
    </row>
    <row r="145" spans="2:9" x14ac:dyDescent="0.25">
      <c r="B145">
        <f>MONTH(Dates_Ref[[#This Row],[Start]])</f>
        <v>9</v>
      </c>
      <c r="C145" s="5">
        <f t="shared" si="3"/>
        <v>45901</v>
      </c>
      <c r="D145" s="2">
        <v>36</v>
      </c>
      <c r="E145">
        <v>19</v>
      </c>
      <c r="F145" s="1">
        <v>45919</v>
      </c>
      <c r="G145" s="5">
        <f>IF(Dates_Ref[[#This Row],[Pay QCH]]&lt;&gt;E144,Dates_Ref[[#This Row],[Start]]+18,"")</f>
        <v>45919</v>
      </c>
      <c r="H145">
        <f>WEEKDAY(Dates_Ref[[#This Row],[Start]],2)</f>
        <v>1</v>
      </c>
      <c r="I145">
        <f>WEEKNUM(Dates_Ref[[#This Row],[Start]],21)</f>
        <v>36</v>
      </c>
    </row>
    <row r="146" spans="2:9" x14ac:dyDescent="0.25">
      <c r="B146">
        <f>MONTH(Dates_Ref[[#This Row],[Start]])</f>
        <v>9</v>
      </c>
      <c r="C146" s="5">
        <f t="shared" si="3"/>
        <v>45908</v>
      </c>
      <c r="D146" s="2">
        <v>37</v>
      </c>
      <c r="E146">
        <v>19</v>
      </c>
      <c r="G146" s="5" t="str">
        <f>IF(Dates_Ref[[#This Row],[Pay QCH]]&lt;&gt;E145,Dates_Ref[[#This Row],[Start]]+18,"")</f>
        <v/>
      </c>
      <c r="H146">
        <f>WEEKDAY(Dates_Ref[[#This Row],[Start]],2)</f>
        <v>1</v>
      </c>
      <c r="I146">
        <f>WEEKNUM(Dates_Ref[[#This Row],[Start]],21)</f>
        <v>37</v>
      </c>
    </row>
    <row r="147" spans="2:9" x14ac:dyDescent="0.25">
      <c r="B147">
        <f>MONTH(Dates_Ref[[#This Row],[Start]])</f>
        <v>9</v>
      </c>
      <c r="C147" s="5">
        <f t="shared" si="3"/>
        <v>45915</v>
      </c>
      <c r="D147" s="2">
        <v>38</v>
      </c>
      <c r="E147">
        <v>20</v>
      </c>
      <c r="F147" s="1">
        <v>45933</v>
      </c>
      <c r="G147" s="5">
        <f>IF(Dates_Ref[[#This Row],[Pay QCH]]&lt;&gt;E146,Dates_Ref[[#This Row],[Start]]+18,"")</f>
        <v>45933</v>
      </c>
      <c r="H147">
        <f>WEEKDAY(Dates_Ref[[#This Row],[Start]],2)</f>
        <v>1</v>
      </c>
      <c r="I147">
        <f>WEEKNUM(Dates_Ref[[#This Row],[Start]],21)</f>
        <v>38</v>
      </c>
    </row>
    <row r="148" spans="2:9" x14ac:dyDescent="0.25">
      <c r="B148">
        <f>MONTH(Dates_Ref[[#This Row],[Start]])</f>
        <v>9</v>
      </c>
      <c r="C148" s="5">
        <f t="shared" si="3"/>
        <v>45922</v>
      </c>
      <c r="D148" s="2">
        <v>39</v>
      </c>
      <c r="E148">
        <v>20</v>
      </c>
      <c r="G148" s="5" t="str">
        <f>IF(Dates_Ref[[#This Row],[Pay QCH]]&lt;&gt;E147,Dates_Ref[[#This Row],[Start]]+18,"")</f>
        <v/>
      </c>
      <c r="H148">
        <f>WEEKDAY(Dates_Ref[[#This Row],[Start]],2)</f>
        <v>1</v>
      </c>
      <c r="I148">
        <f>WEEKNUM(Dates_Ref[[#This Row],[Start]],21)</f>
        <v>39</v>
      </c>
    </row>
    <row r="149" spans="2:9" x14ac:dyDescent="0.25">
      <c r="B149">
        <f>MONTH(Dates_Ref[[#This Row],[Start]])</f>
        <v>9</v>
      </c>
      <c r="C149" s="5">
        <f t="shared" si="3"/>
        <v>45929</v>
      </c>
      <c r="D149" s="2">
        <v>40</v>
      </c>
      <c r="E149">
        <v>21</v>
      </c>
      <c r="F149" s="1">
        <v>45947</v>
      </c>
      <c r="G149" s="5">
        <f>IF(Dates_Ref[[#This Row],[Pay QCH]]&lt;&gt;E148,Dates_Ref[[#This Row],[Start]]+18,"")</f>
        <v>45947</v>
      </c>
      <c r="H149">
        <f>WEEKDAY(Dates_Ref[[#This Row],[Start]],2)</f>
        <v>1</v>
      </c>
      <c r="I149">
        <f>WEEKNUM(Dates_Ref[[#This Row],[Start]],21)</f>
        <v>40</v>
      </c>
    </row>
    <row r="150" spans="2:9" x14ac:dyDescent="0.25">
      <c r="B150">
        <f>MONTH(Dates_Ref[[#This Row],[Start]])</f>
        <v>10</v>
      </c>
      <c r="C150" s="5">
        <f t="shared" si="3"/>
        <v>45936</v>
      </c>
      <c r="D150" s="2">
        <v>41</v>
      </c>
      <c r="E150">
        <v>21</v>
      </c>
      <c r="G150" s="5" t="str">
        <f>IF(Dates_Ref[[#This Row],[Pay QCH]]&lt;&gt;E149,Dates_Ref[[#This Row],[Start]]+18,"")</f>
        <v/>
      </c>
      <c r="H150">
        <f>WEEKDAY(Dates_Ref[[#This Row],[Start]],2)</f>
        <v>1</v>
      </c>
      <c r="I150">
        <f>WEEKNUM(Dates_Ref[[#This Row],[Start]],21)</f>
        <v>41</v>
      </c>
    </row>
    <row r="151" spans="2:9" x14ac:dyDescent="0.25">
      <c r="B151">
        <f>MONTH(Dates_Ref[[#This Row],[Start]])</f>
        <v>10</v>
      </c>
      <c r="C151" s="5">
        <f t="shared" si="3"/>
        <v>45943</v>
      </c>
      <c r="D151" s="2">
        <v>42</v>
      </c>
      <c r="E151">
        <v>22</v>
      </c>
      <c r="F151" s="1">
        <v>45961</v>
      </c>
      <c r="G151" s="5">
        <f>IF(Dates_Ref[[#This Row],[Pay QCH]]&lt;&gt;E150,Dates_Ref[[#This Row],[Start]]+18,"")</f>
        <v>45961</v>
      </c>
      <c r="H151">
        <f>WEEKDAY(Dates_Ref[[#This Row],[Start]],2)</f>
        <v>1</v>
      </c>
      <c r="I151">
        <f>WEEKNUM(Dates_Ref[[#This Row],[Start]],21)</f>
        <v>42</v>
      </c>
    </row>
    <row r="152" spans="2:9" x14ac:dyDescent="0.25">
      <c r="B152">
        <f>MONTH(Dates_Ref[[#This Row],[Start]])</f>
        <v>10</v>
      </c>
      <c r="C152" s="5">
        <f t="shared" si="3"/>
        <v>45950</v>
      </c>
      <c r="D152" s="2">
        <v>43</v>
      </c>
      <c r="E152">
        <v>22</v>
      </c>
      <c r="G152" s="5" t="str">
        <f>IF(Dates_Ref[[#This Row],[Pay QCH]]&lt;&gt;E151,Dates_Ref[[#This Row],[Start]]+18,"")</f>
        <v/>
      </c>
      <c r="H152">
        <f>WEEKDAY(Dates_Ref[[#This Row],[Start]],2)</f>
        <v>1</v>
      </c>
      <c r="I152">
        <f>WEEKNUM(Dates_Ref[[#This Row],[Start]],21)</f>
        <v>43</v>
      </c>
    </row>
    <row r="153" spans="2:9" x14ac:dyDescent="0.25">
      <c r="B153">
        <f>MONTH(Dates_Ref[[#This Row],[Start]])</f>
        <v>10</v>
      </c>
      <c r="C153" s="5">
        <f t="shared" si="3"/>
        <v>45957</v>
      </c>
      <c r="D153" s="2">
        <v>44</v>
      </c>
      <c r="E153">
        <v>23</v>
      </c>
      <c r="F153" s="1">
        <v>45975</v>
      </c>
      <c r="G153" s="5">
        <f>IF(Dates_Ref[[#This Row],[Pay QCH]]&lt;&gt;E152,Dates_Ref[[#This Row],[Start]]+18,"")</f>
        <v>45975</v>
      </c>
      <c r="H153">
        <f>WEEKDAY(Dates_Ref[[#This Row],[Start]],2)</f>
        <v>1</v>
      </c>
      <c r="I153">
        <f>WEEKNUM(Dates_Ref[[#This Row],[Start]],21)</f>
        <v>44</v>
      </c>
    </row>
    <row r="154" spans="2:9" x14ac:dyDescent="0.25">
      <c r="B154">
        <f>MONTH(Dates_Ref[[#This Row],[Start]])</f>
        <v>11</v>
      </c>
      <c r="C154" s="5">
        <f t="shared" si="3"/>
        <v>45964</v>
      </c>
      <c r="D154" s="2">
        <v>45</v>
      </c>
      <c r="E154">
        <v>23</v>
      </c>
      <c r="G154" s="5" t="str">
        <f>IF(Dates_Ref[[#This Row],[Pay QCH]]&lt;&gt;E153,Dates_Ref[[#This Row],[Start]]+18,"")</f>
        <v/>
      </c>
      <c r="H154">
        <f>WEEKDAY(Dates_Ref[[#This Row],[Start]],2)</f>
        <v>1</v>
      </c>
      <c r="I154">
        <f>WEEKNUM(Dates_Ref[[#This Row],[Start]],21)</f>
        <v>45</v>
      </c>
    </row>
    <row r="155" spans="2:9" x14ac:dyDescent="0.25">
      <c r="B155">
        <f>MONTH(Dates_Ref[[#This Row],[Start]])</f>
        <v>11</v>
      </c>
      <c r="C155" s="5">
        <f t="shared" si="3"/>
        <v>45971</v>
      </c>
      <c r="D155" s="2">
        <v>46</v>
      </c>
      <c r="E155">
        <v>24</v>
      </c>
      <c r="F155" s="1">
        <v>45989</v>
      </c>
      <c r="G155" s="5">
        <f>IF(Dates_Ref[[#This Row],[Pay QCH]]&lt;&gt;E154,Dates_Ref[[#This Row],[Start]]+18,"")</f>
        <v>45989</v>
      </c>
      <c r="H155">
        <f>WEEKDAY(Dates_Ref[[#This Row],[Start]],2)</f>
        <v>1</v>
      </c>
      <c r="I155">
        <f>WEEKNUM(Dates_Ref[[#This Row],[Start]],21)</f>
        <v>46</v>
      </c>
    </row>
    <row r="156" spans="2:9" x14ac:dyDescent="0.25">
      <c r="B156">
        <f>MONTH(Dates_Ref[[#This Row],[Start]])</f>
        <v>11</v>
      </c>
      <c r="C156" s="5">
        <f t="shared" si="3"/>
        <v>45978</v>
      </c>
      <c r="D156" s="2">
        <v>47</v>
      </c>
      <c r="E156">
        <v>24</v>
      </c>
      <c r="G156" s="5" t="str">
        <f>IF(Dates_Ref[[#This Row],[Pay QCH]]&lt;&gt;E155,Dates_Ref[[#This Row],[Start]]+18,"")</f>
        <v/>
      </c>
      <c r="H156">
        <f>WEEKDAY(Dates_Ref[[#This Row],[Start]],2)</f>
        <v>1</v>
      </c>
      <c r="I156">
        <f>WEEKNUM(Dates_Ref[[#This Row],[Start]],21)</f>
        <v>47</v>
      </c>
    </row>
    <row r="157" spans="2:9" x14ac:dyDescent="0.25">
      <c r="B157">
        <f>MONTH(Dates_Ref[[#This Row],[Start]])</f>
        <v>11</v>
      </c>
      <c r="C157" s="5">
        <f t="shared" si="3"/>
        <v>45985</v>
      </c>
      <c r="D157" s="2">
        <v>48</v>
      </c>
      <c r="E157">
        <v>25</v>
      </c>
      <c r="F157" s="1">
        <v>46003</v>
      </c>
      <c r="G157" s="5">
        <f>IF(Dates_Ref[[#This Row],[Pay QCH]]&lt;&gt;E156,Dates_Ref[[#This Row],[Start]]+18,"")</f>
        <v>46003</v>
      </c>
      <c r="H157">
        <f>WEEKDAY(Dates_Ref[[#This Row],[Start]],2)</f>
        <v>1</v>
      </c>
      <c r="I157">
        <f>WEEKNUM(Dates_Ref[[#This Row],[Start]],21)</f>
        <v>48</v>
      </c>
    </row>
    <row r="158" spans="2:9" x14ac:dyDescent="0.25">
      <c r="B158">
        <f>MONTH(Dates_Ref[[#This Row],[Start]])</f>
        <v>12</v>
      </c>
      <c r="C158" s="5">
        <f t="shared" si="3"/>
        <v>45992</v>
      </c>
      <c r="D158" s="2">
        <v>49</v>
      </c>
      <c r="E158">
        <v>25</v>
      </c>
      <c r="G158" s="5" t="str">
        <f>IF(Dates_Ref[[#This Row],[Pay QCH]]&lt;&gt;E157,Dates_Ref[[#This Row],[Start]]+18,"")</f>
        <v/>
      </c>
      <c r="H158">
        <f>WEEKDAY(Dates_Ref[[#This Row],[Start]],2)</f>
        <v>1</v>
      </c>
      <c r="I158">
        <f>WEEKNUM(Dates_Ref[[#This Row],[Start]],21)</f>
        <v>49</v>
      </c>
    </row>
    <row r="159" spans="2:9" x14ac:dyDescent="0.25">
      <c r="B159">
        <f>MONTH(Dates_Ref[[#This Row],[Start]])</f>
        <v>12</v>
      </c>
      <c r="C159" s="5">
        <f t="shared" si="3"/>
        <v>45999</v>
      </c>
      <c r="D159" s="2">
        <v>50</v>
      </c>
      <c r="E159">
        <v>26</v>
      </c>
      <c r="F159" s="1">
        <v>46017</v>
      </c>
      <c r="G159" s="5">
        <f>IF(Dates_Ref[[#This Row],[Pay QCH]]&lt;&gt;E158,Dates_Ref[[#This Row],[Start]]+18,"")</f>
        <v>46017</v>
      </c>
      <c r="H159">
        <f>WEEKDAY(Dates_Ref[[#This Row],[Start]],2)</f>
        <v>1</v>
      </c>
      <c r="I159">
        <f>WEEKNUM(Dates_Ref[[#This Row],[Start]],21)</f>
        <v>50</v>
      </c>
    </row>
    <row r="160" spans="2:9" x14ac:dyDescent="0.25">
      <c r="B160">
        <f>MONTH(Dates_Ref[[#This Row],[Start]])</f>
        <v>12</v>
      </c>
      <c r="C160" s="5">
        <f t="shared" si="3"/>
        <v>46006</v>
      </c>
      <c r="D160" s="2">
        <v>51</v>
      </c>
      <c r="E160">
        <v>26</v>
      </c>
      <c r="G160" s="5" t="str">
        <f>IF(Dates_Ref[[#This Row],[Pay QCH]]&lt;&gt;E159,Dates_Ref[[#This Row],[Start]]+18,"")</f>
        <v/>
      </c>
      <c r="H160">
        <f>WEEKDAY(Dates_Ref[[#This Row],[Start]],2)</f>
        <v>1</v>
      </c>
      <c r="I160">
        <f>WEEKNUM(Dates_Ref[[#This Row],[Start]],21)</f>
        <v>51</v>
      </c>
    </row>
    <row r="161" spans="2:9" x14ac:dyDescent="0.25">
      <c r="B161">
        <f>MONTH(Dates_Ref[[#This Row],[Start]])</f>
        <v>12</v>
      </c>
      <c r="C161" s="5">
        <f t="shared" si="3"/>
        <v>46013</v>
      </c>
      <c r="D161" s="2">
        <v>52</v>
      </c>
      <c r="E161">
        <v>1</v>
      </c>
      <c r="F161" s="1">
        <v>46031</v>
      </c>
      <c r="G161" s="5">
        <f>IF(Dates_Ref[[#This Row],[Pay QCH]]&lt;&gt;E160,Dates_Ref[[#This Row],[Start]]+18,"")</f>
        <v>46031</v>
      </c>
      <c r="H161">
        <f>WEEKDAY(Dates_Ref[[#This Row],[Start]],2)</f>
        <v>1</v>
      </c>
      <c r="I161">
        <f>WEEKNUM(Dates_Ref[[#This Row],[Start]],21)</f>
        <v>52</v>
      </c>
    </row>
    <row r="162" spans="2:9" x14ac:dyDescent="0.25">
      <c r="B162">
        <f>MONTH(Dates_Ref[[#This Row],[Start]])</f>
        <v>12</v>
      </c>
      <c r="C162" s="5">
        <f t="shared" si="3"/>
        <v>46020</v>
      </c>
      <c r="D162" s="2">
        <v>1</v>
      </c>
      <c r="E162">
        <v>1</v>
      </c>
      <c r="G162" s="5" t="str">
        <f>IF(Dates_Ref[[#This Row],[Pay QCH]]&lt;&gt;E161,Dates_Ref[[#This Row],[Start]]+18,"")</f>
        <v/>
      </c>
      <c r="H162">
        <f>WEEKDAY(Dates_Ref[[#This Row],[Start]],2)</f>
        <v>1</v>
      </c>
      <c r="I162">
        <f>WEEKNUM(Dates_Ref[[#This Row],[Start]],21)</f>
        <v>1</v>
      </c>
    </row>
    <row r="163" spans="2:9" x14ac:dyDescent="0.25">
      <c r="B163">
        <f>MONTH(Dates_Ref[[#This Row],[Start]])</f>
        <v>1</v>
      </c>
      <c r="C163" s="5">
        <f t="shared" si="3"/>
        <v>46027</v>
      </c>
      <c r="D163" s="2">
        <v>2</v>
      </c>
      <c r="E163">
        <v>2</v>
      </c>
      <c r="F163" s="1">
        <v>46045</v>
      </c>
      <c r="G163" s="5">
        <f>IF(Dates_Ref[[#This Row],[Pay QCH]]&lt;&gt;E162,Dates_Ref[[#This Row],[Start]]+18,"")</f>
        <v>46045</v>
      </c>
      <c r="H163">
        <f>WEEKDAY(Dates_Ref[[#This Row],[Start]],2)</f>
        <v>1</v>
      </c>
      <c r="I163">
        <f>WEEKNUM(Dates_Ref[[#This Row],[Start]],21)</f>
        <v>2</v>
      </c>
    </row>
    <row r="164" spans="2:9" x14ac:dyDescent="0.25">
      <c r="B164">
        <f>MONTH(Dates_Ref[[#This Row],[Start]])</f>
        <v>1</v>
      </c>
      <c r="C164" s="5">
        <f t="shared" si="3"/>
        <v>46034</v>
      </c>
      <c r="D164" s="2">
        <v>3</v>
      </c>
      <c r="E164">
        <v>2</v>
      </c>
      <c r="G164" s="5" t="str">
        <f>IF(Dates_Ref[[#This Row],[Pay QCH]]&lt;&gt;E163,Dates_Ref[[#This Row],[Start]]+18,"")</f>
        <v/>
      </c>
      <c r="H164">
        <f>WEEKDAY(Dates_Ref[[#This Row],[Start]],2)</f>
        <v>1</v>
      </c>
      <c r="I164">
        <f>WEEKNUM(Dates_Ref[[#This Row],[Start]],21)</f>
        <v>3</v>
      </c>
    </row>
    <row r="165" spans="2:9" x14ac:dyDescent="0.25">
      <c r="B165">
        <f>MONTH(Dates_Ref[[#This Row],[Start]])</f>
        <v>1</v>
      </c>
      <c r="C165" s="5">
        <f t="shared" si="3"/>
        <v>46041</v>
      </c>
      <c r="D165" s="2">
        <v>4</v>
      </c>
      <c r="E165">
        <v>3</v>
      </c>
      <c r="F165" s="1">
        <v>46059</v>
      </c>
      <c r="G165" s="5">
        <f>IF(Dates_Ref[[#This Row],[Pay QCH]]&lt;&gt;E164,Dates_Ref[[#This Row],[Start]]+18,"")</f>
        <v>46059</v>
      </c>
      <c r="H165">
        <f>WEEKDAY(Dates_Ref[[#This Row],[Start]],2)</f>
        <v>1</v>
      </c>
      <c r="I165">
        <f>WEEKNUM(Dates_Ref[[#This Row],[Start]],21)</f>
        <v>4</v>
      </c>
    </row>
    <row r="166" spans="2:9" x14ac:dyDescent="0.25">
      <c r="B166">
        <f>MONTH(Dates_Ref[[#This Row],[Start]])</f>
        <v>1</v>
      </c>
      <c r="C166" s="5">
        <f t="shared" si="3"/>
        <v>46048</v>
      </c>
      <c r="D166" s="2">
        <v>5</v>
      </c>
      <c r="E166">
        <v>3</v>
      </c>
      <c r="G166" s="5" t="str">
        <f>IF(Dates_Ref[[#This Row],[Pay QCH]]&lt;&gt;E165,Dates_Ref[[#This Row],[Start]]+18,"")</f>
        <v/>
      </c>
      <c r="H166">
        <f>WEEKDAY(Dates_Ref[[#This Row],[Start]],2)</f>
        <v>1</v>
      </c>
      <c r="I166">
        <f>WEEKNUM(Dates_Ref[[#This Row],[Start]],21)</f>
        <v>5</v>
      </c>
    </row>
    <row r="167" spans="2:9" x14ac:dyDescent="0.25">
      <c r="B167">
        <f>MONTH(Dates_Ref[[#This Row],[Start]])</f>
        <v>2</v>
      </c>
      <c r="C167" s="5">
        <f t="shared" si="3"/>
        <v>46055</v>
      </c>
      <c r="D167" s="2">
        <v>6</v>
      </c>
      <c r="E167">
        <v>4</v>
      </c>
      <c r="F167" s="1">
        <v>46073</v>
      </c>
      <c r="G167" s="5">
        <f>IF(Dates_Ref[[#This Row],[Pay QCH]]&lt;&gt;E166,Dates_Ref[[#This Row],[Start]]+18,"")</f>
        <v>46073</v>
      </c>
      <c r="H167">
        <f>WEEKDAY(Dates_Ref[[#This Row],[Start]],2)</f>
        <v>1</v>
      </c>
      <c r="I167">
        <f>WEEKNUM(Dates_Ref[[#This Row],[Start]],21)</f>
        <v>6</v>
      </c>
    </row>
    <row r="168" spans="2:9" x14ac:dyDescent="0.25">
      <c r="B168">
        <f>MONTH(Dates_Ref[[#This Row],[Start]])</f>
        <v>2</v>
      </c>
      <c r="C168" s="5">
        <f t="shared" si="3"/>
        <v>46062</v>
      </c>
      <c r="D168" s="2">
        <v>7</v>
      </c>
      <c r="E168">
        <v>4</v>
      </c>
      <c r="G168" s="5" t="str">
        <f>IF(Dates_Ref[[#This Row],[Pay QCH]]&lt;&gt;E167,Dates_Ref[[#This Row],[Start]]+18,"")</f>
        <v/>
      </c>
      <c r="H168">
        <f>WEEKDAY(Dates_Ref[[#This Row],[Start]],2)</f>
        <v>1</v>
      </c>
      <c r="I168">
        <f>WEEKNUM(Dates_Ref[[#This Row],[Start]],21)</f>
        <v>7</v>
      </c>
    </row>
    <row r="169" spans="2:9" x14ac:dyDescent="0.25">
      <c r="B169">
        <f>MONTH(Dates_Ref[[#This Row],[Start]])</f>
        <v>2</v>
      </c>
      <c r="C169" s="5">
        <f t="shared" si="3"/>
        <v>46069</v>
      </c>
      <c r="D169" s="2">
        <v>8</v>
      </c>
      <c r="E169">
        <v>5</v>
      </c>
      <c r="F169" s="1">
        <v>46087</v>
      </c>
      <c r="G169" s="5">
        <f>IF(Dates_Ref[[#This Row],[Pay QCH]]&lt;&gt;E168,Dates_Ref[[#This Row],[Start]]+18,"")</f>
        <v>46087</v>
      </c>
      <c r="H169">
        <f>WEEKDAY(Dates_Ref[[#This Row],[Start]],2)</f>
        <v>1</v>
      </c>
      <c r="I169">
        <f>WEEKNUM(Dates_Ref[[#This Row],[Start]],21)</f>
        <v>8</v>
      </c>
    </row>
    <row r="170" spans="2:9" x14ac:dyDescent="0.25">
      <c r="B170">
        <f>MONTH(Dates_Ref[[#This Row],[Start]])</f>
        <v>2</v>
      </c>
      <c r="C170" s="5">
        <f t="shared" si="3"/>
        <v>46076</v>
      </c>
      <c r="D170" s="2">
        <v>9</v>
      </c>
      <c r="E170">
        <v>5</v>
      </c>
      <c r="G170" s="5" t="str">
        <f>IF(Dates_Ref[[#This Row],[Pay QCH]]&lt;&gt;E169,Dates_Ref[[#This Row],[Start]]+18,"")</f>
        <v/>
      </c>
      <c r="H170">
        <f>WEEKDAY(Dates_Ref[[#This Row],[Start]],2)</f>
        <v>1</v>
      </c>
      <c r="I170">
        <f>WEEKNUM(Dates_Ref[[#This Row],[Start]],21)</f>
        <v>9</v>
      </c>
    </row>
    <row r="171" spans="2:9" x14ac:dyDescent="0.25">
      <c r="B171">
        <f>MONTH(Dates_Ref[[#This Row],[Start]])</f>
        <v>3</v>
      </c>
      <c r="C171" s="5">
        <f t="shared" si="3"/>
        <v>46083</v>
      </c>
      <c r="D171" s="2">
        <v>10</v>
      </c>
      <c r="E171">
        <v>6</v>
      </c>
      <c r="F171" s="1">
        <v>46101</v>
      </c>
      <c r="G171" s="5">
        <f>IF(Dates_Ref[[#This Row],[Pay QCH]]&lt;&gt;E170,Dates_Ref[[#This Row],[Start]]+18,"")</f>
        <v>46101</v>
      </c>
      <c r="H171">
        <f>WEEKDAY(Dates_Ref[[#This Row],[Start]],2)</f>
        <v>1</v>
      </c>
      <c r="I171">
        <f>WEEKNUM(Dates_Ref[[#This Row],[Start]],21)</f>
        <v>10</v>
      </c>
    </row>
    <row r="172" spans="2:9" x14ac:dyDescent="0.25">
      <c r="B172">
        <f>MONTH(Dates_Ref[[#This Row],[Start]])</f>
        <v>3</v>
      </c>
      <c r="C172" s="5">
        <f t="shared" si="3"/>
        <v>46090</v>
      </c>
      <c r="D172" s="2">
        <v>11</v>
      </c>
      <c r="E172">
        <v>6</v>
      </c>
      <c r="G172" s="5" t="str">
        <f>IF(Dates_Ref[[#This Row],[Pay QCH]]&lt;&gt;E171,Dates_Ref[[#This Row],[Start]]+18,"")</f>
        <v/>
      </c>
      <c r="H172">
        <f>WEEKDAY(Dates_Ref[[#This Row],[Start]],2)</f>
        <v>1</v>
      </c>
      <c r="I172">
        <f>WEEKNUM(Dates_Ref[[#This Row],[Start]],21)</f>
        <v>11</v>
      </c>
    </row>
    <row r="173" spans="2:9" x14ac:dyDescent="0.25">
      <c r="B173">
        <f>MONTH(Dates_Ref[[#This Row],[Start]])</f>
        <v>3</v>
      </c>
      <c r="C173" s="5">
        <f t="shared" si="3"/>
        <v>46097</v>
      </c>
      <c r="D173" s="2">
        <v>12</v>
      </c>
      <c r="E173">
        <v>7</v>
      </c>
      <c r="F173" s="1">
        <v>46115</v>
      </c>
      <c r="G173" s="5">
        <f>IF(Dates_Ref[[#This Row],[Pay QCH]]&lt;&gt;E172,Dates_Ref[[#This Row],[Start]]+18,"")</f>
        <v>46115</v>
      </c>
      <c r="H173">
        <f>WEEKDAY(Dates_Ref[[#This Row],[Start]],2)</f>
        <v>1</v>
      </c>
      <c r="I173">
        <f>WEEKNUM(Dates_Ref[[#This Row],[Start]],21)</f>
        <v>12</v>
      </c>
    </row>
    <row r="174" spans="2:9" x14ac:dyDescent="0.25">
      <c r="B174">
        <f>MONTH(Dates_Ref[[#This Row],[Start]])</f>
        <v>3</v>
      </c>
      <c r="C174" s="5">
        <f t="shared" si="3"/>
        <v>46104</v>
      </c>
      <c r="D174" s="2">
        <v>13</v>
      </c>
      <c r="E174">
        <v>7</v>
      </c>
      <c r="G174" s="5" t="str">
        <f>IF(Dates_Ref[[#This Row],[Pay QCH]]&lt;&gt;E173,Dates_Ref[[#This Row],[Start]]+18,"")</f>
        <v/>
      </c>
      <c r="H174">
        <f>WEEKDAY(Dates_Ref[[#This Row],[Start]],2)</f>
        <v>1</v>
      </c>
      <c r="I174">
        <f>WEEKNUM(Dates_Ref[[#This Row],[Start]],21)</f>
        <v>13</v>
      </c>
    </row>
    <row r="175" spans="2:9" x14ac:dyDescent="0.25">
      <c r="B175">
        <f>MONTH(Dates_Ref[[#This Row],[Start]])</f>
        <v>3</v>
      </c>
      <c r="C175" s="5">
        <f t="shared" si="3"/>
        <v>46111</v>
      </c>
      <c r="D175" s="2">
        <v>14</v>
      </c>
      <c r="E175">
        <v>8</v>
      </c>
      <c r="F175" s="1">
        <v>46129</v>
      </c>
      <c r="G175" s="5">
        <f>IF(Dates_Ref[[#This Row],[Pay QCH]]&lt;&gt;E174,Dates_Ref[[#This Row],[Start]]+18,"")</f>
        <v>46129</v>
      </c>
      <c r="H175">
        <f>WEEKDAY(Dates_Ref[[#This Row],[Start]],2)</f>
        <v>1</v>
      </c>
      <c r="I175">
        <f>WEEKNUM(Dates_Ref[[#This Row],[Start]],21)</f>
        <v>14</v>
      </c>
    </row>
    <row r="176" spans="2:9" x14ac:dyDescent="0.25">
      <c r="B176">
        <f>MONTH(Dates_Ref[[#This Row],[Start]])</f>
        <v>4</v>
      </c>
      <c r="C176" s="5">
        <f t="shared" si="3"/>
        <v>46118</v>
      </c>
      <c r="D176" s="2">
        <v>15</v>
      </c>
      <c r="E176">
        <v>8</v>
      </c>
      <c r="G176" s="5" t="str">
        <f>IF(Dates_Ref[[#This Row],[Pay QCH]]&lt;&gt;E175,Dates_Ref[[#This Row],[Start]]+18,"")</f>
        <v/>
      </c>
      <c r="H176">
        <f>WEEKDAY(Dates_Ref[[#This Row],[Start]],2)</f>
        <v>1</v>
      </c>
      <c r="I176">
        <f>WEEKNUM(Dates_Ref[[#This Row],[Start]],21)</f>
        <v>15</v>
      </c>
    </row>
    <row r="177" spans="2:9" x14ac:dyDescent="0.25">
      <c r="B177">
        <f>MONTH(Dates_Ref[[#This Row],[Start]])</f>
        <v>4</v>
      </c>
      <c r="C177" s="5">
        <f t="shared" si="3"/>
        <v>46125</v>
      </c>
      <c r="D177" s="2">
        <v>16</v>
      </c>
      <c r="E177">
        <v>9</v>
      </c>
      <c r="F177" s="1">
        <v>46143</v>
      </c>
      <c r="G177" s="5">
        <f>IF(Dates_Ref[[#This Row],[Pay QCH]]&lt;&gt;E176,Dates_Ref[[#This Row],[Start]]+18,"")</f>
        <v>46143</v>
      </c>
      <c r="H177">
        <f>WEEKDAY(Dates_Ref[[#This Row],[Start]],2)</f>
        <v>1</v>
      </c>
      <c r="I177">
        <f>WEEKNUM(Dates_Ref[[#This Row],[Start]],21)</f>
        <v>16</v>
      </c>
    </row>
    <row r="178" spans="2:9" x14ac:dyDescent="0.25">
      <c r="B178">
        <f>MONTH(Dates_Ref[[#This Row],[Start]])</f>
        <v>4</v>
      </c>
      <c r="C178" s="5">
        <f t="shared" si="3"/>
        <v>46132</v>
      </c>
      <c r="D178" s="2">
        <v>17</v>
      </c>
      <c r="E178">
        <v>9</v>
      </c>
      <c r="G178" s="5" t="str">
        <f>IF(Dates_Ref[[#This Row],[Pay QCH]]&lt;&gt;E177,Dates_Ref[[#This Row],[Start]]+18,"")</f>
        <v/>
      </c>
      <c r="H178">
        <f>WEEKDAY(Dates_Ref[[#This Row],[Start]],2)</f>
        <v>1</v>
      </c>
      <c r="I178">
        <f>WEEKNUM(Dates_Ref[[#This Row],[Start]],21)</f>
        <v>17</v>
      </c>
    </row>
    <row r="179" spans="2:9" x14ac:dyDescent="0.25">
      <c r="B179">
        <f>MONTH(Dates_Ref[[#This Row],[Start]])</f>
        <v>4</v>
      </c>
      <c r="C179" s="5">
        <f t="shared" si="3"/>
        <v>46139</v>
      </c>
      <c r="D179" s="2">
        <v>18</v>
      </c>
      <c r="E179">
        <v>10</v>
      </c>
      <c r="F179" s="1">
        <v>46157</v>
      </c>
      <c r="G179" s="5">
        <f>IF(Dates_Ref[[#This Row],[Pay QCH]]&lt;&gt;E178,Dates_Ref[[#This Row],[Start]]+18,"")</f>
        <v>46157</v>
      </c>
      <c r="H179">
        <f>WEEKDAY(Dates_Ref[[#This Row],[Start]],2)</f>
        <v>1</v>
      </c>
      <c r="I179">
        <f>WEEKNUM(Dates_Ref[[#This Row],[Start]],21)</f>
        <v>18</v>
      </c>
    </row>
    <row r="180" spans="2:9" x14ac:dyDescent="0.25">
      <c r="B180">
        <f>MONTH(Dates_Ref[[#This Row],[Start]])</f>
        <v>5</v>
      </c>
      <c r="C180" s="5">
        <f t="shared" si="3"/>
        <v>46146</v>
      </c>
      <c r="D180" s="2">
        <v>19</v>
      </c>
      <c r="E180">
        <v>10</v>
      </c>
      <c r="G180" s="5" t="str">
        <f>IF(Dates_Ref[[#This Row],[Pay QCH]]&lt;&gt;E179,Dates_Ref[[#This Row],[Start]]+18,"")</f>
        <v/>
      </c>
      <c r="H180">
        <f>WEEKDAY(Dates_Ref[[#This Row],[Start]],2)</f>
        <v>1</v>
      </c>
      <c r="I180">
        <f>WEEKNUM(Dates_Ref[[#This Row],[Start]],21)</f>
        <v>19</v>
      </c>
    </row>
    <row r="181" spans="2:9" x14ac:dyDescent="0.25">
      <c r="B181">
        <f>MONTH(Dates_Ref[[#This Row],[Start]])</f>
        <v>5</v>
      </c>
      <c r="C181" s="5">
        <f t="shared" si="3"/>
        <v>46153</v>
      </c>
      <c r="D181" s="2">
        <v>20</v>
      </c>
      <c r="E181">
        <v>11</v>
      </c>
      <c r="F181" s="1">
        <v>46171</v>
      </c>
      <c r="G181" s="5">
        <f>IF(Dates_Ref[[#This Row],[Pay QCH]]&lt;&gt;E180,Dates_Ref[[#This Row],[Start]]+18,"")</f>
        <v>46171</v>
      </c>
      <c r="H181">
        <f>WEEKDAY(Dates_Ref[[#This Row],[Start]],2)</f>
        <v>1</v>
      </c>
      <c r="I181">
        <f>WEEKNUM(Dates_Ref[[#This Row],[Start]],21)</f>
        <v>20</v>
      </c>
    </row>
    <row r="182" spans="2:9" x14ac:dyDescent="0.25">
      <c r="B182">
        <f>MONTH(Dates_Ref[[#This Row],[Start]])</f>
        <v>5</v>
      </c>
      <c r="C182" s="5">
        <f t="shared" si="3"/>
        <v>46160</v>
      </c>
      <c r="D182" s="2">
        <v>21</v>
      </c>
      <c r="E182">
        <v>11</v>
      </c>
      <c r="G182" s="5" t="str">
        <f>IF(Dates_Ref[[#This Row],[Pay QCH]]&lt;&gt;E181,Dates_Ref[[#This Row],[Start]]+18,"")</f>
        <v/>
      </c>
      <c r="H182">
        <f>WEEKDAY(Dates_Ref[[#This Row],[Start]],2)</f>
        <v>1</v>
      </c>
      <c r="I182">
        <f>WEEKNUM(Dates_Ref[[#This Row],[Start]],21)</f>
        <v>21</v>
      </c>
    </row>
    <row r="183" spans="2:9" x14ac:dyDescent="0.25">
      <c r="B183">
        <f>MONTH(Dates_Ref[[#This Row],[Start]])</f>
        <v>5</v>
      </c>
      <c r="C183" s="5">
        <f t="shared" si="3"/>
        <v>46167</v>
      </c>
      <c r="D183" s="2">
        <v>22</v>
      </c>
      <c r="E183">
        <v>12</v>
      </c>
      <c r="F183" s="1">
        <v>46185</v>
      </c>
      <c r="G183" s="5">
        <f>IF(Dates_Ref[[#This Row],[Pay QCH]]&lt;&gt;E182,Dates_Ref[[#This Row],[Start]]+18,"")</f>
        <v>46185</v>
      </c>
      <c r="H183">
        <f>WEEKDAY(Dates_Ref[[#This Row],[Start]],2)</f>
        <v>1</v>
      </c>
      <c r="I183">
        <f>WEEKNUM(Dates_Ref[[#This Row],[Start]],21)</f>
        <v>22</v>
      </c>
    </row>
    <row r="184" spans="2:9" x14ac:dyDescent="0.25">
      <c r="B184">
        <f>MONTH(Dates_Ref[[#This Row],[Start]])</f>
        <v>6</v>
      </c>
      <c r="C184" s="5">
        <f t="shared" si="3"/>
        <v>46174</v>
      </c>
      <c r="D184" s="2">
        <v>23</v>
      </c>
      <c r="E184">
        <v>12</v>
      </c>
      <c r="G184" s="5" t="str">
        <f>IF(Dates_Ref[[#This Row],[Pay QCH]]&lt;&gt;E183,Dates_Ref[[#This Row],[Start]]+18,"")</f>
        <v/>
      </c>
      <c r="H184">
        <f>WEEKDAY(Dates_Ref[[#This Row],[Start]],2)</f>
        <v>1</v>
      </c>
      <c r="I184">
        <f>WEEKNUM(Dates_Ref[[#This Row],[Start]],21)</f>
        <v>23</v>
      </c>
    </row>
    <row r="185" spans="2:9" x14ac:dyDescent="0.25">
      <c r="B185">
        <f>MONTH(Dates_Ref[[#This Row],[Start]])</f>
        <v>6</v>
      </c>
      <c r="C185" s="5">
        <f t="shared" si="3"/>
        <v>46181</v>
      </c>
      <c r="D185" s="2">
        <v>24</v>
      </c>
      <c r="E185">
        <v>13</v>
      </c>
      <c r="F185" s="1">
        <v>46199</v>
      </c>
      <c r="G185" s="5">
        <f>IF(Dates_Ref[[#This Row],[Pay QCH]]&lt;&gt;E184,Dates_Ref[[#This Row],[Start]]+18,"")</f>
        <v>46199</v>
      </c>
      <c r="H185">
        <f>WEEKDAY(Dates_Ref[[#This Row],[Start]],2)</f>
        <v>1</v>
      </c>
      <c r="I185">
        <f>WEEKNUM(Dates_Ref[[#This Row],[Start]],21)</f>
        <v>24</v>
      </c>
    </row>
    <row r="186" spans="2:9" x14ac:dyDescent="0.25">
      <c r="B186">
        <f>MONTH(Dates_Ref[[#This Row],[Start]])</f>
        <v>6</v>
      </c>
      <c r="C186" s="5">
        <f t="shared" si="3"/>
        <v>46188</v>
      </c>
      <c r="D186" s="2">
        <v>25</v>
      </c>
      <c r="E186">
        <v>13</v>
      </c>
      <c r="G186" s="5" t="str">
        <f>IF(Dates_Ref[[#This Row],[Pay QCH]]&lt;&gt;E185,Dates_Ref[[#This Row],[Start]]+18,"")</f>
        <v/>
      </c>
      <c r="H186">
        <f>WEEKDAY(Dates_Ref[[#This Row],[Start]],2)</f>
        <v>1</v>
      </c>
      <c r="I186">
        <f>WEEKNUM(Dates_Ref[[#This Row],[Start]],21)</f>
        <v>25</v>
      </c>
    </row>
    <row r="187" spans="2:9" x14ac:dyDescent="0.25">
      <c r="B187">
        <f>MONTH(Dates_Ref[[#This Row],[Start]])</f>
        <v>6</v>
      </c>
      <c r="C187" s="5">
        <f t="shared" si="3"/>
        <v>46195</v>
      </c>
      <c r="D187" s="2">
        <v>26</v>
      </c>
      <c r="E187">
        <v>14</v>
      </c>
      <c r="F187" s="1">
        <v>46213</v>
      </c>
      <c r="G187" s="5">
        <f>IF(Dates_Ref[[#This Row],[Pay QCH]]&lt;&gt;E186,Dates_Ref[[#This Row],[Start]]+18,"")</f>
        <v>46213</v>
      </c>
      <c r="H187">
        <f>WEEKDAY(Dates_Ref[[#This Row],[Start]],2)</f>
        <v>1</v>
      </c>
      <c r="I187">
        <f>WEEKNUM(Dates_Ref[[#This Row],[Start]],21)</f>
        <v>26</v>
      </c>
    </row>
    <row r="188" spans="2:9" x14ac:dyDescent="0.25">
      <c r="B188">
        <f>MONTH(Dates_Ref[[#This Row],[Start]])</f>
        <v>6</v>
      </c>
      <c r="C188" s="5">
        <f t="shared" si="3"/>
        <v>46202</v>
      </c>
      <c r="D188" s="2">
        <v>27</v>
      </c>
      <c r="E188">
        <v>14</v>
      </c>
      <c r="G188" s="5" t="str">
        <f>IF(Dates_Ref[[#This Row],[Pay QCH]]&lt;&gt;E187,Dates_Ref[[#This Row],[Start]]+18,"")</f>
        <v/>
      </c>
      <c r="H188">
        <f>WEEKDAY(Dates_Ref[[#This Row],[Start]],2)</f>
        <v>1</v>
      </c>
      <c r="I188">
        <f>WEEKNUM(Dates_Ref[[#This Row],[Start]],21)</f>
        <v>27</v>
      </c>
    </row>
    <row r="189" spans="2:9" x14ac:dyDescent="0.25">
      <c r="B189">
        <f>MONTH(Dates_Ref[[#This Row],[Start]])</f>
        <v>7</v>
      </c>
      <c r="C189" s="5">
        <f t="shared" si="3"/>
        <v>46209</v>
      </c>
      <c r="D189" s="2">
        <v>28</v>
      </c>
      <c r="E189">
        <v>15</v>
      </c>
      <c r="F189" s="1">
        <v>46227</v>
      </c>
      <c r="G189" s="5">
        <f>IF(Dates_Ref[[#This Row],[Pay QCH]]&lt;&gt;E188,Dates_Ref[[#This Row],[Start]]+18,"")</f>
        <v>46227</v>
      </c>
      <c r="H189">
        <f>WEEKDAY(Dates_Ref[[#This Row],[Start]],2)</f>
        <v>1</v>
      </c>
      <c r="I189">
        <f>WEEKNUM(Dates_Ref[[#This Row],[Start]],21)</f>
        <v>28</v>
      </c>
    </row>
    <row r="190" spans="2:9" x14ac:dyDescent="0.25">
      <c r="B190">
        <f>MONTH(Dates_Ref[[#This Row],[Start]])</f>
        <v>7</v>
      </c>
      <c r="C190" s="5">
        <f t="shared" si="3"/>
        <v>46216</v>
      </c>
      <c r="D190" s="2">
        <v>29</v>
      </c>
      <c r="E190">
        <v>15</v>
      </c>
      <c r="G190" s="5" t="str">
        <f>IF(Dates_Ref[[#This Row],[Pay QCH]]&lt;&gt;E189,Dates_Ref[[#This Row],[Start]]+18,"")</f>
        <v/>
      </c>
      <c r="H190">
        <f>WEEKDAY(Dates_Ref[[#This Row],[Start]],2)</f>
        <v>1</v>
      </c>
      <c r="I190">
        <f>WEEKNUM(Dates_Ref[[#This Row],[Start]],21)</f>
        <v>29</v>
      </c>
    </row>
    <row r="191" spans="2:9" x14ac:dyDescent="0.25">
      <c r="B191">
        <f>MONTH(Dates_Ref[[#This Row],[Start]])</f>
        <v>7</v>
      </c>
      <c r="C191" s="5">
        <f t="shared" si="3"/>
        <v>46223</v>
      </c>
      <c r="D191" s="2">
        <v>30</v>
      </c>
      <c r="E191">
        <v>16</v>
      </c>
      <c r="F191" s="1">
        <v>46241</v>
      </c>
      <c r="G191" s="5">
        <f>IF(Dates_Ref[[#This Row],[Pay QCH]]&lt;&gt;E190,Dates_Ref[[#This Row],[Start]]+18,"")</f>
        <v>46241</v>
      </c>
      <c r="H191">
        <f>WEEKDAY(Dates_Ref[[#This Row],[Start]],2)</f>
        <v>1</v>
      </c>
      <c r="I191">
        <f>WEEKNUM(Dates_Ref[[#This Row],[Start]],21)</f>
        <v>30</v>
      </c>
    </row>
    <row r="192" spans="2:9" x14ac:dyDescent="0.25">
      <c r="B192">
        <f>MONTH(Dates_Ref[[#This Row],[Start]])</f>
        <v>7</v>
      </c>
      <c r="C192" s="5">
        <f t="shared" si="3"/>
        <v>46230</v>
      </c>
      <c r="D192" s="2">
        <v>31</v>
      </c>
      <c r="E192">
        <v>16</v>
      </c>
      <c r="G192" s="5" t="str">
        <f>IF(Dates_Ref[[#This Row],[Pay QCH]]&lt;&gt;E191,Dates_Ref[[#This Row],[Start]]+18,"")</f>
        <v/>
      </c>
      <c r="H192">
        <f>WEEKDAY(Dates_Ref[[#This Row],[Start]],2)</f>
        <v>1</v>
      </c>
      <c r="I192">
        <f>WEEKNUM(Dates_Ref[[#This Row],[Start]],21)</f>
        <v>31</v>
      </c>
    </row>
    <row r="193" spans="2:9" x14ac:dyDescent="0.25">
      <c r="B193">
        <f>MONTH(Dates_Ref[[#This Row],[Start]])</f>
        <v>8</v>
      </c>
      <c r="C193" s="5">
        <f t="shared" si="3"/>
        <v>46237</v>
      </c>
      <c r="D193" s="2">
        <v>32</v>
      </c>
      <c r="E193">
        <v>17</v>
      </c>
      <c r="F193" s="1">
        <v>46255</v>
      </c>
      <c r="G193" s="5">
        <f>IF(Dates_Ref[[#This Row],[Pay QCH]]&lt;&gt;E192,Dates_Ref[[#This Row],[Start]]+18,"")</f>
        <v>46255</v>
      </c>
      <c r="H193">
        <f>WEEKDAY(Dates_Ref[[#This Row],[Start]],2)</f>
        <v>1</v>
      </c>
      <c r="I193">
        <f>WEEKNUM(Dates_Ref[[#This Row],[Start]],21)</f>
        <v>32</v>
      </c>
    </row>
    <row r="194" spans="2:9" x14ac:dyDescent="0.25">
      <c r="B194">
        <f>MONTH(Dates_Ref[[#This Row],[Start]])</f>
        <v>8</v>
      </c>
      <c r="C194" s="5">
        <f t="shared" si="3"/>
        <v>46244</v>
      </c>
      <c r="D194" s="2">
        <v>33</v>
      </c>
      <c r="E194">
        <v>17</v>
      </c>
      <c r="G194" s="5" t="str">
        <f>IF(Dates_Ref[[#This Row],[Pay QCH]]&lt;&gt;E193,Dates_Ref[[#This Row],[Start]]+18,"")</f>
        <v/>
      </c>
      <c r="H194">
        <f>WEEKDAY(Dates_Ref[[#This Row],[Start]],2)</f>
        <v>1</v>
      </c>
      <c r="I194">
        <f>WEEKNUM(Dates_Ref[[#This Row],[Start]],21)</f>
        <v>33</v>
      </c>
    </row>
    <row r="195" spans="2:9" x14ac:dyDescent="0.25">
      <c r="B195">
        <f>MONTH(Dates_Ref[[#This Row],[Start]])</f>
        <v>8</v>
      </c>
      <c r="C195" s="5">
        <f t="shared" si="3"/>
        <v>46251</v>
      </c>
      <c r="D195" s="2">
        <v>34</v>
      </c>
      <c r="E195">
        <v>18</v>
      </c>
      <c r="F195" s="1">
        <v>46269</v>
      </c>
      <c r="G195" s="5">
        <f>IF(Dates_Ref[[#This Row],[Pay QCH]]&lt;&gt;E194,Dates_Ref[[#This Row],[Start]]+18,"")</f>
        <v>46269</v>
      </c>
      <c r="H195">
        <f>WEEKDAY(Dates_Ref[[#This Row],[Start]],2)</f>
        <v>1</v>
      </c>
      <c r="I195">
        <f>WEEKNUM(Dates_Ref[[#This Row],[Start]],21)</f>
        <v>34</v>
      </c>
    </row>
    <row r="196" spans="2:9" x14ac:dyDescent="0.25">
      <c r="B196">
        <f>MONTH(Dates_Ref[[#This Row],[Start]])</f>
        <v>8</v>
      </c>
      <c r="C196" s="5">
        <f t="shared" si="3"/>
        <v>46258</v>
      </c>
      <c r="D196" s="2">
        <v>35</v>
      </c>
      <c r="E196">
        <v>18</v>
      </c>
      <c r="G196" s="5" t="str">
        <f>IF(Dates_Ref[[#This Row],[Pay QCH]]&lt;&gt;E195,Dates_Ref[[#This Row],[Start]]+18,"")</f>
        <v/>
      </c>
      <c r="H196">
        <f>WEEKDAY(Dates_Ref[[#This Row],[Start]],2)</f>
        <v>1</v>
      </c>
      <c r="I196">
        <f>WEEKNUM(Dates_Ref[[#This Row],[Start]],21)</f>
        <v>35</v>
      </c>
    </row>
    <row r="197" spans="2:9" x14ac:dyDescent="0.25">
      <c r="B197">
        <f>MONTH(Dates_Ref[[#This Row],[Start]])</f>
        <v>8</v>
      </c>
      <c r="C197" s="5">
        <f t="shared" si="3"/>
        <v>46265</v>
      </c>
      <c r="D197" s="2">
        <v>36</v>
      </c>
      <c r="E197">
        <v>19</v>
      </c>
      <c r="F197" s="1">
        <v>46283</v>
      </c>
      <c r="G197" s="5">
        <f>IF(Dates_Ref[[#This Row],[Pay QCH]]&lt;&gt;E196,Dates_Ref[[#This Row],[Start]]+18,"")</f>
        <v>46283</v>
      </c>
      <c r="H197">
        <f>WEEKDAY(Dates_Ref[[#This Row],[Start]],2)</f>
        <v>1</v>
      </c>
      <c r="I197">
        <f>WEEKNUM(Dates_Ref[[#This Row],[Start]],21)</f>
        <v>36</v>
      </c>
    </row>
    <row r="198" spans="2:9" x14ac:dyDescent="0.25">
      <c r="B198">
        <f>MONTH(Dates_Ref[[#This Row],[Start]])</f>
        <v>9</v>
      </c>
      <c r="C198" s="5">
        <f t="shared" si="3"/>
        <v>46272</v>
      </c>
      <c r="D198" s="2">
        <v>37</v>
      </c>
      <c r="E198">
        <v>19</v>
      </c>
      <c r="G198" s="5" t="str">
        <f>IF(Dates_Ref[[#This Row],[Pay QCH]]&lt;&gt;E197,Dates_Ref[[#This Row],[Start]]+18,"")</f>
        <v/>
      </c>
      <c r="H198">
        <f>WEEKDAY(Dates_Ref[[#This Row],[Start]],2)</f>
        <v>1</v>
      </c>
      <c r="I198">
        <f>WEEKNUM(Dates_Ref[[#This Row],[Start]],21)</f>
        <v>37</v>
      </c>
    </row>
    <row r="199" spans="2:9" x14ac:dyDescent="0.25">
      <c r="B199">
        <f>MONTH(Dates_Ref[[#This Row],[Start]])</f>
        <v>9</v>
      </c>
      <c r="C199" s="5">
        <f t="shared" ref="C199:C262" si="4">C198+7</f>
        <v>46279</v>
      </c>
      <c r="D199" s="2">
        <v>38</v>
      </c>
      <c r="E199">
        <v>20</v>
      </c>
      <c r="F199" s="1">
        <v>46297</v>
      </c>
      <c r="G199" s="5">
        <f>IF(Dates_Ref[[#This Row],[Pay QCH]]&lt;&gt;E198,Dates_Ref[[#This Row],[Start]]+18,"")</f>
        <v>46297</v>
      </c>
      <c r="H199">
        <f>WEEKDAY(Dates_Ref[[#This Row],[Start]],2)</f>
        <v>1</v>
      </c>
      <c r="I199">
        <f>WEEKNUM(Dates_Ref[[#This Row],[Start]],21)</f>
        <v>38</v>
      </c>
    </row>
    <row r="200" spans="2:9" x14ac:dyDescent="0.25">
      <c r="B200">
        <f>MONTH(Dates_Ref[[#This Row],[Start]])</f>
        <v>9</v>
      </c>
      <c r="C200" s="5">
        <f t="shared" si="4"/>
        <v>46286</v>
      </c>
      <c r="D200" s="2">
        <v>39</v>
      </c>
      <c r="E200">
        <v>20</v>
      </c>
      <c r="G200" s="5" t="str">
        <f>IF(Dates_Ref[[#This Row],[Pay QCH]]&lt;&gt;E199,Dates_Ref[[#This Row],[Start]]+18,"")</f>
        <v/>
      </c>
      <c r="H200">
        <f>WEEKDAY(Dates_Ref[[#This Row],[Start]],2)</f>
        <v>1</v>
      </c>
      <c r="I200">
        <f>WEEKNUM(Dates_Ref[[#This Row],[Start]],21)</f>
        <v>39</v>
      </c>
    </row>
    <row r="201" spans="2:9" x14ac:dyDescent="0.25">
      <c r="B201">
        <f>MONTH(Dates_Ref[[#This Row],[Start]])</f>
        <v>9</v>
      </c>
      <c r="C201" s="5">
        <f t="shared" si="4"/>
        <v>46293</v>
      </c>
      <c r="D201" s="2">
        <v>40</v>
      </c>
      <c r="E201">
        <v>21</v>
      </c>
      <c r="F201" s="1">
        <v>46311</v>
      </c>
      <c r="G201" s="5">
        <f>IF(Dates_Ref[[#This Row],[Pay QCH]]&lt;&gt;E200,Dates_Ref[[#This Row],[Start]]+18,"")</f>
        <v>46311</v>
      </c>
      <c r="H201">
        <f>WEEKDAY(Dates_Ref[[#This Row],[Start]],2)</f>
        <v>1</v>
      </c>
      <c r="I201">
        <f>WEEKNUM(Dates_Ref[[#This Row],[Start]],21)</f>
        <v>40</v>
      </c>
    </row>
    <row r="202" spans="2:9" x14ac:dyDescent="0.25">
      <c r="B202">
        <f>MONTH(Dates_Ref[[#This Row],[Start]])</f>
        <v>10</v>
      </c>
      <c r="C202" s="5">
        <f t="shared" si="4"/>
        <v>46300</v>
      </c>
      <c r="D202" s="2">
        <v>41</v>
      </c>
      <c r="E202">
        <v>21</v>
      </c>
      <c r="G202" s="5" t="str">
        <f>IF(Dates_Ref[[#This Row],[Pay QCH]]&lt;&gt;E201,Dates_Ref[[#This Row],[Start]]+18,"")</f>
        <v/>
      </c>
      <c r="H202">
        <f>WEEKDAY(Dates_Ref[[#This Row],[Start]],2)</f>
        <v>1</v>
      </c>
      <c r="I202">
        <f>WEEKNUM(Dates_Ref[[#This Row],[Start]],21)</f>
        <v>41</v>
      </c>
    </row>
    <row r="203" spans="2:9" x14ac:dyDescent="0.25">
      <c r="B203">
        <f>MONTH(Dates_Ref[[#This Row],[Start]])</f>
        <v>10</v>
      </c>
      <c r="C203" s="5">
        <f t="shared" si="4"/>
        <v>46307</v>
      </c>
      <c r="D203" s="2">
        <v>42</v>
      </c>
      <c r="E203">
        <v>22</v>
      </c>
      <c r="F203" s="1">
        <v>46325</v>
      </c>
      <c r="G203" s="5">
        <f>IF(Dates_Ref[[#This Row],[Pay QCH]]&lt;&gt;E202,Dates_Ref[[#This Row],[Start]]+18,"")</f>
        <v>46325</v>
      </c>
      <c r="H203">
        <f>WEEKDAY(Dates_Ref[[#This Row],[Start]],2)</f>
        <v>1</v>
      </c>
      <c r="I203">
        <f>WEEKNUM(Dates_Ref[[#This Row],[Start]],21)</f>
        <v>42</v>
      </c>
    </row>
    <row r="204" spans="2:9" x14ac:dyDescent="0.25">
      <c r="B204">
        <f>MONTH(Dates_Ref[[#This Row],[Start]])</f>
        <v>10</v>
      </c>
      <c r="C204" s="5">
        <f t="shared" si="4"/>
        <v>46314</v>
      </c>
      <c r="D204" s="2">
        <v>43</v>
      </c>
      <c r="E204">
        <v>22</v>
      </c>
      <c r="G204" s="5" t="str">
        <f>IF(Dates_Ref[[#This Row],[Pay QCH]]&lt;&gt;E203,Dates_Ref[[#This Row],[Start]]+18,"")</f>
        <v/>
      </c>
      <c r="H204">
        <f>WEEKDAY(Dates_Ref[[#This Row],[Start]],2)</f>
        <v>1</v>
      </c>
      <c r="I204">
        <f>WEEKNUM(Dates_Ref[[#This Row],[Start]],21)</f>
        <v>43</v>
      </c>
    </row>
    <row r="205" spans="2:9" x14ac:dyDescent="0.25">
      <c r="B205">
        <f>MONTH(Dates_Ref[[#This Row],[Start]])</f>
        <v>10</v>
      </c>
      <c r="C205" s="5">
        <f t="shared" si="4"/>
        <v>46321</v>
      </c>
      <c r="D205" s="2">
        <v>44</v>
      </c>
      <c r="E205">
        <v>23</v>
      </c>
      <c r="F205" s="1">
        <v>46339</v>
      </c>
      <c r="G205" s="5">
        <f>IF(Dates_Ref[[#This Row],[Pay QCH]]&lt;&gt;E204,Dates_Ref[[#This Row],[Start]]+18,"")</f>
        <v>46339</v>
      </c>
      <c r="H205">
        <f>WEEKDAY(Dates_Ref[[#This Row],[Start]],2)</f>
        <v>1</v>
      </c>
      <c r="I205">
        <f>WEEKNUM(Dates_Ref[[#This Row],[Start]],21)</f>
        <v>44</v>
      </c>
    </row>
    <row r="206" spans="2:9" x14ac:dyDescent="0.25">
      <c r="B206">
        <f>MONTH(Dates_Ref[[#This Row],[Start]])</f>
        <v>11</v>
      </c>
      <c r="C206" s="5">
        <f t="shared" si="4"/>
        <v>46328</v>
      </c>
      <c r="D206" s="2">
        <v>45</v>
      </c>
      <c r="E206">
        <v>23</v>
      </c>
      <c r="G206" s="5" t="str">
        <f>IF(Dates_Ref[[#This Row],[Pay QCH]]&lt;&gt;E205,Dates_Ref[[#This Row],[Start]]+18,"")</f>
        <v/>
      </c>
      <c r="H206">
        <f>WEEKDAY(Dates_Ref[[#This Row],[Start]],2)</f>
        <v>1</v>
      </c>
      <c r="I206">
        <f>WEEKNUM(Dates_Ref[[#This Row],[Start]],21)</f>
        <v>45</v>
      </c>
    </row>
    <row r="207" spans="2:9" x14ac:dyDescent="0.25">
      <c r="B207">
        <f>MONTH(Dates_Ref[[#This Row],[Start]])</f>
        <v>11</v>
      </c>
      <c r="C207" s="5">
        <f t="shared" si="4"/>
        <v>46335</v>
      </c>
      <c r="D207" s="2">
        <v>46</v>
      </c>
      <c r="E207">
        <v>24</v>
      </c>
      <c r="F207" s="1">
        <v>46353</v>
      </c>
      <c r="G207" s="5">
        <f>IF(Dates_Ref[[#This Row],[Pay QCH]]&lt;&gt;E206,Dates_Ref[[#This Row],[Start]]+18,"")</f>
        <v>46353</v>
      </c>
      <c r="H207">
        <f>WEEKDAY(Dates_Ref[[#This Row],[Start]],2)</f>
        <v>1</v>
      </c>
      <c r="I207">
        <f>WEEKNUM(Dates_Ref[[#This Row],[Start]],21)</f>
        <v>46</v>
      </c>
    </row>
    <row r="208" spans="2:9" x14ac:dyDescent="0.25">
      <c r="B208">
        <f>MONTH(Dates_Ref[[#This Row],[Start]])</f>
        <v>11</v>
      </c>
      <c r="C208" s="5">
        <f t="shared" si="4"/>
        <v>46342</v>
      </c>
      <c r="D208" s="2">
        <v>47</v>
      </c>
      <c r="E208">
        <v>24</v>
      </c>
      <c r="G208" s="5" t="str">
        <f>IF(Dates_Ref[[#This Row],[Pay QCH]]&lt;&gt;E207,Dates_Ref[[#This Row],[Start]]+18,"")</f>
        <v/>
      </c>
      <c r="H208">
        <f>WEEKDAY(Dates_Ref[[#This Row],[Start]],2)</f>
        <v>1</v>
      </c>
      <c r="I208">
        <f>WEEKNUM(Dates_Ref[[#This Row],[Start]],21)</f>
        <v>47</v>
      </c>
    </row>
    <row r="209" spans="2:9" x14ac:dyDescent="0.25">
      <c r="B209">
        <f>MONTH(Dates_Ref[[#This Row],[Start]])</f>
        <v>11</v>
      </c>
      <c r="C209" s="5">
        <f t="shared" si="4"/>
        <v>46349</v>
      </c>
      <c r="D209" s="2">
        <v>48</v>
      </c>
      <c r="E209">
        <v>25</v>
      </c>
      <c r="F209" s="1">
        <v>46367</v>
      </c>
      <c r="G209" s="5">
        <f>IF(Dates_Ref[[#This Row],[Pay QCH]]&lt;&gt;E208,Dates_Ref[[#This Row],[Start]]+18,"")</f>
        <v>46367</v>
      </c>
      <c r="H209">
        <f>WEEKDAY(Dates_Ref[[#This Row],[Start]],2)</f>
        <v>1</v>
      </c>
      <c r="I209">
        <f>WEEKNUM(Dates_Ref[[#This Row],[Start]],21)</f>
        <v>48</v>
      </c>
    </row>
    <row r="210" spans="2:9" x14ac:dyDescent="0.25">
      <c r="B210">
        <f>MONTH(Dates_Ref[[#This Row],[Start]])</f>
        <v>11</v>
      </c>
      <c r="C210" s="5">
        <f t="shared" si="4"/>
        <v>46356</v>
      </c>
      <c r="D210" s="2">
        <v>49</v>
      </c>
      <c r="E210">
        <v>25</v>
      </c>
      <c r="G210" s="5" t="str">
        <f>IF(Dates_Ref[[#This Row],[Pay QCH]]&lt;&gt;E209,Dates_Ref[[#This Row],[Start]]+18,"")</f>
        <v/>
      </c>
      <c r="H210">
        <f>WEEKDAY(Dates_Ref[[#This Row],[Start]],2)</f>
        <v>1</v>
      </c>
      <c r="I210">
        <f>WEEKNUM(Dates_Ref[[#This Row],[Start]],21)</f>
        <v>49</v>
      </c>
    </row>
    <row r="211" spans="2:9" x14ac:dyDescent="0.25">
      <c r="B211">
        <f>MONTH(Dates_Ref[[#This Row],[Start]])</f>
        <v>12</v>
      </c>
      <c r="C211" s="5">
        <f t="shared" si="4"/>
        <v>46363</v>
      </c>
      <c r="D211" s="2">
        <v>50</v>
      </c>
      <c r="E211">
        <v>26</v>
      </c>
      <c r="F211" s="1">
        <v>46381</v>
      </c>
      <c r="G211" s="5">
        <f>IF(Dates_Ref[[#This Row],[Pay QCH]]&lt;&gt;E210,Dates_Ref[[#This Row],[Start]]+18,"")</f>
        <v>46381</v>
      </c>
      <c r="H211">
        <f>WEEKDAY(Dates_Ref[[#This Row],[Start]],2)</f>
        <v>1</v>
      </c>
      <c r="I211">
        <f>WEEKNUM(Dates_Ref[[#This Row],[Start]],21)</f>
        <v>50</v>
      </c>
    </row>
    <row r="212" spans="2:9" x14ac:dyDescent="0.25">
      <c r="B212">
        <f>MONTH(Dates_Ref[[#This Row],[Start]])</f>
        <v>12</v>
      </c>
      <c r="C212" s="5">
        <f t="shared" si="4"/>
        <v>46370</v>
      </c>
      <c r="D212" s="2">
        <v>51</v>
      </c>
      <c r="E212">
        <v>26</v>
      </c>
      <c r="G212" s="5" t="str">
        <f>IF(Dates_Ref[[#This Row],[Pay QCH]]&lt;&gt;E211,Dates_Ref[[#This Row],[Start]]+18,"")</f>
        <v/>
      </c>
      <c r="H212">
        <f>WEEKDAY(Dates_Ref[[#This Row],[Start]],2)</f>
        <v>1</v>
      </c>
      <c r="I212">
        <f>WEEKNUM(Dates_Ref[[#This Row],[Start]],21)</f>
        <v>51</v>
      </c>
    </row>
    <row r="213" spans="2:9" x14ac:dyDescent="0.25">
      <c r="B213">
        <f>MONTH(Dates_Ref[[#This Row],[Start]])</f>
        <v>12</v>
      </c>
      <c r="C213" s="5">
        <f t="shared" si="4"/>
        <v>46377</v>
      </c>
      <c r="D213" s="2">
        <v>52</v>
      </c>
      <c r="E213">
        <v>27</v>
      </c>
      <c r="F213" s="1">
        <v>46395</v>
      </c>
      <c r="G213" s="5">
        <f>IF(Dates_Ref[[#This Row],[Pay QCH]]&lt;&gt;E212,Dates_Ref[[#This Row],[Start]]+18,"")</f>
        <v>46395</v>
      </c>
      <c r="H213">
        <f>WEEKDAY(Dates_Ref[[#This Row],[Start]],2)</f>
        <v>1</v>
      </c>
      <c r="I213">
        <f>WEEKNUM(Dates_Ref[[#This Row],[Start]],21)</f>
        <v>52</v>
      </c>
    </row>
    <row r="214" spans="2:9" x14ac:dyDescent="0.25">
      <c r="B214">
        <f>MONTH(Dates_Ref[[#This Row],[Start]])</f>
        <v>12</v>
      </c>
      <c r="C214" s="5">
        <f t="shared" si="4"/>
        <v>46384</v>
      </c>
      <c r="D214" s="2">
        <v>53</v>
      </c>
      <c r="E214">
        <v>27</v>
      </c>
      <c r="G214" s="5" t="str">
        <f>IF(Dates_Ref[[#This Row],[Pay QCH]]&lt;&gt;E213,Dates_Ref[[#This Row],[Start]]+18,"")</f>
        <v/>
      </c>
      <c r="H214">
        <f>WEEKDAY(Dates_Ref[[#This Row],[Start]],2)</f>
        <v>1</v>
      </c>
      <c r="I214">
        <f>WEEKNUM(Dates_Ref[[#This Row],[Start]],21)</f>
        <v>53</v>
      </c>
    </row>
    <row r="215" spans="2:9" x14ac:dyDescent="0.25">
      <c r="B215">
        <f>MONTH(Dates_Ref[[#This Row],[Start]])</f>
        <v>1</v>
      </c>
      <c r="C215" s="5">
        <f t="shared" si="4"/>
        <v>46391</v>
      </c>
      <c r="D215" s="2">
        <v>1</v>
      </c>
      <c r="E215">
        <v>1</v>
      </c>
      <c r="F215" s="1">
        <v>46409</v>
      </c>
      <c r="G215" s="5">
        <f>IF(Dates_Ref[[#This Row],[Pay QCH]]&lt;&gt;E214,Dates_Ref[[#This Row],[Start]]+18,"")</f>
        <v>46409</v>
      </c>
      <c r="H215">
        <f>WEEKDAY(Dates_Ref[[#This Row],[Start]],2)</f>
        <v>1</v>
      </c>
      <c r="I215">
        <f>WEEKNUM(Dates_Ref[[#This Row],[Start]],21)</f>
        <v>1</v>
      </c>
    </row>
    <row r="216" spans="2:9" x14ac:dyDescent="0.25">
      <c r="B216">
        <f>MONTH(Dates_Ref[[#This Row],[Start]])</f>
        <v>1</v>
      </c>
      <c r="C216" s="5">
        <f t="shared" si="4"/>
        <v>46398</v>
      </c>
      <c r="D216" s="2">
        <v>2</v>
      </c>
      <c r="E216">
        <v>1</v>
      </c>
      <c r="G216" s="5" t="str">
        <f>IF(Dates_Ref[[#This Row],[Pay QCH]]&lt;&gt;E215,Dates_Ref[[#This Row],[Start]]+18,"")</f>
        <v/>
      </c>
      <c r="H216">
        <f>WEEKDAY(Dates_Ref[[#This Row],[Start]],2)</f>
        <v>1</v>
      </c>
      <c r="I216">
        <f>WEEKNUM(Dates_Ref[[#This Row],[Start]],21)</f>
        <v>2</v>
      </c>
    </row>
    <row r="217" spans="2:9" x14ac:dyDescent="0.25">
      <c r="B217">
        <f>MONTH(Dates_Ref[[#This Row],[Start]])</f>
        <v>1</v>
      </c>
      <c r="C217" s="5">
        <f t="shared" si="4"/>
        <v>46405</v>
      </c>
      <c r="D217" s="2">
        <v>3</v>
      </c>
      <c r="E217">
        <v>2</v>
      </c>
      <c r="F217" s="1">
        <v>46423</v>
      </c>
      <c r="G217" s="5">
        <f>IF(Dates_Ref[[#This Row],[Pay QCH]]&lt;&gt;E216,Dates_Ref[[#This Row],[Start]]+18,"")</f>
        <v>46423</v>
      </c>
      <c r="H217">
        <f>WEEKDAY(Dates_Ref[[#This Row],[Start]],2)</f>
        <v>1</v>
      </c>
      <c r="I217">
        <f>WEEKNUM(Dates_Ref[[#This Row],[Start]],21)</f>
        <v>3</v>
      </c>
    </row>
    <row r="218" spans="2:9" x14ac:dyDescent="0.25">
      <c r="B218">
        <f>MONTH(Dates_Ref[[#This Row],[Start]])</f>
        <v>1</v>
      </c>
      <c r="C218" s="5">
        <f t="shared" si="4"/>
        <v>46412</v>
      </c>
      <c r="D218" s="2">
        <v>4</v>
      </c>
      <c r="E218">
        <v>2</v>
      </c>
      <c r="G218" s="5" t="str">
        <f>IF(Dates_Ref[[#This Row],[Pay QCH]]&lt;&gt;E217,Dates_Ref[[#This Row],[Start]]+18,"")</f>
        <v/>
      </c>
      <c r="H218">
        <f>WEEKDAY(Dates_Ref[[#This Row],[Start]],2)</f>
        <v>1</v>
      </c>
      <c r="I218">
        <f>WEEKNUM(Dates_Ref[[#This Row],[Start]],21)</f>
        <v>4</v>
      </c>
    </row>
    <row r="219" spans="2:9" x14ac:dyDescent="0.25">
      <c r="B219">
        <f>MONTH(Dates_Ref[[#This Row],[Start]])</f>
        <v>2</v>
      </c>
      <c r="C219" s="5">
        <f t="shared" si="4"/>
        <v>46419</v>
      </c>
      <c r="D219" s="2">
        <v>5</v>
      </c>
      <c r="E219">
        <v>3</v>
      </c>
      <c r="F219" s="1">
        <v>46437</v>
      </c>
      <c r="G219" s="5">
        <f>IF(Dates_Ref[[#This Row],[Pay QCH]]&lt;&gt;E218,Dates_Ref[[#This Row],[Start]]+18,"")</f>
        <v>46437</v>
      </c>
      <c r="H219">
        <f>WEEKDAY(Dates_Ref[[#This Row],[Start]],2)</f>
        <v>1</v>
      </c>
      <c r="I219">
        <f>WEEKNUM(Dates_Ref[[#This Row],[Start]],21)</f>
        <v>5</v>
      </c>
    </row>
    <row r="220" spans="2:9" x14ac:dyDescent="0.25">
      <c r="B220">
        <f>MONTH(Dates_Ref[[#This Row],[Start]])</f>
        <v>2</v>
      </c>
      <c r="C220" s="5">
        <f t="shared" si="4"/>
        <v>46426</v>
      </c>
      <c r="D220" s="2">
        <v>6</v>
      </c>
      <c r="E220">
        <v>3</v>
      </c>
      <c r="G220" s="5" t="str">
        <f>IF(Dates_Ref[[#This Row],[Pay QCH]]&lt;&gt;E219,Dates_Ref[[#This Row],[Start]]+18,"")</f>
        <v/>
      </c>
      <c r="H220">
        <f>WEEKDAY(Dates_Ref[[#This Row],[Start]],2)</f>
        <v>1</v>
      </c>
      <c r="I220">
        <f>WEEKNUM(Dates_Ref[[#This Row],[Start]],21)</f>
        <v>6</v>
      </c>
    </row>
    <row r="221" spans="2:9" x14ac:dyDescent="0.25">
      <c r="B221">
        <f>MONTH(Dates_Ref[[#This Row],[Start]])</f>
        <v>2</v>
      </c>
      <c r="C221" s="5">
        <f t="shared" si="4"/>
        <v>46433</v>
      </c>
      <c r="D221" s="2">
        <v>7</v>
      </c>
      <c r="E221">
        <v>4</v>
      </c>
      <c r="F221" s="1">
        <v>46451</v>
      </c>
      <c r="G221" s="5">
        <f>IF(Dates_Ref[[#This Row],[Pay QCH]]&lt;&gt;E220,Dates_Ref[[#This Row],[Start]]+18,"")</f>
        <v>46451</v>
      </c>
      <c r="H221">
        <f>WEEKDAY(Dates_Ref[[#This Row],[Start]],2)</f>
        <v>1</v>
      </c>
      <c r="I221">
        <f>WEEKNUM(Dates_Ref[[#This Row],[Start]],21)</f>
        <v>7</v>
      </c>
    </row>
    <row r="222" spans="2:9" x14ac:dyDescent="0.25">
      <c r="B222">
        <f>MONTH(Dates_Ref[[#This Row],[Start]])</f>
        <v>2</v>
      </c>
      <c r="C222" s="5">
        <f t="shared" si="4"/>
        <v>46440</v>
      </c>
      <c r="D222" s="2">
        <v>8</v>
      </c>
      <c r="E222">
        <v>4</v>
      </c>
      <c r="G222" s="5" t="str">
        <f>IF(Dates_Ref[[#This Row],[Pay QCH]]&lt;&gt;E221,Dates_Ref[[#This Row],[Start]]+18,"")</f>
        <v/>
      </c>
      <c r="H222">
        <f>WEEKDAY(Dates_Ref[[#This Row],[Start]],2)</f>
        <v>1</v>
      </c>
      <c r="I222">
        <f>WEEKNUM(Dates_Ref[[#This Row],[Start]],21)</f>
        <v>8</v>
      </c>
    </row>
    <row r="223" spans="2:9" x14ac:dyDescent="0.25">
      <c r="B223">
        <f>MONTH(Dates_Ref[[#This Row],[Start]])</f>
        <v>3</v>
      </c>
      <c r="C223" s="5">
        <f t="shared" si="4"/>
        <v>46447</v>
      </c>
      <c r="D223" s="2">
        <v>9</v>
      </c>
      <c r="E223">
        <v>5</v>
      </c>
      <c r="F223" s="1">
        <v>46465</v>
      </c>
      <c r="G223" s="5">
        <f>IF(Dates_Ref[[#This Row],[Pay QCH]]&lt;&gt;E222,Dates_Ref[[#This Row],[Start]]+18,"")</f>
        <v>46465</v>
      </c>
      <c r="H223">
        <f>WEEKDAY(Dates_Ref[[#This Row],[Start]],2)</f>
        <v>1</v>
      </c>
      <c r="I223">
        <f>WEEKNUM(Dates_Ref[[#This Row],[Start]],21)</f>
        <v>9</v>
      </c>
    </row>
    <row r="224" spans="2:9" x14ac:dyDescent="0.25">
      <c r="B224">
        <f>MONTH(Dates_Ref[[#This Row],[Start]])</f>
        <v>3</v>
      </c>
      <c r="C224" s="5">
        <f t="shared" si="4"/>
        <v>46454</v>
      </c>
      <c r="D224" s="2">
        <v>10</v>
      </c>
      <c r="E224">
        <v>5</v>
      </c>
      <c r="G224" s="5" t="str">
        <f>IF(Dates_Ref[[#This Row],[Pay QCH]]&lt;&gt;E223,Dates_Ref[[#This Row],[Start]]+18,"")</f>
        <v/>
      </c>
      <c r="H224">
        <f>WEEKDAY(Dates_Ref[[#This Row],[Start]],2)</f>
        <v>1</v>
      </c>
      <c r="I224">
        <f>WEEKNUM(Dates_Ref[[#This Row],[Start]],21)</f>
        <v>10</v>
      </c>
    </row>
    <row r="225" spans="2:9" x14ac:dyDescent="0.25">
      <c r="B225">
        <f>MONTH(Dates_Ref[[#This Row],[Start]])</f>
        <v>3</v>
      </c>
      <c r="C225" s="5">
        <f t="shared" si="4"/>
        <v>46461</v>
      </c>
      <c r="D225" s="2">
        <v>11</v>
      </c>
      <c r="E225">
        <v>6</v>
      </c>
      <c r="F225" s="1">
        <v>46479</v>
      </c>
      <c r="G225" s="5">
        <f>IF(Dates_Ref[[#This Row],[Pay QCH]]&lt;&gt;E224,Dates_Ref[[#This Row],[Start]]+18,"")</f>
        <v>46479</v>
      </c>
      <c r="H225">
        <f>WEEKDAY(Dates_Ref[[#This Row],[Start]],2)</f>
        <v>1</v>
      </c>
      <c r="I225">
        <f>WEEKNUM(Dates_Ref[[#This Row],[Start]],21)</f>
        <v>11</v>
      </c>
    </row>
    <row r="226" spans="2:9" x14ac:dyDescent="0.25">
      <c r="B226">
        <f>MONTH(Dates_Ref[[#This Row],[Start]])</f>
        <v>3</v>
      </c>
      <c r="C226" s="5">
        <f t="shared" si="4"/>
        <v>46468</v>
      </c>
      <c r="D226" s="2">
        <v>12</v>
      </c>
      <c r="E226">
        <v>6</v>
      </c>
      <c r="G226" s="5" t="str">
        <f>IF(Dates_Ref[[#This Row],[Pay QCH]]&lt;&gt;E225,Dates_Ref[[#This Row],[Start]]+18,"")</f>
        <v/>
      </c>
      <c r="H226">
        <f>WEEKDAY(Dates_Ref[[#This Row],[Start]],2)</f>
        <v>1</v>
      </c>
      <c r="I226">
        <f>WEEKNUM(Dates_Ref[[#This Row],[Start]],21)</f>
        <v>12</v>
      </c>
    </row>
    <row r="227" spans="2:9" x14ac:dyDescent="0.25">
      <c r="B227">
        <f>MONTH(Dates_Ref[[#This Row],[Start]])</f>
        <v>3</v>
      </c>
      <c r="C227" s="5">
        <f t="shared" si="4"/>
        <v>46475</v>
      </c>
      <c r="D227" s="2">
        <v>13</v>
      </c>
      <c r="E227">
        <v>7</v>
      </c>
      <c r="F227" s="1">
        <v>46493</v>
      </c>
      <c r="G227" s="5">
        <f>IF(Dates_Ref[[#This Row],[Pay QCH]]&lt;&gt;E226,Dates_Ref[[#This Row],[Start]]+18,"")</f>
        <v>46493</v>
      </c>
      <c r="H227">
        <f>WEEKDAY(Dates_Ref[[#This Row],[Start]],2)</f>
        <v>1</v>
      </c>
      <c r="I227">
        <f>WEEKNUM(Dates_Ref[[#This Row],[Start]],21)</f>
        <v>13</v>
      </c>
    </row>
    <row r="228" spans="2:9" x14ac:dyDescent="0.25">
      <c r="B228">
        <f>MONTH(Dates_Ref[[#This Row],[Start]])</f>
        <v>4</v>
      </c>
      <c r="C228" s="5">
        <f t="shared" si="4"/>
        <v>46482</v>
      </c>
      <c r="D228" s="2">
        <v>14</v>
      </c>
      <c r="E228">
        <v>7</v>
      </c>
      <c r="G228" s="5" t="str">
        <f>IF(Dates_Ref[[#This Row],[Pay QCH]]&lt;&gt;E227,Dates_Ref[[#This Row],[Start]]+18,"")</f>
        <v/>
      </c>
      <c r="H228">
        <f>WEEKDAY(Dates_Ref[[#This Row],[Start]],2)</f>
        <v>1</v>
      </c>
      <c r="I228">
        <f>WEEKNUM(Dates_Ref[[#This Row],[Start]],21)</f>
        <v>14</v>
      </c>
    </row>
    <row r="229" spans="2:9" x14ac:dyDescent="0.25">
      <c r="B229">
        <f>MONTH(Dates_Ref[[#This Row],[Start]])</f>
        <v>4</v>
      </c>
      <c r="C229" s="5">
        <f t="shared" si="4"/>
        <v>46489</v>
      </c>
      <c r="D229" s="2">
        <v>15</v>
      </c>
      <c r="E229">
        <v>8</v>
      </c>
      <c r="F229" s="1">
        <v>46507</v>
      </c>
      <c r="G229" s="5">
        <f>IF(Dates_Ref[[#This Row],[Pay QCH]]&lt;&gt;E228,Dates_Ref[[#This Row],[Start]]+18,"")</f>
        <v>46507</v>
      </c>
      <c r="H229">
        <f>WEEKDAY(Dates_Ref[[#This Row],[Start]],2)</f>
        <v>1</v>
      </c>
      <c r="I229">
        <f>WEEKNUM(Dates_Ref[[#This Row],[Start]],21)</f>
        <v>15</v>
      </c>
    </row>
    <row r="230" spans="2:9" x14ac:dyDescent="0.25">
      <c r="B230">
        <f>MONTH(Dates_Ref[[#This Row],[Start]])</f>
        <v>4</v>
      </c>
      <c r="C230" s="5">
        <f t="shared" si="4"/>
        <v>46496</v>
      </c>
      <c r="D230" s="2">
        <v>16</v>
      </c>
      <c r="E230">
        <v>8</v>
      </c>
      <c r="G230" s="5" t="str">
        <f>IF(Dates_Ref[[#This Row],[Pay QCH]]&lt;&gt;E229,Dates_Ref[[#This Row],[Start]]+18,"")</f>
        <v/>
      </c>
      <c r="H230">
        <f>WEEKDAY(Dates_Ref[[#This Row],[Start]],2)</f>
        <v>1</v>
      </c>
      <c r="I230">
        <f>WEEKNUM(Dates_Ref[[#This Row],[Start]],21)</f>
        <v>16</v>
      </c>
    </row>
    <row r="231" spans="2:9" x14ac:dyDescent="0.25">
      <c r="B231">
        <f>MONTH(Dates_Ref[[#This Row],[Start]])</f>
        <v>4</v>
      </c>
      <c r="C231" s="5">
        <f t="shared" si="4"/>
        <v>46503</v>
      </c>
      <c r="D231" s="2">
        <v>17</v>
      </c>
      <c r="E231">
        <v>9</v>
      </c>
      <c r="F231" s="1">
        <v>46521</v>
      </c>
      <c r="G231" s="5">
        <f>IF(Dates_Ref[[#This Row],[Pay QCH]]&lt;&gt;E230,Dates_Ref[[#This Row],[Start]]+18,"")</f>
        <v>46521</v>
      </c>
      <c r="H231">
        <f>WEEKDAY(Dates_Ref[[#This Row],[Start]],2)</f>
        <v>1</v>
      </c>
      <c r="I231">
        <f>WEEKNUM(Dates_Ref[[#This Row],[Start]],21)</f>
        <v>17</v>
      </c>
    </row>
    <row r="232" spans="2:9" x14ac:dyDescent="0.25">
      <c r="B232">
        <f>MONTH(Dates_Ref[[#This Row],[Start]])</f>
        <v>5</v>
      </c>
      <c r="C232" s="5">
        <f t="shared" si="4"/>
        <v>46510</v>
      </c>
      <c r="D232" s="2">
        <v>18</v>
      </c>
      <c r="E232">
        <v>9</v>
      </c>
      <c r="G232" s="5" t="str">
        <f>IF(Dates_Ref[[#This Row],[Pay QCH]]&lt;&gt;E231,Dates_Ref[[#This Row],[Start]]+18,"")</f>
        <v/>
      </c>
      <c r="H232">
        <f>WEEKDAY(Dates_Ref[[#This Row],[Start]],2)</f>
        <v>1</v>
      </c>
      <c r="I232">
        <f>WEEKNUM(Dates_Ref[[#This Row],[Start]],21)</f>
        <v>18</v>
      </c>
    </row>
    <row r="233" spans="2:9" x14ac:dyDescent="0.25">
      <c r="B233">
        <f>MONTH(Dates_Ref[[#This Row],[Start]])</f>
        <v>5</v>
      </c>
      <c r="C233" s="5">
        <f t="shared" si="4"/>
        <v>46517</v>
      </c>
      <c r="D233" s="2">
        <v>19</v>
      </c>
      <c r="E233">
        <v>10</v>
      </c>
      <c r="F233" s="1">
        <v>46535</v>
      </c>
      <c r="G233" s="5">
        <f>IF(Dates_Ref[[#This Row],[Pay QCH]]&lt;&gt;E232,Dates_Ref[[#This Row],[Start]]+18,"")</f>
        <v>46535</v>
      </c>
      <c r="H233">
        <f>WEEKDAY(Dates_Ref[[#This Row],[Start]],2)</f>
        <v>1</v>
      </c>
      <c r="I233">
        <f>WEEKNUM(Dates_Ref[[#This Row],[Start]],21)</f>
        <v>19</v>
      </c>
    </row>
    <row r="234" spans="2:9" x14ac:dyDescent="0.25">
      <c r="B234">
        <f>MONTH(Dates_Ref[[#This Row],[Start]])</f>
        <v>5</v>
      </c>
      <c r="C234" s="5">
        <f t="shared" si="4"/>
        <v>46524</v>
      </c>
      <c r="D234" s="2">
        <v>20</v>
      </c>
      <c r="E234">
        <v>10</v>
      </c>
      <c r="G234" s="5" t="str">
        <f>IF(Dates_Ref[[#This Row],[Pay QCH]]&lt;&gt;E233,Dates_Ref[[#This Row],[Start]]+18,"")</f>
        <v/>
      </c>
      <c r="H234">
        <f>WEEKDAY(Dates_Ref[[#This Row],[Start]],2)</f>
        <v>1</v>
      </c>
      <c r="I234">
        <f>WEEKNUM(Dates_Ref[[#This Row],[Start]],21)</f>
        <v>20</v>
      </c>
    </row>
    <row r="235" spans="2:9" x14ac:dyDescent="0.25">
      <c r="B235">
        <f>MONTH(Dates_Ref[[#This Row],[Start]])</f>
        <v>5</v>
      </c>
      <c r="C235" s="5">
        <f t="shared" si="4"/>
        <v>46531</v>
      </c>
      <c r="D235" s="2">
        <v>21</v>
      </c>
      <c r="E235">
        <v>11</v>
      </c>
      <c r="F235" s="1">
        <v>46549</v>
      </c>
      <c r="G235" s="5">
        <f>IF(Dates_Ref[[#This Row],[Pay QCH]]&lt;&gt;E234,Dates_Ref[[#This Row],[Start]]+18,"")</f>
        <v>46549</v>
      </c>
      <c r="H235">
        <f>WEEKDAY(Dates_Ref[[#This Row],[Start]],2)</f>
        <v>1</v>
      </c>
      <c r="I235">
        <f>WEEKNUM(Dates_Ref[[#This Row],[Start]],21)</f>
        <v>21</v>
      </c>
    </row>
    <row r="236" spans="2:9" x14ac:dyDescent="0.25">
      <c r="B236">
        <f>MONTH(Dates_Ref[[#This Row],[Start]])</f>
        <v>5</v>
      </c>
      <c r="C236" s="5">
        <f t="shared" si="4"/>
        <v>46538</v>
      </c>
      <c r="D236" s="2">
        <v>22</v>
      </c>
      <c r="E236">
        <v>11</v>
      </c>
      <c r="G236" s="5" t="str">
        <f>IF(Dates_Ref[[#This Row],[Pay QCH]]&lt;&gt;E235,Dates_Ref[[#This Row],[Start]]+18,"")</f>
        <v/>
      </c>
      <c r="H236">
        <f>WEEKDAY(Dates_Ref[[#This Row],[Start]],2)</f>
        <v>1</v>
      </c>
      <c r="I236">
        <f>WEEKNUM(Dates_Ref[[#This Row],[Start]],21)</f>
        <v>22</v>
      </c>
    </row>
    <row r="237" spans="2:9" x14ac:dyDescent="0.25">
      <c r="B237">
        <f>MONTH(Dates_Ref[[#This Row],[Start]])</f>
        <v>6</v>
      </c>
      <c r="C237" s="5">
        <f t="shared" si="4"/>
        <v>46545</v>
      </c>
      <c r="D237" s="2">
        <v>23</v>
      </c>
      <c r="E237">
        <v>12</v>
      </c>
      <c r="F237" s="1">
        <v>46563</v>
      </c>
      <c r="G237" s="5">
        <f>IF(Dates_Ref[[#This Row],[Pay QCH]]&lt;&gt;E236,Dates_Ref[[#This Row],[Start]]+18,"")</f>
        <v>46563</v>
      </c>
      <c r="H237">
        <f>WEEKDAY(Dates_Ref[[#This Row],[Start]],2)</f>
        <v>1</v>
      </c>
      <c r="I237">
        <f>WEEKNUM(Dates_Ref[[#This Row],[Start]],21)</f>
        <v>23</v>
      </c>
    </row>
    <row r="238" spans="2:9" x14ac:dyDescent="0.25">
      <c r="B238">
        <f>MONTH(Dates_Ref[[#This Row],[Start]])</f>
        <v>6</v>
      </c>
      <c r="C238" s="5">
        <f t="shared" si="4"/>
        <v>46552</v>
      </c>
      <c r="D238" s="2">
        <v>24</v>
      </c>
      <c r="E238">
        <v>12</v>
      </c>
      <c r="G238" s="5" t="str">
        <f>IF(Dates_Ref[[#This Row],[Pay QCH]]&lt;&gt;E237,Dates_Ref[[#This Row],[Start]]+18,"")</f>
        <v/>
      </c>
      <c r="H238">
        <f>WEEKDAY(Dates_Ref[[#This Row],[Start]],2)</f>
        <v>1</v>
      </c>
      <c r="I238">
        <f>WEEKNUM(Dates_Ref[[#This Row],[Start]],21)</f>
        <v>24</v>
      </c>
    </row>
    <row r="239" spans="2:9" x14ac:dyDescent="0.25">
      <c r="B239">
        <f>MONTH(Dates_Ref[[#This Row],[Start]])</f>
        <v>6</v>
      </c>
      <c r="C239" s="5">
        <f t="shared" si="4"/>
        <v>46559</v>
      </c>
      <c r="D239" s="2">
        <v>25</v>
      </c>
      <c r="E239">
        <v>13</v>
      </c>
      <c r="F239" s="1">
        <v>46577</v>
      </c>
      <c r="G239" s="5">
        <f>IF(Dates_Ref[[#This Row],[Pay QCH]]&lt;&gt;E238,Dates_Ref[[#This Row],[Start]]+18,"")</f>
        <v>46577</v>
      </c>
      <c r="H239">
        <f>WEEKDAY(Dates_Ref[[#This Row],[Start]],2)</f>
        <v>1</v>
      </c>
      <c r="I239">
        <f>WEEKNUM(Dates_Ref[[#This Row],[Start]],21)</f>
        <v>25</v>
      </c>
    </row>
    <row r="240" spans="2:9" x14ac:dyDescent="0.25">
      <c r="B240">
        <f>MONTH(Dates_Ref[[#This Row],[Start]])</f>
        <v>6</v>
      </c>
      <c r="C240" s="5">
        <f t="shared" si="4"/>
        <v>46566</v>
      </c>
      <c r="D240" s="2">
        <v>26</v>
      </c>
      <c r="E240">
        <v>13</v>
      </c>
      <c r="G240" s="5" t="str">
        <f>IF(Dates_Ref[[#This Row],[Pay QCH]]&lt;&gt;E239,Dates_Ref[[#This Row],[Start]]+18,"")</f>
        <v/>
      </c>
      <c r="H240">
        <f>WEEKDAY(Dates_Ref[[#This Row],[Start]],2)</f>
        <v>1</v>
      </c>
      <c r="I240">
        <f>WEEKNUM(Dates_Ref[[#This Row],[Start]],21)</f>
        <v>26</v>
      </c>
    </row>
    <row r="241" spans="2:9" x14ac:dyDescent="0.25">
      <c r="B241">
        <f>MONTH(Dates_Ref[[#This Row],[Start]])</f>
        <v>7</v>
      </c>
      <c r="C241" s="5">
        <f t="shared" si="4"/>
        <v>46573</v>
      </c>
      <c r="D241" s="2">
        <v>27</v>
      </c>
      <c r="E241">
        <v>14</v>
      </c>
      <c r="F241" s="1">
        <v>46591</v>
      </c>
      <c r="G241" s="5">
        <f>IF(Dates_Ref[[#This Row],[Pay QCH]]&lt;&gt;E240,Dates_Ref[[#This Row],[Start]]+18,"")</f>
        <v>46591</v>
      </c>
      <c r="H241">
        <f>WEEKDAY(Dates_Ref[[#This Row],[Start]],2)</f>
        <v>1</v>
      </c>
      <c r="I241">
        <f>WEEKNUM(Dates_Ref[[#This Row],[Start]],21)</f>
        <v>27</v>
      </c>
    </row>
    <row r="242" spans="2:9" x14ac:dyDescent="0.25">
      <c r="B242">
        <f>MONTH(Dates_Ref[[#This Row],[Start]])</f>
        <v>7</v>
      </c>
      <c r="C242" s="5">
        <f t="shared" si="4"/>
        <v>46580</v>
      </c>
      <c r="D242" s="2">
        <v>28</v>
      </c>
      <c r="E242">
        <v>14</v>
      </c>
      <c r="G242" s="5" t="str">
        <f>IF(Dates_Ref[[#This Row],[Pay QCH]]&lt;&gt;E241,Dates_Ref[[#This Row],[Start]]+18,"")</f>
        <v/>
      </c>
      <c r="H242">
        <f>WEEKDAY(Dates_Ref[[#This Row],[Start]],2)</f>
        <v>1</v>
      </c>
      <c r="I242">
        <f>WEEKNUM(Dates_Ref[[#This Row],[Start]],21)</f>
        <v>28</v>
      </c>
    </row>
    <row r="243" spans="2:9" x14ac:dyDescent="0.25">
      <c r="B243">
        <f>MONTH(Dates_Ref[[#This Row],[Start]])</f>
        <v>7</v>
      </c>
      <c r="C243" s="5">
        <f t="shared" si="4"/>
        <v>46587</v>
      </c>
      <c r="D243" s="2">
        <v>29</v>
      </c>
      <c r="E243">
        <v>15</v>
      </c>
      <c r="F243" s="1">
        <v>46605</v>
      </c>
      <c r="G243" s="5">
        <f>IF(Dates_Ref[[#This Row],[Pay QCH]]&lt;&gt;E242,Dates_Ref[[#This Row],[Start]]+18,"")</f>
        <v>46605</v>
      </c>
      <c r="H243">
        <f>WEEKDAY(Dates_Ref[[#This Row],[Start]],2)</f>
        <v>1</v>
      </c>
      <c r="I243">
        <f>WEEKNUM(Dates_Ref[[#This Row],[Start]],21)</f>
        <v>29</v>
      </c>
    </row>
    <row r="244" spans="2:9" x14ac:dyDescent="0.25">
      <c r="B244">
        <f>MONTH(Dates_Ref[[#This Row],[Start]])</f>
        <v>7</v>
      </c>
      <c r="C244" s="5">
        <f t="shared" si="4"/>
        <v>46594</v>
      </c>
      <c r="D244" s="2">
        <v>30</v>
      </c>
      <c r="E244">
        <v>15</v>
      </c>
      <c r="G244" s="5" t="str">
        <f>IF(Dates_Ref[[#This Row],[Pay QCH]]&lt;&gt;E243,Dates_Ref[[#This Row],[Start]]+18,"")</f>
        <v/>
      </c>
      <c r="H244">
        <f>WEEKDAY(Dates_Ref[[#This Row],[Start]],2)</f>
        <v>1</v>
      </c>
      <c r="I244">
        <f>WEEKNUM(Dates_Ref[[#This Row],[Start]],21)</f>
        <v>30</v>
      </c>
    </row>
    <row r="245" spans="2:9" x14ac:dyDescent="0.25">
      <c r="B245">
        <f>MONTH(Dates_Ref[[#This Row],[Start]])</f>
        <v>8</v>
      </c>
      <c r="C245" s="5">
        <f t="shared" si="4"/>
        <v>46601</v>
      </c>
      <c r="D245" s="2">
        <v>31</v>
      </c>
      <c r="E245">
        <v>16</v>
      </c>
      <c r="F245" s="1">
        <v>46619</v>
      </c>
      <c r="G245" s="5">
        <f>IF(Dates_Ref[[#This Row],[Pay QCH]]&lt;&gt;E244,Dates_Ref[[#This Row],[Start]]+18,"")</f>
        <v>46619</v>
      </c>
      <c r="H245">
        <f>WEEKDAY(Dates_Ref[[#This Row],[Start]],2)</f>
        <v>1</v>
      </c>
      <c r="I245">
        <f>WEEKNUM(Dates_Ref[[#This Row],[Start]],21)</f>
        <v>31</v>
      </c>
    </row>
    <row r="246" spans="2:9" x14ac:dyDescent="0.25">
      <c r="B246">
        <f>MONTH(Dates_Ref[[#This Row],[Start]])</f>
        <v>8</v>
      </c>
      <c r="C246" s="5">
        <f t="shared" si="4"/>
        <v>46608</v>
      </c>
      <c r="D246" s="2">
        <v>32</v>
      </c>
      <c r="E246">
        <v>16</v>
      </c>
      <c r="G246" s="5" t="str">
        <f>IF(Dates_Ref[[#This Row],[Pay QCH]]&lt;&gt;E245,Dates_Ref[[#This Row],[Start]]+18,"")</f>
        <v/>
      </c>
      <c r="H246">
        <f>WEEKDAY(Dates_Ref[[#This Row],[Start]],2)</f>
        <v>1</v>
      </c>
      <c r="I246">
        <f>WEEKNUM(Dates_Ref[[#This Row],[Start]],21)</f>
        <v>32</v>
      </c>
    </row>
    <row r="247" spans="2:9" x14ac:dyDescent="0.25">
      <c r="B247">
        <f>MONTH(Dates_Ref[[#This Row],[Start]])</f>
        <v>8</v>
      </c>
      <c r="C247" s="5">
        <f t="shared" si="4"/>
        <v>46615</v>
      </c>
      <c r="D247" s="2">
        <v>33</v>
      </c>
      <c r="E247">
        <v>17</v>
      </c>
      <c r="F247" s="1">
        <v>46633</v>
      </c>
      <c r="G247" s="5">
        <f>IF(Dates_Ref[[#This Row],[Pay QCH]]&lt;&gt;E246,Dates_Ref[[#This Row],[Start]]+18,"")</f>
        <v>46633</v>
      </c>
      <c r="H247">
        <f>WEEKDAY(Dates_Ref[[#This Row],[Start]],2)</f>
        <v>1</v>
      </c>
      <c r="I247">
        <f>WEEKNUM(Dates_Ref[[#This Row],[Start]],21)</f>
        <v>33</v>
      </c>
    </row>
    <row r="248" spans="2:9" x14ac:dyDescent="0.25">
      <c r="B248">
        <f>MONTH(Dates_Ref[[#This Row],[Start]])</f>
        <v>8</v>
      </c>
      <c r="C248" s="5">
        <f t="shared" si="4"/>
        <v>46622</v>
      </c>
      <c r="D248" s="2">
        <v>34</v>
      </c>
      <c r="E248">
        <v>17</v>
      </c>
      <c r="G248" s="5" t="str">
        <f>IF(Dates_Ref[[#This Row],[Pay QCH]]&lt;&gt;E247,Dates_Ref[[#This Row],[Start]]+18,"")</f>
        <v/>
      </c>
      <c r="H248">
        <f>WEEKDAY(Dates_Ref[[#This Row],[Start]],2)</f>
        <v>1</v>
      </c>
      <c r="I248">
        <f>WEEKNUM(Dates_Ref[[#This Row],[Start]],21)</f>
        <v>34</v>
      </c>
    </row>
    <row r="249" spans="2:9" x14ac:dyDescent="0.25">
      <c r="B249">
        <f>MONTH(Dates_Ref[[#This Row],[Start]])</f>
        <v>8</v>
      </c>
      <c r="C249" s="5">
        <f t="shared" si="4"/>
        <v>46629</v>
      </c>
      <c r="D249" s="2">
        <v>35</v>
      </c>
      <c r="E249">
        <v>18</v>
      </c>
      <c r="F249" s="1">
        <v>46647</v>
      </c>
      <c r="G249" s="5">
        <f>IF(Dates_Ref[[#This Row],[Pay QCH]]&lt;&gt;E248,Dates_Ref[[#This Row],[Start]]+18,"")</f>
        <v>46647</v>
      </c>
      <c r="H249">
        <f>WEEKDAY(Dates_Ref[[#This Row],[Start]],2)</f>
        <v>1</v>
      </c>
      <c r="I249">
        <f>WEEKNUM(Dates_Ref[[#This Row],[Start]],21)</f>
        <v>35</v>
      </c>
    </row>
    <row r="250" spans="2:9" x14ac:dyDescent="0.25">
      <c r="B250">
        <f>MONTH(Dates_Ref[[#This Row],[Start]])</f>
        <v>9</v>
      </c>
      <c r="C250" s="5">
        <f t="shared" si="4"/>
        <v>46636</v>
      </c>
      <c r="D250" s="2">
        <v>36</v>
      </c>
      <c r="E250">
        <v>18</v>
      </c>
      <c r="G250" s="5" t="str">
        <f>IF(Dates_Ref[[#This Row],[Pay QCH]]&lt;&gt;E249,Dates_Ref[[#This Row],[Start]]+18,"")</f>
        <v/>
      </c>
      <c r="H250">
        <f>WEEKDAY(Dates_Ref[[#This Row],[Start]],2)</f>
        <v>1</v>
      </c>
      <c r="I250">
        <f>WEEKNUM(Dates_Ref[[#This Row],[Start]],21)</f>
        <v>36</v>
      </c>
    </row>
    <row r="251" spans="2:9" x14ac:dyDescent="0.25">
      <c r="B251">
        <f>MONTH(Dates_Ref[[#This Row],[Start]])</f>
        <v>9</v>
      </c>
      <c r="C251" s="5">
        <f t="shared" si="4"/>
        <v>46643</v>
      </c>
      <c r="D251" s="2">
        <v>37</v>
      </c>
      <c r="E251">
        <v>19</v>
      </c>
      <c r="F251" s="1">
        <v>46661</v>
      </c>
      <c r="G251" s="5">
        <f>IF(Dates_Ref[[#This Row],[Pay QCH]]&lt;&gt;E250,Dates_Ref[[#This Row],[Start]]+18,"")</f>
        <v>46661</v>
      </c>
      <c r="H251">
        <f>WEEKDAY(Dates_Ref[[#This Row],[Start]],2)</f>
        <v>1</v>
      </c>
      <c r="I251">
        <f>WEEKNUM(Dates_Ref[[#This Row],[Start]],21)</f>
        <v>37</v>
      </c>
    </row>
    <row r="252" spans="2:9" x14ac:dyDescent="0.25">
      <c r="B252">
        <f>MONTH(Dates_Ref[[#This Row],[Start]])</f>
        <v>9</v>
      </c>
      <c r="C252" s="5">
        <f t="shared" si="4"/>
        <v>46650</v>
      </c>
      <c r="D252" s="2">
        <v>38</v>
      </c>
      <c r="E252">
        <v>19</v>
      </c>
      <c r="G252" s="5" t="str">
        <f>IF(Dates_Ref[[#This Row],[Pay QCH]]&lt;&gt;E251,Dates_Ref[[#This Row],[Start]]+18,"")</f>
        <v/>
      </c>
      <c r="H252">
        <f>WEEKDAY(Dates_Ref[[#This Row],[Start]],2)</f>
        <v>1</v>
      </c>
      <c r="I252">
        <f>WEEKNUM(Dates_Ref[[#This Row],[Start]],21)</f>
        <v>38</v>
      </c>
    </row>
    <row r="253" spans="2:9" x14ac:dyDescent="0.25">
      <c r="B253">
        <f>MONTH(Dates_Ref[[#This Row],[Start]])</f>
        <v>9</v>
      </c>
      <c r="C253" s="5">
        <f t="shared" si="4"/>
        <v>46657</v>
      </c>
      <c r="D253" s="2">
        <v>39</v>
      </c>
      <c r="E253">
        <v>20</v>
      </c>
      <c r="F253" s="1">
        <v>46675</v>
      </c>
      <c r="G253" s="5">
        <f>IF(Dates_Ref[[#This Row],[Pay QCH]]&lt;&gt;E252,Dates_Ref[[#This Row],[Start]]+18,"")</f>
        <v>46675</v>
      </c>
      <c r="H253">
        <f>WEEKDAY(Dates_Ref[[#This Row],[Start]],2)</f>
        <v>1</v>
      </c>
      <c r="I253">
        <f>WEEKNUM(Dates_Ref[[#This Row],[Start]],21)</f>
        <v>39</v>
      </c>
    </row>
    <row r="254" spans="2:9" x14ac:dyDescent="0.25">
      <c r="B254">
        <f>MONTH(Dates_Ref[[#This Row],[Start]])</f>
        <v>10</v>
      </c>
      <c r="C254" s="5">
        <f t="shared" si="4"/>
        <v>46664</v>
      </c>
      <c r="D254" s="2">
        <v>40</v>
      </c>
      <c r="E254">
        <v>20</v>
      </c>
      <c r="G254" s="5" t="str">
        <f>IF(Dates_Ref[[#This Row],[Pay QCH]]&lt;&gt;E253,Dates_Ref[[#This Row],[Start]]+18,"")</f>
        <v/>
      </c>
      <c r="H254">
        <f>WEEKDAY(Dates_Ref[[#This Row],[Start]],2)</f>
        <v>1</v>
      </c>
      <c r="I254">
        <f>WEEKNUM(Dates_Ref[[#This Row],[Start]],21)</f>
        <v>40</v>
      </c>
    </row>
    <row r="255" spans="2:9" x14ac:dyDescent="0.25">
      <c r="B255">
        <f>MONTH(Dates_Ref[[#This Row],[Start]])</f>
        <v>10</v>
      </c>
      <c r="C255" s="5">
        <f t="shared" si="4"/>
        <v>46671</v>
      </c>
      <c r="D255" s="2">
        <v>41</v>
      </c>
      <c r="E255">
        <v>21</v>
      </c>
      <c r="F255" s="1">
        <v>46689</v>
      </c>
      <c r="G255" s="5">
        <f>IF(Dates_Ref[[#This Row],[Pay QCH]]&lt;&gt;E254,Dates_Ref[[#This Row],[Start]]+18,"")</f>
        <v>46689</v>
      </c>
      <c r="H255">
        <f>WEEKDAY(Dates_Ref[[#This Row],[Start]],2)</f>
        <v>1</v>
      </c>
      <c r="I255">
        <f>WEEKNUM(Dates_Ref[[#This Row],[Start]],21)</f>
        <v>41</v>
      </c>
    </row>
    <row r="256" spans="2:9" x14ac:dyDescent="0.25">
      <c r="B256">
        <f>MONTH(Dates_Ref[[#This Row],[Start]])</f>
        <v>10</v>
      </c>
      <c r="C256" s="5">
        <f t="shared" si="4"/>
        <v>46678</v>
      </c>
      <c r="D256" s="2">
        <v>42</v>
      </c>
      <c r="E256">
        <v>21</v>
      </c>
      <c r="G256" s="5" t="str">
        <f>IF(Dates_Ref[[#This Row],[Pay QCH]]&lt;&gt;E255,Dates_Ref[[#This Row],[Start]]+18,"")</f>
        <v/>
      </c>
      <c r="H256">
        <f>WEEKDAY(Dates_Ref[[#This Row],[Start]],2)</f>
        <v>1</v>
      </c>
      <c r="I256">
        <f>WEEKNUM(Dates_Ref[[#This Row],[Start]],21)</f>
        <v>42</v>
      </c>
    </row>
    <row r="257" spans="2:9" x14ac:dyDescent="0.25">
      <c r="B257">
        <f>MONTH(Dates_Ref[[#This Row],[Start]])</f>
        <v>10</v>
      </c>
      <c r="C257" s="5">
        <f t="shared" si="4"/>
        <v>46685</v>
      </c>
      <c r="D257" s="2">
        <v>43</v>
      </c>
      <c r="E257">
        <v>22</v>
      </c>
      <c r="F257" s="1">
        <v>46703</v>
      </c>
      <c r="G257" s="5">
        <f>IF(Dates_Ref[[#This Row],[Pay QCH]]&lt;&gt;E256,Dates_Ref[[#This Row],[Start]]+18,"")</f>
        <v>46703</v>
      </c>
      <c r="H257">
        <f>WEEKDAY(Dates_Ref[[#This Row],[Start]],2)</f>
        <v>1</v>
      </c>
      <c r="I257">
        <f>WEEKNUM(Dates_Ref[[#This Row],[Start]],21)</f>
        <v>43</v>
      </c>
    </row>
    <row r="258" spans="2:9" x14ac:dyDescent="0.25">
      <c r="B258">
        <f>MONTH(Dates_Ref[[#This Row],[Start]])</f>
        <v>11</v>
      </c>
      <c r="C258" s="5">
        <f t="shared" si="4"/>
        <v>46692</v>
      </c>
      <c r="D258" s="2">
        <v>44</v>
      </c>
      <c r="E258">
        <v>22</v>
      </c>
      <c r="G258" s="5" t="str">
        <f>IF(Dates_Ref[[#This Row],[Pay QCH]]&lt;&gt;E257,Dates_Ref[[#This Row],[Start]]+18,"")</f>
        <v/>
      </c>
      <c r="H258">
        <f>WEEKDAY(Dates_Ref[[#This Row],[Start]],2)</f>
        <v>1</v>
      </c>
      <c r="I258">
        <f>WEEKNUM(Dates_Ref[[#This Row],[Start]],21)</f>
        <v>44</v>
      </c>
    </row>
    <row r="259" spans="2:9" x14ac:dyDescent="0.25">
      <c r="B259">
        <f>MONTH(Dates_Ref[[#This Row],[Start]])</f>
        <v>11</v>
      </c>
      <c r="C259" s="5">
        <f t="shared" si="4"/>
        <v>46699</v>
      </c>
      <c r="D259" s="2">
        <v>45</v>
      </c>
      <c r="E259">
        <v>23</v>
      </c>
      <c r="F259" s="1">
        <v>46717</v>
      </c>
      <c r="G259" s="5">
        <f>IF(Dates_Ref[[#This Row],[Pay QCH]]&lt;&gt;E258,Dates_Ref[[#This Row],[Start]]+18,"")</f>
        <v>46717</v>
      </c>
      <c r="H259">
        <f>WEEKDAY(Dates_Ref[[#This Row],[Start]],2)</f>
        <v>1</v>
      </c>
      <c r="I259">
        <f>WEEKNUM(Dates_Ref[[#This Row],[Start]],21)</f>
        <v>45</v>
      </c>
    </row>
    <row r="260" spans="2:9" x14ac:dyDescent="0.25">
      <c r="B260">
        <f>MONTH(Dates_Ref[[#This Row],[Start]])</f>
        <v>11</v>
      </c>
      <c r="C260" s="5">
        <f t="shared" si="4"/>
        <v>46706</v>
      </c>
      <c r="D260" s="2">
        <v>46</v>
      </c>
      <c r="E260">
        <v>23</v>
      </c>
      <c r="G260" s="5" t="str">
        <f>IF(Dates_Ref[[#This Row],[Pay QCH]]&lt;&gt;E259,Dates_Ref[[#This Row],[Start]]+18,"")</f>
        <v/>
      </c>
      <c r="H260">
        <f>WEEKDAY(Dates_Ref[[#This Row],[Start]],2)</f>
        <v>1</v>
      </c>
      <c r="I260">
        <f>WEEKNUM(Dates_Ref[[#This Row],[Start]],21)</f>
        <v>46</v>
      </c>
    </row>
    <row r="261" spans="2:9" x14ac:dyDescent="0.25">
      <c r="B261">
        <f>MONTH(Dates_Ref[[#This Row],[Start]])</f>
        <v>11</v>
      </c>
      <c r="C261" s="5">
        <f t="shared" si="4"/>
        <v>46713</v>
      </c>
      <c r="D261" s="2">
        <v>47</v>
      </c>
      <c r="E261">
        <v>24</v>
      </c>
      <c r="F261" s="1">
        <v>46731</v>
      </c>
      <c r="G261" s="5">
        <f>IF(Dates_Ref[[#This Row],[Pay QCH]]&lt;&gt;E260,Dates_Ref[[#This Row],[Start]]+18,"")</f>
        <v>46731</v>
      </c>
      <c r="H261">
        <f>WEEKDAY(Dates_Ref[[#This Row],[Start]],2)</f>
        <v>1</v>
      </c>
      <c r="I261">
        <f>WEEKNUM(Dates_Ref[[#This Row],[Start]],21)</f>
        <v>47</v>
      </c>
    </row>
    <row r="262" spans="2:9" x14ac:dyDescent="0.25">
      <c r="B262">
        <f>MONTH(Dates_Ref[[#This Row],[Start]])</f>
        <v>11</v>
      </c>
      <c r="C262" s="5">
        <f t="shared" si="4"/>
        <v>46720</v>
      </c>
      <c r="D262" s="2">
        <v>48</v>
      </c>
      <c r="E262">
        <v>24</v>
      </c>
      <c r="G262" s="5" t="str">
        <f>IF(Dates_Ref[[#This Row],[Pay QCH]]&lt;&gt;E261,Dates_Ref[[#This Row],[Start]]+18,"")</f>
        <v/>
      </c>
      <c r="H262">
        <f>WEEKDAY(Dates_Ref[[#This Row],[Start]],2)</f>
        <v>1</v>
      </c>
      <c r="I262">
        <f>WEEKNUM(Dates_Ref[[#This Row],[Start]],21)</f>
        <v>48</v>
      </c>
    </row>
    <row r="263" spans="2:9" x14ac:dyDescent="0.25">
      <c r="B263">
        <f>MONTH(Dates_Ref[[#This Row],[Start]])</f>
        <v>12</v>
      </c>
      <c r="C263" s="5">
        <f t="shared" ref="C263:C326" si="5">C262+7</f>
        <v>46727</v>
      </c>
      <c r="D263" s="2">
        <v>49</v>
      </c>
      <c r="E263">
        <v>25</v>
      </c>
      <c r="F263" s="1">
        <v>46745</v>
      </c>
      <c r="G263" s="5">
        <f>IF(Dates_Ref[[#This Row],[Pay QCH]]&lt;&gt;E262,Dates_Ref[[#This Row],[Start]]+18,"")</f>
        <v>46745</v>
      </c>
      <c r="H263">
        <f>WEEKDAY(Dates_Ref[[#This Row],[Start]],2)</f>
        <v>1</v>
      </c>
      <c r="I263">
        <f>WEEKNUM(Dates_Ref[[#This Row],[Start]],21)</f>
        <v>49</v>
      </c>
    </row>
    <row r="264" spans="2:9" x14ac:dyDescent="0.25">
      <c r="B264">
        <f>MONTH(Dates_Ref[[#This Row],[Start]])</f>
        <v>12</v>
      </c>
      <c r="C264" s="5">
        <f t="shared" si="5"/>
        <v>46734</v>
      </c>
      <c r="D264" s="2">
        <v>50</v>
      </c>
      <c r="E264">
        <v>25</v>
      </c>
      <c r="G264" s="5" t="str">
        <f>IF(Dates_Ref[[#This Row],[Pay QCH]]&lt;&gt;E263,Dates_Ref[[#This Row],[Start]]+18,"")</f>
        <v/>
      </c>
      <c r="H264">
        <f>WEEKDAY(Dates_Ref[[#This Row],[Start]],2)</f>
        <v>1</v>
      </c>
      <c r="I264">
        <f>WEEKNUM(Dates_Ref[[#This Row],[Start]],21)</f>
        <v>50</v>
      </c>
    </row>
    <row r="265" spans="2:9" x14ac:dyDescent="0.25">
      <c r="B265">
        <f>MONTH(Dates_Ref[[#This Row],[Start]])</f>
        <v>12</v>
      </c>
      <c r="C265" s="5">
        <f t="shared" si="5"/>
        <v>46741</v>
      </c>
      <c r="D265" s="2">
        <v>51</v>
      </c>
      <c r="E265">
        <v>26</v>
      </c>
      <c r="F265" s="1">
        <v>46759</v>
      </c>
      <c r="G265" s="5">
        <f>IF(Dates_Ref[[#This Row],[Pay QCH]]&lt;&gt;E264,Dates_Ref[[#This Row],[Start]]+18,"")</f>
        <v>46759</v>
      </c>
      <c r="H265">
        <f>WEEKDAY(Dates_Ref[[#This Row],[Start]],2)</f>
        <v>1</v>
      </c>
      <c r="I265">
        <f>WEEKNUM(Dates_Ref[[#This Row],[Start]],21)</f>
        <v>51</v>
      </c>
    </row>
    <row r="266" spans="2:9" x14ac:dyDescent="0.25">
      <c r="B266">
        <f>MONTH(Dates_Ref[[#This Row],[Start]])</f>
        <v>12</v>
      </c>
      <c r="C266" s="5">
        <f t="shared" si="5"/>
        <v>46748</v>
      </c>
      <c r="D266" s="2">
        <v>52</v>
      </c>
      <c r="E266">
        <v>26</v>
      </c>
      <c r="G266" s="5" t="str">
        <f>IF(Dates_Ref[[#This Row],[Pay QCH]]&lt;&gt;E265,Dates_Ref[[#This Row],[Start]]+18,"")</f>
        <v/>
      </c>
      <c r="H266">
        <f>WEEKDAY(Dates_Ref[[#This Row],[Start]],2)</f>
        <v>1</v>
      </c>
      <c r="I266">
        <f>WEEKNUM(Dates_Ref[[#This Row],[Start]],21)</f>
        <v>52</v>
      </c>
    </row>
    <row r="267" spans="2:9" x14ac:dyDescent="0.25">
      <c r="B267">
        <f>MONTH(Dates_Ref[[#This Row],[Start]])</f>
        <v>1</v>
      </c>
      <c r="C267" s="5">
        <f t="shared" si="5"/>
        <v>46755</v>
      </c>
      <c r="D267" s="2">
        <v>1</v>
      </c>
      <c r="E267">
        <v>1</v>
      </c>
      <c r="F267" s="1">
        <v>46773</v>
      </c>
      <c r="G267" s="5">
        <f>IF(Dates_Ref[[#This Row],[Pay QCH]]&lt;&gt;E266,Dates_Ref[[#This Row],[Start]]+18,"")</f>
        <v>46773</v>
      </c>
      <c r="H267">
        <f>WEEKDAY(Dates_Ref[[#This Row],[Start]],2)</f>
        <v>1</v>
      </c>
      <c r="I267">
        <f>WEEKNUM(Dates_Ref[[#This Row],[Start]],21)</f>
        <v>1</v>
      </c>
    </row>
    <row r="268" spans="2:9" x14ac:dyDescent="0.25">
      <c r="B268">
        <f>MONTH(Dates_Ref[[#This Row],[Start]])</f>
        <v>1</v>
      </c>
      <c r="C268" s="5">
        <f t="shared" si="5"/>
        <v>46762</v>
      </c>
      <c r="D268" s="2">
        <v>2</v>
      </c>
      <c r="E268">
        <v>1</v>
      </c>
      <c r="G268" s="5" t="str">
        <f>IF(Dates_Ref[[#This Row],[Pay QCH]]&lt;&gt;E267,Dates_Ref[[#This Row],[Start]]+18,"")</f>
        <v/>
      </c>
      <c r="H268">
        <f>WEEKDAY(Dates_Ref[[#This Row],[Start]],2)</f>
        <v>1</v>
      </c>
      <c r="I268">
        <f>WEEKNUM(Dates_Ref[[#This Row],[Start]],21)</f>
        <v>2</v>
      </c>
    </row>
    <row r="269" spans="2:9" x14ac:dyDescent="0.25">
      <c r="B269">
        <f>MONTH(Dates_Ref[[#This Row],[Start]])</f>
        <v>1</v>
      </c>
      <c r="C269" s="5">
        <f t="shared" si="5"/>
        <v>46769</v>
      </c>
      <c r="D269" s="2">
        <v>3</v>
      </c>
      <c r="E269">
        <v>2</v>
      </c>
      <c r="F269" s="1">
        <v>46787</v>
      </c>
      <c r="G269" s="5">
        <f>IF(Dates_Ref[[#This Row],[Pay QCH]]&lt;&gt;E268,Dates_Ref[[#This Row],[Start]]+18,"")</f>
        <v>46787</v>
      </c>
      <c r="H269">
        <f>WEEKDAY(Dates_Ref[[#This Row],[Start]],2)</f>
        <v>1</v>
      </c>
      <c r="I269">
        <f>WEEKNUM(Dates_Ref[[#This Row],[Start]],21)</f>
        <v>3</v>
      </c>
    </row>
    <row r="270" spans="2:9" x14ac:dyDescent="0.25">
      <c r="B270">
        <f>MONTH(Dates_Ref[[#This Row],[Start]])</f>
        <v>1</v>
      </c>
      <c r="C270" s="5">
        <f t="shared" si="5"/>
        <v>46776</v>
      </c>
      <c r="D270" s="2">
        <v>4</v>
      </c>
      <c r="E270">
        <v>2</v>
      </c>
      <c r="G270" s="5" t="str">
        <f>IF(Dates_Ref[[#This Row],[Pay QCH]]&lt;&gt;E269,Dates_Ref[[#This Row],[Start]]+18,"")</f>
        <v/>
      </c>
      <c r="H270">
        <f>WEEKDAY(Dates_Ref[[#This Row],[Start]],2)</f>
        <v>1</v>
      </c>
      <c r="I270">
        <f>WEEKNUM(Dates_Ref[[#This Row],[Start]],21)</f>
        <v>4</v>
      </c>
    </row>
    <row r="271" spans="2:9" x14ac:dyDescent="0.25">
      <c r="B271">
        <f>MONTH(Dates_Ref[[#This Row],[Start]])</f>
        <v>1</v>
      </c>
      <c r="C271" s="5">
        <f t="shared" si="5"/>
        <v>46783</v>
      </c>
      <c r="D271" s="2">
        <v>5</v>
      </c>
      <c r="E271">
        <v>3</v>
      </c>
      <c r="F271" s="1">
        <v>46801</v>
      </c>
      <c r="G271" s="5">
        <f>IF(Dates_Ref[[#This Row],[Pay QCH]]&lt;&gt;E270,Dates_Ref[[#This Row],[Start]]+18,"")</f>
        <v>46801</v>
      </c>
      <c r="H271">
        <f>WEEKDAY(Dates_Ref[[#This Row],[Start]],2)</f>
        <v>1</v>
      </c>
      <c r="I271">
        <f>WEEKNUM(Dates_Ref[[#This Row],[Start]],21)</f>
        <v>5</v>
      </c>
    </row>
    <row r="272" spans="2:9" x14ac:dyDescent="0.25">
      <c r="B272">
        <f>MONTH(Dates_Ref[[#This Row],[Start]])</f>
        <v>2</v>
      </c>
      <c r="C272" s="5">
        <f t="shared" si="5"/>
        <v>46790</v>
      </c>
      <c r="D272" s="2">
        <v>6</v>
      </c>
      <c r="E272">
        <v>3</v>
      </c>
      <c r="G272" s="5" t="str">
        <f>IF(Dates_Ref[[#This Row],[Pay QCH]]&lt;&gt;E271,Dates_Ref[[#This Row],[Start]]+18,"")</f>
        <v/>
      </c>
      <c r="H272">
        <f>WEEKDAY(Dates_Ref[[#This Row],[Start]],2)</f>
        <v>1</v>
      </c>
      <c r="I272">
        <f>WEEKNUM(Dates_Ref[[#This Row],[Start]],21)</f>
        <v>6</v>
      </c>
    </row>
    <row r="273" spans="2:9" x14ac:dyDescent="0.25">
      <c r="B273">
        <f>MONTH(Dates_Ref[[#This Row],[Start]])</f>
        <v>2</v>
      </c>
      <c r="C273" s="5">
        <f t="shared" si="5"/>
        <v>46797</v>
      </c>
      <c r="D273" s="2">
        <v>7</v>
      </c>
      <c r="E273">
        <v>4</v>
      </c>
      <c r="F273" s="1">
        <v>46815</v>
      </c>
      <c r="G273" s="5">
        <f>IF(Dates_Ref[[#This Row],[Pay QCH]]&lt;&gt;E272,Dates_Ref[[#This Row],[Start]]+18,"")</f>
        <v>46815</v>
      </c>
      <c r="H273">
        <f>WEEKDAY(Dates_Ref[[#This Row],[Start]],2)</f>
        <v>1</v>
      </c>
      <c r="I273">
        <f>WEEKNUM(Dates_Ref[[#This Row],[Start]],21)</f>
        <v>7</v>
      </c>
    </row>
    <row r="274" spans="2:9" x14ac:dyDescent="0.25">
      <c r="B274">
        <f>MONTH(Dates_Ref[[#This Row],[Start]])</f>
        <v>2</v>
      </c>
      <c r="C274" s="5">
        <f t="shared" si="5"/>
        <v>46804</v>
      </c>
      <c r="D274" s="2">
        <v>8</v>
      </c>
      <c r="E274">
        <v>4</v>
      </c>
      <c r="G274" s="5" t="str">
        <f>IF(Dates_Ref[[#This Row],[Pay QCH]]&lt;&gt;E273,Dates_Ref[[#This Row],[Start]]+18,"")</f>
        <v/>
      </c>
      <c r="H274">
        <f>WEEKDAY(Dates_Ref[[#This Row],[Start]],2)</f>
        <v>1</v>
      </c>
      <c r="I274">
        <f>WEEKNUM(Dates_Ref[[#This Row],[Start]],21)</f>
        <v>8</v>
      </c>
    </row>
    <row r="275" spans="2:9" x14ac:dyDescent="0.25">
      <c r="B275">
        <f>MONTH(Dates_Ref[[#This Row],[Start]])</f>
        <v>2</v>
      </c>
      <c r="C275" s="5">
        <f t="shared" si="5"/>
        <v>46811</v>
      </c>
      <c r="D275" s="2">
        <v>9</v>
      </c>
      <c r="E275">
        <v>5</v>
      </c>
      <c r="F275" s="1">
        <v>46829</v>
      </c>
      <c r="G275" s="5">
        <f>IF(Dates_Ref[[#This Row],[Pay QCH]]&lt;&gt;E274,Dates_Ref[[#This Row],[Start]]+18,"")</f>
        <v>46829</v>
      </c>
      <c r="H275">
        <f>WEEKDAY(Dates_Ref[[#This Row],[Start]],2)</f>
        <v>1</v>
      </c>
      <c r="I275">
        <f>WEEKNUM(Dates_Ref[[#This Row],[Start]],21)</f>
        <v>9</v>
      </c>
    </row>
    <row r="276" spans="2:9" x14ac:dyDescent="0.25">
      <c r="B276">
        <f>MONTH(Dates_Ref[[#This Row],[Start]])</f>
        <v>3</v>
      </c>
      <c r="C276" s="5">
        <f t="shared" si="5"/>
        <v>46818</v>
      </c>
      <c r="D276" s="2">
        <v>10</v>
      </c>
      <c r="E276">
        <v>5</v>
      </c>
      <c r="G276" s="5" t="str">
        <f>IF(Dates_Ref[[#This Row],[Pay QCH]]&lt;&gt;E275,Dates_Ref[[#This Row],[Start]]+18,"")</f>
        <v/>
      </c>
      <c r="H276">
        <f>WEEKDAY(Dates_Ref[[#This Row],[Start]],2)</f>
        <v>1</v>
      </c>
      <c r="I276">
        <f>WEEKNUM(Dates_Ref[[#This Row],[Start]],21)</f>
        <v>10</v>
      </c>
    </row>
    <row r="277" spans="2:9" x14ac:dyDescent="0.25">
      <c r="B277">
        <f>MONTH(Dates_Ref[[#This Row],[Start]])</f>
        <v>3</v>
      </c>
      <c r="C277" s="5">
        <f t="shared" si="5"/>
        <v>46825</v>
      </c>
      <c r="D277" s="2">
        <v>11</v>
      </c>
      <c r="E277">
        <v>6</v>
      </c>
      <c r="F277" s="1">
        <v>46843</v>
      </c>
      <c r="G277" s="5">
        <f>IF(Dates_Ref[[#This Row],[Pay QCH]]&lt;&gt;E276,Dates_Ref[[#This Row],[Start]]+18,"")</f>
        <v>46843</v>
      </c>
      <c r="H277">
        <f>WEEKDAY(Dates_Ref[[#This Row],[Start]],2)</f>
        <v>1</v>
      </c>
      <c r="I277">
        <f>WEEKNUM(Dates_Ref[[#This Row],[Start]],21)</f>
        <v>11</v>
      </c>
    </row>
    <row r="278" spans="2:9" x14ac:dyDescent="0.25">
      <c r="B278">
        <f>MONTH(Dates_Ref[[#This Row],[Start]])</f>
        <v>3</v>
      </c>
      <c r="C278" s="5">
        <f t="shared" si="5"/>
        <v>46832</v>
      </c>
      <c r="D278" s="2">
        <v>12</v>
      </c>
      <c r="E278">
        <v>6</v>
      </c>
      <c r="G278" s="5" t="str">
        <f>IF(Dates_Ref[[#This Row],[Pay QCH]]&lt;&gt;E277,Dates_Ref[[#This Row],[Start]]+18,"")</f>
        <v/>
      </c>
      <c r="H278">
        <f>WEEKDAY(Dates_Ref[[#This Row],[Start]],2)</f>
        <v>1</v>
      </c>
      <c r="I278">
        <f>WEEKNUM(Dates_Ref[[#This Row],[Start]],21)</f>
        <v>12</v>
      </c>
    </row>
    <row r="279" spans="2:9" x14ac:dyDescent="0.25">
      <c r="B279">
        <f>MONTH(Dates_Ref[[#This Row],[Start]])</f>
        <v>3</v>
      </c>
      <c r="C279" s="5">
        <f t="shared" si="5"/>
        <v>46839</v>
      </c>
      <c r="D279" s="2">
        <v>13</v>
      </c>
      <c r="E279">
        <v>7</v>
      </c>
      <c r="F279" s="1">
        <v>46857</v>
      </c>
      <c r="G279" s="5">
        <f>IF(Dates_Ref[[#This Row],[Pay QCH]]&lt;&gt;E278,Dates_Ref[[#This Row],[Start]]+18,"")</f>
        <v>46857</v>
      </c>
      <c r="H279">
        <f>WEEKDAY(Dates_Ref[[#This Row],[Start]],2)</f>
        <v>1</v>
      </c>
      <c r="I279">
        <f>WEEKNUM(Dates_Ref[[#This Row],[Start]],21)</f>
        <v>13</v>
      </c>
    </row>
    <row r="280" spans="2:9" x14ac:dyDescent="0.25">
      <c r="B280">
        <f>MONTH(Dates_Ref[[#This Row],[Start]])</f>
        <v>4</v>
      </c>
      <c r="C280" s="5">
        <f t="shared" si="5"/>
        <v>46846</v>
      </c>
      <c r="D280" s="2">
        <v>14</v>
      </c>
      <c r="E280">
        <v>7</v>
      </c>
      <c r="G280" s="5" t="str">
        <f>IF(Dates_Ref[[#This Row],[Pay QCH]]&lt;&gt;E279,Dates_Ref[[#This Row],[Start]]+18,"")</f>
        <v/>
      </c>
      <c r="H280">
        <f>WEEKDAY(Dates_Ref[[#This Row],[Start]],2)</f>
        <v>1</v>
      </c>
      <c r="I280">
        <f>WEEKNUM(Dates_Ref[[#This Row],[Start]],21)</f>
        <v>14</v>
      </c>
    </row>
    <row r="281" spans="2:9" x14ac:dyDescent="0.25">
      <c r="B281">
        <f>MONTH(Dates_Ref[[#This Row],[Start]])</f>
        <v>4</v>
      </c>
      <c r="C281" s="5">
        <f t="shared" si="5"/>
        <v>46853</v>
      </c>
      <c r="D281" s="2">
        <v>15</v>
      </c>
      <c r="E281">
        <v>8</v>
      </c>
      <c r="F281" s="1">
        <v>46871</v>
      </c>
      <c r="G281" s="5">
        <f>IF(Dates_Ref[[#This Row],[Pay QCH]]&lt;&gt;E280,Dates_Ref[[#This Row],[Start]]+18,"")</f>
        <v>46871</v>
      </c>
      <c r="H281">
        <f>WEEKDAY(Dates_Ref[[#This Row],[Start]],2)</f>
        <v>1</v>
      </c>
      <c r="I281">
        <f>WEEKNUM(Dates_Ref[[#This Row],[Start]],21)</f>
        <v>15</v>
      </c>
    </row>
    <row r="282" spans="2:9" x14ac:dyDescent="0.25">
      <c r="B282">
        <f>MONTH(Dates_Ref[[#This Row],[Start]])</f>
        <v>4</v>
      </c>
      <c r="C282" s="5">
        <f t="shared" si="5"/>
        <v>46860</v>
      </c>
      <c r="D282" s="2">
        <v>16</v>
      </c>
      <c r="E282">
        <v>8</v>
      </c>
      <c r="G282" s="5" t="str">
        <f>IF(Dates_Ref[[#This Row],[Pay QCH]]&lt;&gt;E281,Dates_Ref[[#This Row],[Start]]+18,"")</f>
        <v/>
      </c>
      <c r="H282">
        <f>WEEKDAY(Dates_Ref[[#This Row],[Start]],2)</f>
        <v>1</v>
      </c>
      <c r="I282">
        <f>WEEKNUM(Dates_Ref[[#This Row],[Start]],21)</f>
        <v>16</v>
      </c>
    </row>
    <row r="283" spans="2:9" x14ac:dyDescent="0.25">
      <c r="B283">
        <f>MONTH(Dates_Ref[[#This Row],[Start]])</f>
        <v>4</v>
      </c>
      <c r="C283" s="5">
        <f t="shared" si="5"/>
        <v>46867</v>
      </c>
      <c r="D283" s="2">
        <v>17</v>
      </c>
      <c r="E283">
        <v>9</v>
      </c>
      <c r="F283" s="1">
        <v>46885</v>
      </c>
      <c r="G283" s="5">
        <f>IF(Dates_Ref[[#This Row],[Pay QCH]]&lt;&gt;E282,Dates_Ref[[#This Row],[Start]]+18,"")</f>
        <v>46885</v>
      </c>
      <c r="H283">
        <f>WEEKDAY(Dates_Ref[[#This Row],[Start]],2)</f>
        <v>1</v>
      </c>
      <c r="I283">
        <f>WEEKNUM(Dates_Ref[[#This Row],[Start]],21)</f>
        <v>17</v>
      </c>
    </row>
    <row r="284" spans="2:9" x14ac:dyDescent="0.25">
      <c r="B284">
        <f>MONTH(Dates_Ref[[#This Row],[Start]])</f>
        <v>5</v>
      </c>
      <c r="C284" s="5">
        <f t="shared" si="5"/>
        <v>46874</v>
      </c>
      <c r="D284" s="2">
        <v>18</v>
      </c>
      <c r="E284">
        <v>9</v>
      </c>
      <c r="G284" s="5" t="str">
        <f>IF(Dates_Ref[[#This Row],[Pay QCH]]&lt;&gt;E283,Dates_Ref[[#This Row],[Start]]+18,"")</f>
        <v/>
      </c>
      <c r="H284">
        <f>WEEKDAY(Dates_Ref[[#This Row],[Start]],2)</f>
        <v>1</v>
      </c>
      <c r="I284">
        <f>WEEKNUM(Dates_Ref[[#This Row],[Start]],21)</f>
        <v>18</v>
      </c>
    </row>
    <row r="285" spans="2:9" x14ac:dyDescent="0.25">
      <c r="B285">
        <f>MONTH(Dates_Ref[[#This Row],[Start]])</f>
        <v>5</v>
      </c>
      <c r="C285" s="5">
        <f t="shared" si="5"/>
        <v>46881</v>
      </c>
      <c r="D285" s="2">
        <v>19</v>
      </c>
      <c r="E285">
        <v>10</v>
      </c>
      <c r="F285" s="1">
        <v>46899</v>
      </c>
      <c r="G285" s="5">
        <f>IF(Dates_Ref[[#This Row],[Pay QCH]]&lt;&gt;E284,Dates_Ref[[#This Row],[Start]]+18,"")</f>
        <v>46899</v>
      </c>
      <c r="H285">
        <f>WEEKDAY(Dates_Ref[[#This Row],[Start]],2)</f>
        <v>1</v>
      </c>
      <c r="I285">
        <f>WEEKNUM(Dates_Ref[[#This Row],[Start]],21)</f>
        <v>19</v>
      </c>
    </row>
    <row r="286" spans="2:9" x14ac:dyDescent="0.25">
      <c r="B286">
        <f>MONTH(Dates_Ref[[#This Row],[Start]])</f>
        <v>5</v>
      </c>
      <c r="C286" s="5">
        <f t="shared" si="5"/>
        <v>46888</v>
      </c>
      <c r="D286" s="2">
        <v>20</v>
      </c>
      <c r="E286">
        <v>10</v>
      </c>
      <c r="G286" s="5" t="str">
        <f>IF(Dates_Ref[[#This Row],[Pay QCH]]&lt;&gt;E285,Dates_Ref[[#This Row],[Start]]+18,"")</f>
        <v/>
      </c>
      <c r="H286">
        <f>WEEKDAY(Dates_Ref[[#This Row],[Start]],2)</f>
        <v>1</v>
      </c>
      <c r="I286">
        <f>WEEKNUM(Dates_Ref[[#This Row],[Start]],21)</f>
        <v>20</v>
      </c>
    </row>
    <row r="287" spans="2:9" x14ac:dyDescent="0.25">
      <c r="B287">
        <f>MONTH(Dates_Ref[[#This Row],[Start]])</f>
        <v>5</v>
      </c>
      <c r="C287" s="5">
        <f t="shared" si="5"/>
        <v>46895</v>
      </c>
      <c r="D287" s="2">
        <v>21</v>
      </c>
      <c r="E287">
        <v>11</v>
      </c>
      <c r="F287" s="1">
        <v>46913</v>
      </c>
      <c r="G287" s="5">
        <f>IF(Dates_Ref[[#This Row],[Pay QCH]]&lt;&gt;E286,Dates_Ref[[#This Row],[Start]]+18,"")</f>
        <v>46913</v>
      </c>
      <c r="H287">
        <f>WEEKDAY(Dates_Ref[[#This Row],[Start]],2)</f>
        <v>1</v>
      </c>
      <c r="I287">
        <f>WEEKNUM(Dates_Ref[[#This Row],[Start]],21)</f>
        <v>21</v>
      </c>
    </row>
    <row r="288" spans="2:9" x14ac:dyDescent="0.25">
      <c r="B288">
        <f>MONTH(Dates_Ref[[#This Row],[Start]])</f>
        <v>5</v>
      </c>
      <c r="C288" s="5">
        <f t="shared" si="5"/>
        <v>46902</v>
      </c>
      <c r="D288" s="2">
        <v>22</v>
      </c>
      <c r="E288">
        <v>11</v>
      </c>
      <c r="G288" s="5" t="str">
        <f>IF(Dates_Ref[[#This Row],[Pay QCH]]&lt;&gt;E287,Dates_Ref[[#This Row],[Start]]+18,"")</f>
        <v/>
      </c>
      <c r="H288">
        <f>WEEKDAY(Dates_Ref[[#This Row],[Start]],2)</f>
        <v>1</v>
      </c>
      <c r="I288">
        <f>WEEKNUM(Dates_Ref[[#This Row],[Start]],21)</f>
        <v>22</v>
      </c>
    </row>
    <row r="289" spans="2:9" x14ac:dyDescent="0.25">
      <c r="B289">
        <f>MONTH(Dates_Ref[[#This Row],[Start]])</f>
        <v>6</v>
      </c>
      <c r="C289" s="5">
        <f t="shared" si="5"/>
        <v>46909</v>
      </c>
      <c r="D289" s="2">
        <v>23</v>
      </c>
      <c r="E289">
        <v>12</v>
      </c>
      <c r="F289" s="1">
        <v>46927</v>
      </c>
      <c r="G289" s="5">
        <f>IF(Dates_Ref[[#This Row],[Pay QCH]]&lt;&gt;E288,Dates_Ref[[#This Row],[Start]]+18,"")</f>
        <v>46927</v>
      </c>
      <c r="H289">
        <f>WEEKDAY(Dates_Ref[[#This Row],[Start]],2)</f>
        <v>1</v>
      </c>
      <c r="I289">
        <f>WEEKNUM(Dates_Ref[[#This Row],[Start]],21)</f>
        <v>23</v>
      </c>
    </row>
    <row r="290" spans="2:9" x14ac:dyDescent="0.25">
      <c r="B290">
        <f>MONTH(Dates_Ref[[#This Row],[Start]])</f>
        <v>6</v>
      </c>
      <c r="C290" s="5">
        <f t="shared" si="5"/>
        <v>46916</v>
      </c>
      <c r="D290" s="2">
        <v>24</v>
      </c>
      <c r="E290">
        <v>12</v>
      </c>
      <c r="G290" s="5" t="str">
        <f>IF(Dates_Ref[[#This Row],[Pay QCH]]&lt;&gt;E289,Dates_Ref[[#This Row],[Start]]+18,"")</f>
        <v/>
      </c>
      <c r="H290">
        <f>WEEKDAY(Dates_Ref[[#This Row],[Start]],2)</f>
        <v>1</v>
      </c>
      <c r="I290">
        <f>WEEKNUM(Dates_Ref[[#This Row],[Start]],21)</f>
        <v>24</v>
      </c>
    </row>
    <row r="291" spans="2:9" x14ac:dyDescent="0.25">
      <c r="B291">
        <f>MONTH(Dates_Ref[[#This Row],[Start]])</f>
        <v>6</v>
      </c>
      <c r="C291" s="5">
        <f t="shared" si="5"/>
        <v>46923</v>
      </c>
      <c r="D291" s="2">
        <v>25</v>
      </c>
      <c r="E291">
        <v>13</v>
      </c>
      <c r="F291" s="1">
        <v>46941</v>
      </c>
      <c r="G291" s="5">
        <f>IF(Dates_Ref[[#This Row],[Pay QCH]]&lt;&gt;E290,Dates_Ref[[#This Row],[Start]]+18,"")</f>
        <v>46941</v>
      </c>
      <c r="H291">
        <f>WEEKDAY(Dates_Ref[[#This Row],[Start]],2)</f>
        <v>1</v>
      </c>
      <c r="I291">
        <f>WEEKNUM(Dates_Ref[[#This Row],[Start]],21)</f>
        <v>25</v>
      </c>
    </row>
    <row r="292" spans="2:9" x14ac:dyDescent="0.25">
      <c r="B292">
        <f>MONTH(Dates_Ref[[#This Row],[Start]])</f>
        <v>6</v>
      </c>
      <c r="C292" s="5">
        <f t="shared" si="5"/>
        <v>46930</v>
      </c>
      <c r="D292" s="2">
        <v>26</v>
      </c>
      <c r="E292">
        <v>13</v>
      </c>
      <c r="G292" s="5" t="str">
        <f>IF(Dates_Ref[[#This Row],[Pay QCH]]&lt;&gt;E291,Dates_Ref[[#This Row],[Start]]+18,"")</f>
        <v/>
      </c>
      <c r="H292">
        <f>WEEKDAY(Dates_Ref[[#This Row],[Start]],2)</f>
        <v>1</v>
      </c>
      <c r="I292">
        <f>WEEKNUM(Dates_Ref[[#This Row],[Start]],21)</f>
        <v>26</v>
      </c>
    </row>
    <row r="293" spans="2:9" x14ac:dyDescent="0.25">
      <c r="B293">
        <f>MONTH(Dates_Ref[[#This Row],[Start]])</f>
        <v>7</v>
      </c>
      <c r="C293" s="5">
        <f t="shared" si="5"/>
        <v>46937</v>
      </c>
      <c r="D293" s="2">
        <v>27</v>
      </c>
      <c r="E293">
        <v>14</v>
      </c>
      <c r="F293" s="1">
        <v>46955</v>
      </c>
      <c r="G293" s="5">
        <f>IF(Dates_Ref[[#This Row],[Pay QCH]]&lt;&gt;E292,Dates_Ref[[#This Row],[Start]]+18,"")</f>
        <v>46955</v>
      </c>
      <c r="H293">
        <f>WEEKDAY(Dates_Ref[[#This Row],[Start]],2)</f>
        <v>1</v>
      </c>
      <c r="I293">
        <f>WEEKNUM(Dates_Ref[[#This Row],[Start]],21)</f>
        <v>27</v>
      </c>
    </row>
    <row r="294" spans="2:9" x14ac:dyDescent="0.25">
      <c r="B294">
        <f>MONTH(Dates_Ref[[#This Row],[Start]])</f>
        <v>7</v>
      </c>
      <c r="C294" s="5">
        <f t="shared" si="5"/>
        <v>46944</v>
      </c>
      <c r="D294" s="2">
        <v>28</v>
      </c>
      <c r="E294">
        <v>14</v>
      </c>
      <c r="G294" s="5" t="str">
        <f>IF(Dates_Ref[[#This Row],[Pay QCH]]&lt;&gt;E293,Dates_Ref[[#This Row],[Start]]+18,"")</f>
        <v/>
      </c>
      <c r="H294">
        <f>WEEKDAY(Dates_Ref[[#This Row],[Start]],2)</f>
        <v>1</v>
      </c>
      <c r="I294">
        <f>WEEKNUM(Dates_Ref[[#This Row],[Start]],21)</f>
        <v>28</v>
      </c>
    </row>
    <row r="295" spans="2:9" x14ac:dyDescent="0.25">
      <c r="B295">
        <f>MONTH(Dates_Ref[[#This Row],[Start]])</f>
        <v>7</v>
      </c>
      <c r="C295" s="5">
        <f t="shared" si="5"/>
        <v>46951</v>
      </c>
      <c r="D295" s="2">
        <v>29</v>
      </c>
      <c r="E295">
        <v>15</v>
      </c>
      <c r="F295" s="1">
        <v>46969</v>
      </c>
      <c r="G295" s="5">
        <f>IF(Dates_Ref[[#This Row],[Pay QCH]]&lt;&gt;E294,Dates_Ref[[#This Row],[Start]]+18,"")</f>
        <v>46969</v>
      </c>
      <c r="H295">
        <f>WEEKDAY(Dates_Ref[[#This Row],[Start]],2)</f>
        <v>1</v>
      </c>
      <c r="I295">
        <f>WEEKNUM(Dates_Ref[[#This Row],[Start]],21)</f>
        <v>29</v>
      </c>
    </row>
    <row r="296" spans="2:9" x14ac:dyDescent="0.25">
      <c r="B296">
        <f>MONTH(Dates_Ref[[#This Row],[Start]])</f>
        <v>7</v>
      </c>
      <c r="C296" s="5">
        <f t="shared" si="5"/>
        <v>46958</v>
      </c>
      <c r="D296" s="2">
        <v>30</v>
      </c>
      <c r="E296">
        <v>15</v>
      </c>
      <c r="G296" s="5" t="str">
        <f>IF(Dates_Ref[[#This Row],[Pay QCH]]&lt;&gt;E295,Dates_Ref[[#This Row],[Start]]+18,"")</f>
        <v/>
      </c>
      <c r="H296">
        <f>WEEKDAY(Dates_Ref[[#This Row],[Start]],2)</f>
        <v>1</v>
      </c>
      <c r="I296">
        <f>WEEKNUM(Dates_Ref[[#This Row],[Start]],21)</f>
        <v>30</v>
      </c>
    </row>
    <row r="297" spans="2:9" x14ac:dyDescent="0.25">
      <c r="B297">
        <f>MONTH(Dates_Ref[[#This Row],[Start]])</f>
        <v>7</v>
      </c>
      <c r="C297" s="5">
        <f t="shared" si="5"/>
        <v>46965</v>
      </c>
      <c r="D297" s="2">
        <v>31</v>
      </c>
      <c r="E297">
        <v>16</v>
      </c>
      <c r="F297" s="1">
        <v>46983</v>
      </c>
      <c r="G297" s="5">
        <f>IF(Dates_Ref[[#This Row],[Pay QCH]]&lt;&gt;E296,Dates_Ref[[#This Row],[Start]]+18,"")</f>
        <v>46983</v>
      </c>
      <c r="H297">
        <f>WEEKDAY(Dates_Ref[[#This Row],[Start]],2)</f>
        <v>1</v>
      </c>
      <c r="I297">
        <f>WEEKNUM(Dates_Ref[[#This Row],[Start]],21)</f>
        <v>31</v>
      </c>
    </row>
    <row r="298" spans="2:9" x14ac:dyDescent="0.25">
      <c r="B298">
        <f>MONTH(Dates_Ref[[#This Row],[Start]])</f>
        <v>8</v>
      </c>
      <c r="C298" s="5">
        <f t="shared" si="5"/>
        <v>46972</v>
      </c>
      <c r="D298" s="2">
        <v>32</v>
      </c>
      <c r="E298">
        <v>16</v>
      </c>
      <c r="G298" s="5" t="str">
        <f>IF(Dates_Ref[[#This Row],[Pay QCH]]&lt;&gt;E297,Dates_Ref[[#This Row],[Start]]+18,"")</f>
        <v/>
      </c>
      <c r="H298">
        <f>WEEKDAY(Dates_Ref[[#This Row],[Start]],2)</f>
        <v>1</v>
      </c>
      <c r="I298">
        <f>WEEKNUM(Dates_Ref[[#This Row],[Start]],21)</f>
        <v>32</v>
      </c>
    </row>
    <row r="299" spans="2:9" x14ac:dyDescent="0.25">
      <c r="B299">
        <f>MONTH(Dates_Ref[[#This Row],[Start]])</f>
        <v>8</v>
      </c>
      <c r="C299" s="5">
        <f t="shared" si="5"/>
        <v>46979</v>
      </c>
      <c r="D299" s="2">
        <v>33</v>
      </c>
      <c r="E299">
        <v>17</v>
      </c>
      <c r="F299" s="1">
        <v>46997</v>
      </c>
      <c r="G299" s="5">
        <f>IF(Dates_Ref[[#This Row],[Pay QCH]]&lt;&gt;E298,Dates_Ref[[#This Row],[Start]]+18,"")</f>
        <v>46997</v>
      </c>
      <c r="H299">
        <f>WEEKDAY(Dates_Ref[[#This Row],[Start]],2)</f>
        <v>1</v>
      </c>
      <c r="I299">
        <f>WEEKNUM(Dates_Ref[[#This Row],[Start]],21)</f>
        <v>33</v>
      </c>
    </row>
    <row r="300" spans="2:9" x14ac:dyDescent="0.25">
      <c r="B300">
        <f>MONTH(Dates_Ref[[#This Row],[Start]])</f>
        <v>8</v>
      </c>
      <c r="C300" s="5">
        <f t="shared" si="5"/>
        <v>46986</v>
      </c>
      <c r="D300" s="2">
        <v>34</v>
      </c>
      <c r="E300">
        <v>17</v>
      </c>
      <c r="G300" s="5" t="str">
        <f>IF(Dates_Ref[[#This Row],[Pay QCH]]&lt;&gt;E299,Dates_Ref[[#This Row],[Start]]+18,"")</f>
        <v/>
      </c>
      <c r="H300">
        <f>WEEKDAY(Dates_Ref[[#This Row],[Start]],2)</f>
        <v>1</v>
      </c>
      <c r="I300">
        <f>WEEKNUM(Dates_Ref[[#This Row],[Start]],21)</f>
        <v>34</v>
      </c>
    </row>
    <row r="301" spans="2:9" x14ac:dyDescent="0.25">
      <c r="B301">
        <f>MONTH(Dates_Ref[[#This Row],[Start]])</f>
        <v>8</v>
      </c>
      <c r="C301" s="5">
        <f t="shared" si="5"/>
        <v>46993</v>
      </c>
      <c r="D301" s="2">
        <v>35</v>
      </c>
      <c r="E301">
        <v>18</v>
      </c>
      <c r="F301" s="1">
        <v>47011</v>
      </c>
      <c r="G301" s="5">
        <f>IF(Dates_Ref[[#This Row],[Pay QCH]]&lt;&gt;E300,Dates_Ref[[#This Row],[Start]]+18,"")</f>
        <v>47011</v>
      </c>
      <c r="H301">
        <f>WEEKDAY(Dates_Ref[[#This Row],[Start]],2)</f>
        <v>1</v>
      </c>
      <c r="I301">
        <f>WEEKNUM(Dates_Ref[[#This Row],[Start]],21)</f>
        <v>35</v>
      </c>
    </row>
    <row r="302" spans="2:9" x14ac:dyDescent="0.25">
      <c r="B302">
        <f>MONTH(Dates_Ref[[#This Row],[Start]])</f>
        <v>9</v>
      </c>
      <c r="C302" s="5">
        <f t="shared" si="5"/>
        <v>47000</v>
      </c>
      <c r="D302" s="2">
        <v>36</v>
      </c>
      <c r="E302">
        <v>18</v>
      </c>
      <c r="G302" s="5" t="str">
        <f>IF(Dates_Ref[[#This Row],[Pay QCH]]&lt;&gt;E301,Dates_Ref[[#This Row],[Start]]+18,"")</f>
        <v/>
      </c>
      <c r="H302">
        <f>WEEKDAY(Dates_Ref[[#This Row],[Start]],2)</f>
        <v>1</v>
      </c>
      <c r="I302">
        <f>WEEKNUM(Dates_Ref[[#This Row],[Start]],21)</f>
        <v>36</v>
      </c>
    </row>
    <row r="303" spans="2:9" x14ac:dyDescent="0.25">
      <c r="B303">
        <f>MONTH(Dates_Ref[[#This Row],[Start]])</f>
        <v>9</v>
      </c>
      <c r="C303" s="5">
        <f t="shared" si="5"/>
        <v>47007</v>
      </c>
      <c r="D303" s="2">
        <v>37</v>
      </c>
      <c r="E303">
        <v>19</v>
      </c>
      <c r="F303" s="1">
        <v>47025</v>
      </c>
      <c r="G303" s="5">
        <f>IF(Dates_Ref[[#This Row],[Pay QCH]]&lt;&gt;E302,Dates_Ref[[#This Row],[Start]]+18,"")</f>
        <v>47025</v>
      </c>
      <c r="H303">
        <f>WEEKDAY(Dates_Ref[[#This Row],[Start]],2)</f>
        <v>1</v>
      </c>
      <c r="I303">
        <f>WEEKNUM(Dates_Ref[[#This Row],[Start]],21)</f>
        <v>37</v>
      </c>
    </row>
    <row r="304" spans="2:9" x14ac:dyDescent="0.25">
      <c r="B304">
        <f>MONTH(Dates_Ref[[#This Row],[Start]])</f>
        <v>9</v>
      </c>
      <c r="C304" s="5">
        <f t="shared" si="5"/>
        <v>47014</v>
      </c>
      <c r="D304" s="2">
        <v>38</v>
      </c>
      <c r="E304">
        <v>19</v>
      </c>
      <c r="G304" s="5" t="str">
        <f>IF(Dates_Ref[[#This Row],[Pay QCH]]&lt;&gt;E303,Dates_Ref[[#This Row],[Start]]+18,"")</f>
        <v/>
      </c>
      <c r="H304">
        <f>WEEKDAY(Dates_Ref[[#This Row],[Start]],2)</f>
        <v>1</v>
      </c>
      <c r="I304">
        <f>WEEKNUM(Dates_Ref[[#This Row],[Start]],21)</f>
        <v>38</v>
      </c>
    </row>
    <row r="305" spans="2:9" x14ac:dyDescent="0.25">
      <c r="B305">
        <f>MONTH(Dates_Ref[[#This Row],[Start]])</f>
        <v>9</v>
      </c>
      <c r="C305" s="5">
        <f t="shared" si="5"/>
        <v>47021</v>
      </c>
      <c r="D305" s="2">
        <v>39</v>
      </c>
      <c r="E305">
        <v>20</v>
      </c>
      <c r="F305" s="1">
        <v>47039</v>
      </c>
      <c r="G305" s="5">
        <f>IF(Dates_Ref[[#This Row],[Pay QCH]]&lt;&gt;E304,Dates_Ref[[#This Row],[Start]]+18,"")</f>
        <v>47039</v>
      </c>
      <c r="H305">
        <f>WEEKDAY(Dates_Ref[[#This Row],[Start]],2)</f>
        <v>1</v>
      </c>
      <c r="I305">
        <f>WEEKNUM(Dates_Ref[[#This Row],[Start]],21)</f>
        <v>39</v>
      </c>
    </row>
    <row r="306" spans="2:9" x14ac:dyDescent="0.25">
      <c r="B306">
        <f>MONTH(Dates_Ref[[#This Row],[Start]])</f>
        <v>10</v>
      </c>
      <c r="C306" s="5">
        <f t="shared" si="5"/>
        <v>47028</v>
      </c>
      <c r="D306" s="2">
        <v>40</v>
      </c>
      <c r="E306">
        <v>20</v>
      </c>
      <c r="G306" s="5" t="str">
        <f>IF(Dates_Ref[[#This Row],[Pay QCH]]&lt;&gt;E305,Dates_Ref[[#This Row],[Start]]+18,"")</f>
        <v/>
      </c>
      <c r="H306">
        <f>WEEKDAY(Dates_Ref[[#This Row],[Start]],2)</f>
        <v>1</v>
      </c>
      <c r="I306">
        <f>WEEKNUM(Dates_Ref[[#This Row],[Start]],21)</f>
        <v>40</v>
      </c>
    </row>
    <row r="307" spans="2:9" x14ac:dyDescent="0.25">
      <c r="B307">
        <f>MONTH(Dates_Ref[[#This Row],[Start]])</f>
        <v>10</v>
      </c>
      <c r="C307" s="5">
        <f t="shared" si="5"/>
        <v>47035</v>
      </c>
      <c r="D307" s="2">
        <v>41</v>
      </c>
      <c r="E307">
        <v>21</v>
      </c>
      <c r="F307" s="1">
        <v>47053</v>
      </c>
      <c r="G307" s="5">
        <f>IF(Dates_Ref[[#This Row],[Pay QCH]]&lt;&gt;E306,Dates_Ref[[#This Row],[Start]]+18,"")</f>
        <v>47053</v>
      </c>
      <c r="H307">
        <f>WEEKDAY(Dates_Ref[[#This Row],[Start]],2)</f>
        <v>1</v>
      </c>
      <c r="I307">
        <f>WEEKNUM(Dates_Ref[[#This Row],[Start]],21)</f>
        <v>41</v>
      </c>
    </row>
    <row r="308" spans="2:9" x14ac:dyDescent="0.25">
      <c r="B308">
        <f>MONTH(Dates_Ref[[#This Row],[Start]])</f>
        <v>10</v>
      </c>
      <c r="C308" s="5">
        <f t="shared" si="5"/>
        <v>47042</v>
      </c>
      <c r="D308" s="2">
        <v>42</v>
      </c>
      <c r="E308">
        <v>21</v>
      </c>
      <c r="G308" s="5" t="str">
        <f>IF(Dates_Ref[[#This Row],[Pay QCH]]&lt;&gt;E307,Dates_Ref[[#This Row],[Start]]+18,"")</f>
        <v/>
      </c>
      <c r="H308">
        <f>WEEKDAY(Dates_Ref[[#This Row],[Start]],2)</f>
        <v>1</v>
      </c>
      <c r="I308">
        <f>WEEKNUM(Dates_Ref[[#This Row],[Start]],21)</f>
        <v>42</v>
      </c>
    </row>
    <row r="309" spans="2:9" x14ac:dyDescent="0.25">
      <c r="B309">
        <f>MONTH(Dates_Ref[[#This Row],[Start]])</f>
        <v>10</v>
      </c>
      <c r="C309" s="5">
        <f t="shared" si="5"/>
        <v>47049</v>
      </c>
      <c r="D309" s="2">
        <v>43</v>
      </c>
      <c r="E309">
        <v>22</v>
      </c>
      <c r="F309" s="1">
        <v>47067</v>
      </c>
      <c r="G309" s="5">
        <f>IF(Dates_Ref[[#This Row],[Pay QCH]]&lt;&gt;E308,Dates_Ref[[#This Row],[Start]]+18,"")</f>
        <v>47067</v>
      </c>
      <c r="H309">
        <f>WEEKDAY(Dates_Ref[[#This Row],[Start]],2)</f>
        <v>1</v>
      </c>
      <c r="I309">
        <f>WEEKNUM(Dates_Ref[[#This Row],[Start]],21)</f>
        <v>43</v>
      </c>
    </row>
    <row r="310" spans="2:9" x14ac:dyDescent="0.25">
      <c r="B310">
        <f>MONTH(Dates_Ref[[#This Row],[Start]])</f>
        <v>10</v>
      </c>
      <c r="C310" s="5">
        <f t="shared" si="5"/>
        <v>47056</v>
      </c>
      <c r="D310" s="2">
        <v>44</v>
      </c>
      <c r="E310">
        <v>22</v>
      </c>
      <c r="G310" s="5" t="str">
        <f>IF(Dates_Ref[[#This Row],[Pay QCH]]&lt;&gt;E309,Dates_Ref[[#This Row],[Start]]+18,"")</f>
        <v/>
      </c>
      <c r="H310">
        <f>WEEKDAY(Dates_Ref[[#This Row],[Start]],2)</f>
        <v>1</v>
      </c>
      <c r="I310">
        <f>WEEKNUM(Dates_Ref[[#This Row],[Start]],21)</f>
        <v>44</v>
      </c>
    </row>
    <row r="311" spans="2:9" x14ac:dyDescent="0.25">
      <c r="B311">
        <f>MONTH(Dates_Ref[[#This Row],[Start]])</f>
        <v>11</v>
      </c>
      <c r="C311" s="5">
        <f t="shared" si="5"/>
        <v>47063</v>
      </c>
      <c r="D311" s="2">
        <v>45</v>
      </c>
      <c r="E311">
        <v>23</v>
      </c>
      <c r="F311" s="1">
        <v>47081</v>
      </c>
      <c r="G311" s="5">
        <f>IF(Dates_Ref[[#This Row],[Pay QCH]]&lt;&gt;E310,Dates_Ref[[#This Row],[Start]]+18,"")</f>
        <v>47081</v>
      </c>
      <c r="H311">
        <f>WEEKDAY(Dates_Ref[[#This Row],[Start]],2)</f>
        <v>1</v>
      </c>
      <c r="I311">
        <f>WEEKNUM(Dates_Ref[[#This Row],[Start]],21)</f>
        <v>45</v>
      </c>
    </row>
    <row r="312" spans="2:9" x14ac:dyDescent="0.25">
      <c r="B312">
        <f>MONTH(Dates_Ref[[#This Row],[Start]])</f>
        <v>11</v>
      </c>
      <c r="C312" s="5">
        <f t="shared" si="5"/>
        <v>47070</v>
      </c>
      <c r="D312" s="2">
        <v>46</v>
      </c>
      <c r="E312">
        <v>23</v>
      </c>
      <c r="G312" s="5" t="str">
        <f>IF(Dates_Ref[[#This Row],[Pay QCH]]&lt;&gt;E311,Dates_Ref[[#This Row],[Start]]+18,"")</f>
        <v/>
      </c>
      <c r="H312">
        <f>WEEKDAY(Dates_Ref[[#This Row],[Start]],2)</f>
        <v>1</v>
      </c>
      <c r="I312">
        <f>WEEKNUM(Dates_Ref[[#This Row],[Start]],21)</f>
        <v>46</v>
      </c>
    </row>
    <row r="313" spans="2:9" x14ac:dyDescent="0.25">
      <c r="B313">
        <f>MONTH(Dates_Ref[[#This Row],[Start]])</f>
        <v>11</v>
      </c>
      <c r="C313" s="5">
        <f t="shared" si="5"/>
        <v>47077</v>
      </c>
      <c r="D313" s="2">
        <v>47</v>
      </c>
      <c r="E313">
        <v>24</v>
      </c>
      <c r="F313" s="1">
        <v>47095</v>
      </c>
      <c r="G313" s="5">
        <f>IF(Dates_Ref[[#This Row],[Pay QCH]]&lt;&gt;E312,Dates_Ref[[#This Row],[Start]]+18,"")</f>
        <v>47095</v>
      </c>
      <c r="H313">
        <f>WEEKDAY(Dates_Ref[[#This Row],[Start]],2)</f>
        <v>1</v>
      </c>
      <c r="I313">
        <f>WEEKNUM(Dates_Ref[[#This Row],[Start]],21)</f>
        <v>47</v>
      </c>
    </row>
    <row r="314" spans="2:9" x14ac:dyDescent="0.25">
      <c r="B314">
        <f>MONTH(Dates_Ref[[#This Row],[Start]])</f>
        <v>11</v>
      </c>
      <c r="C314" s="5">
        <f t="shared" si="5"/>
        <v>47084</v>
      </c>
      <c r="D314" s="2">
        <v>48</v>
      </c>
      <c r="E314">
        <v>24</v>
      </c>
      <c r="G314" s="5" t="str">
        <f>IF(Dates_Ref[[#This Row],[Pay QCH]]&lt;&gt;E313,Dates_Ref[[#This Row],[Start]]+18,"")</f>
        <v/>
      </c>
      <c r="H314">
        <f>WEEKDAY(Dates_Ref[[#This Row],[Start]],2)</f>
        <v>1</v>
      </c>
      <c r="I314">
        <f>WEEKNUM(Dates_Ref[[#This Row],[Start]],21)</f>
        <v>48</v>
      </c>
    </row>
    <row r="315" spans="2:9" x14ac:dyDescent="0.25">
      <c r="B315">
        <f>MONTH(Dates_Ref[[#This Row],[Start]])</f>
        <v>12</v>
      </c>
      <c r="C315" s="5">
        <f t="shared" si="5"/>
        <v>47091</v>
      </c>
      <c r="D315" s="2">
        <v>49</v>
      </c>
      <c r="E315">
        <v>25</v>
      </c>
      <c r="F315" s="1">
        <v>47109</v>
      </c>
      <c r="G315" s="5">
        <f>IF(Dates_Ref[[#This Row],[Pay QCH]]&lt;&gt;E314,Dates_Ref[[#This Row],[Start]]+18,"")</f>
        <v>47109</v>
      </c>
      <c r="H315">
        <f>WEEKDAY(Dates_Ref[[#This Row],[Start]],2)</f>
        <v>1</v>
      </c>
      <c r="I315">
        <f>WEEKNUM(Dates_Ref[[#This Row],[Start]],21)</f>
        <v>49</v>
      </c>
    </row>
    <row r="316" spans="2:9" x14ac:dyDescent="0.25">
      <c r="B316">
        <f>MONTH(Dates_Ref[[#This Row],[Start]])</f>
        <v>12</v>
      </c>
      <c r="C316" s="5">
        <f t="shared" si="5"/>
        <v>47098</v>
      </c>
      <c r="D316" s="2">
        <v>50</v>
      </c>
      <c r="E316">
        <v>25</v>
      </c>
      <c r="G316" s="5" t="str">
        <f>IF(Dates_Ref[[#This Row],[Pay QCH]]&lt;&gt;E315,Dates_Ref[[#This Row],[Start]]+18,"")</f>
        <v/>
      </c>
      <c r="H316">
        <f>WEEKDAY(Dates_Ref[[#This Row],[Start]],2)</f>
        <v>1</v>
      </c>
      <c r="I316">
        <f>WEEKNUM(Dates_Ref[[#This Row],[Start]],21)</f>
        <v>50</v>
      </c>
    </row>
    <row r="317" spans="2:9" x14ac:dyDescent="0.25">
      <c r="B317">
        <f>MONTH(Dates_Ref[[#This Row],[Start]])</f>
        <v>12</v>
      </c>
      <c r="C317" s="5">
        <f t="shared" si="5"/>
        <v>47105</v>
      </c>
      <c r="D317" s="2">
        <v>51</v>
      </c>
      <c r="E317">
        <v>26</v>
      </c>
      <c r="F317" s="1">
        <v>47123</v>
      </c>
      <c r="G317" s="5">
        <f>IF(Dates_Ref[[#This Row],[Pay QCH]]&lt;&gt;E316,Dates_Ref[[#This Row],[Start]]+18,"")</f>
        <v>47123</v>
      </c>
      <c r="H317">
        <f>WEEKDAY(Dates_Ref[[#This Row],[Start]],2)</f>
        <v>1</v>
      </c>
      <c r="I317">
        <f>WEEKNUM(Dates_Ref[[#This Row],[Start]],21)</f>
        <v>51</v>
      </c>
    </row>
    <row r="318" spans="2:9" x14ac:dyDescent="0.25">
      <c r="B318">
        <f>MONTH(Dates_Ref[[#This Row],[Start]])</f>
        <v>12</v>
      </c>
      <c r="C318" s="5">
        <f t="shared" si="5"/>
        <v>47112</v>
      </c>
      <c r="D318" s="2">
        <v>52</v>
      </c>
      <c r="E318">
        <v>26</v>
      </c>
      <c r="G318" s="5" t="str">
        <f>IF(Dates_Ref[[#This Row],[Pay QCH]]&lt;&gt;E317,Dates_Ref[[#This Row],[Start]]+18,"")</f>
        <v/>
      </c>
      <c r="H318">
        <f>WEEKDAY(Dates_Ref[[#This Row],[Start]],2)</f>
        <v>1</v>
      </c>
      <c r="I318">
        <f>WEEKNUM(Dates_Ref[[#This Row],[Start]],21)</f>
        <v>52</v>
      </c>
    </row>
    <row r="319" spans="2:9" x14ac:dyDescent="0.25">
      <c r="B319">
        <f>MONTH(Dates_Ref[[#This Row],[Start]])</f>
        <v>1</v>
      </c>
      <c r="C319" s="5">
        <f t="shared" si="5"/>
        <v>47119</v>
      </c>
      <c r="D319" s="2">
        <v>1</v>
      </c>
      <c r="E319">
        <v>1</v>
      </c>
      <c r="F319" s="1">
        <v>47137</v>
      </c>
      <c r="G319" s="5">
        <f>IF(Dates_Ref[[#This Row],[Pay QCH]]&lt;&gt;E318,Dates_Ref[[#This Row],[Start]]+18,"")</f>
        <v>47137</v>
      </c>
      <c r="H319">
        <f>WEEKDAY(Dates_Ref[[#This Row],[Start]],2)</f>
        <v>1</v>
      </c>
      <c r="I319">
        <f>WEEKNUM(Dates_Ref[[#This Row],[Start]],21)</f>
        <v>1</v>
      </c>
    </row>
    <row r="320" spans="2:9" x14ac:dyDescent="0.25">
      <c r="B320">
        <f>MONTH(Dates_Ref[[#This Row],[Start]])</f>
        <v>1</v>
      </c>
      <c r="C320" s="5">
        <f t="shared" si="5"/>
        <v>47126</v>
      </c>
      <c r="D320" s="2">
        <v>2</v>
      </c>
      <c r="E320">
        <v>1</v>
      </c>
      <c r="G320" s="5" t="str">
        <f>IF(Dates_Ref[[#This Row],[Pay QCH]]&lt;&gt;E319,Dates_Ref[[#This Row],[Start]]+18,"")</f>
        <v/>
      </c>
      <c r="H320">
        <f>WEEKDAY(Dates_Ref[[#This Row],[Start]],2)</f>
        <v>1</v>
      </c>
      <c r="I320">
        <f>WEEKNUM(Dates_Ref[[#This Row],[Start]],21)</f>
        <v>2</v>
      </c>
    </row>
    <row r="321" spans="2:9" x14ac:dyDescent="0.25">
      <c r="B321">
        <f>MONTH(Dates_Ref[[#This Row],[Start]])</f>
        <v>1</v>
      </c>
      <c r="C321" s="5">
        <f t="shared" si="5"/>
        <v>47133</v>
      </c>
      <c r="D321" s="2">
        <v>3</v>
      </c>
      <c r="E321">
        <v>2</v>
      </c>
      <c r="F321" s="1">
        <v>47151</v>
      </c>
      <c r="G321" s="5">
        <f>IF(Dates_Ref[[#This Row],[Pay QCH]]&lt;&gt;E320,Dates_Ref[[#This Row],[Start]]+18,"")</f>
        <v>47151</v>
      </c>
      <c r="H321">
        <f>WEEKDAY(Dates_Ref[[#This Row],[Start]],2)</f>
        <v>1</v>
      </c>
      <c r="I321">
        <f>WEEKNUM(Dates_Ref[[#This Row],[Start]],21)</f>
        <v>3</v>
      </c>
    </row>
    <row r="322" spans="2:9" x14ac:dyDescent="0.25">
      <c r="B322">
        <f>MONTH(Dates_Ref[[#This Row],[Start]])</f>
        <v>1</v>
      </c>
      <c r="C322" s="5">
        <f t="shared" si="5"/>
        <v>47140</v>
      </c>
      <c r="D322" s="2">
        <v>4</v>
      </c>
      <c r="E322">
        <v>2</v>
      </c>
      <c r="G322" s="5" t="str">
        <f>IF(Dates_Ref[[#This Row],[Pay QCH]]&lt;&gt;E321,Dates_Ref[[#This Row],[Start]]+18,"")</f>
        <v/>
      </c>
      <c r="H322">
        <f>WEEKDAY(Dates_Ref[[#This Row],[Start]],2)</f>
        <v>1</v>
      </c>
      <c r="I322">
        <f>WEEKNUM(Dates_Ref[[#This Row],[Start]],21)</f>
        <v>4</v>
      </c>
    </row>
    <row r="323" spans="2:9" x14ac:dyDescent="0.25">
      <c r="B323">
        <f>MONTH(Dates_Ref[[#This Row],[Start]])</f>
        <v>1</v>
      </c>
      <c r="C323" s="5">
        <f t="shared" si="5"/>
        <v>47147</v>
      </c>
      <c r="D323" s="2">
        <v>5</v>
      </c>
      <c r="E323">
        <v>3</v>
      </c>
      <c r="F323" s="1">
        <v>47165</v>
      </c>
      <c r="G323" s="5">
        <f>IF(Dates_Ref[[#This Row],[Pay QCH]]&lt;&gt;E322,Dates_Ref[[#This Row],[Start]]+18,"")</f>
        <v>47165</v>
      </c>
      <c r="H323">
        <f>WEEKDAY(Dates_Ref[[#This Row],[Start]],2)</f>
        <v>1</v>
      </c>
      <c r="I323">
        <f>WEEKNUM(Dates_Ref[[#This Row],[Start]],21)</f>
        <v>5</v>
      </c>
    </row>
    <row r="324" spans="2:9" x14ac:dyDescent="0.25">
      <c r="B324">
        <f>MONTH(Dates_Ref[[#This Row],[Start]])</f>
        <v>2</v>
      </c>
      <c r="C324" s="5">
        <f t="shared" si="5"/>
        <v>47154</v>
      </c>
      <c r="D324" s="2">
        <v>6</v>
      </c>
      <c r="E324">
        <v>3</v>
      </c>
      <c r="G324" s="5" t="str">
        <f>IF(Dates_Ref[[#This Row],[Pay QCH]]&lt;&gt;E323,Dates_Ref[[#This Row],[Start]]+18,"")</f>
        <v/>
      </c>
      <c r="H324">
        <f>WEEKDAY(Dates_Ref[[#This Row],[Start]],2)</f>
        <v>1</v>
      </c>
      <c r="I324">
        <f>WEEKNUM(Dates_Ref[[#This Row],[Start]],21)</f>
        <v>6</v>
      </c>
    </row>
    <row r="325" spans="2:9" x14ac:dyDescent="0.25">
      <c r="B325">
        <f>MONTH(Dates_Ref[[#This Row],[Start]])</f>
        <v>2</v>
      </c>
      <c r="C325" s="5">
        <f t="shared" si="5"/>
        <v>47161</v>
      </c>
      <c r="D325" s="2">
        <v>7</v>
      </c>
      <c r="E325">
        <v>4</v>
      </c>
      <c r="F325" s="1">
        <v>47179</v>
      </c>
      <c r="G325" s="5">
        <f>IF(Dates_Ref[[#This Row],[Pay QCH]]&lt;&gt;E324,Dates_Ref[[#This Row],[Start]]+18,"")</f>
        <v>47179</v>
      </c>
      <c r="H325">
        <f>WEEKDAY(Dates_Ref[[#This Row],[Start]],2)</f>
        <v>1</v>
      </c>
      <c r="I325">
        <f>WEEKNUM(Dates_Ref[[#This Row],[Start]],21)</f>
        <v>7</v>
      </c>
    </row>
    <row r="326" spans="2:9" x14ac:dyDescent="0.25">
      <c r="B326">
        <f>MONTH(Dates_Ref[[#This Row],[Start]])</f>
        <v>2</v>
      </c>
      <c r="C326" s="5">
        <f t="shared" si="5"/>
        <v>47168</v>
      </c>
      <c r="D326" s="2">
        <v>8</v>
      </c>
      <c r="E326">
        <v>4</v>
      </c>
      <c r="G326" s="5" t="str">
        <f>IF(Dates_Ref[[#This Row],[Pay QCH]]&lt;&gt;E325,Dates_Ref[[#This Row],[Start]]+18,"")</f>
        <v/>
      </c>
      <c r="H326">
        <f>WEEKDAY(Dates_Ref[[#This Row],[Start]],2)</f>
        <v>1</v>
      </c>
      <c r="I326">
        <f>WEEKNUM(Dates_Ref[[#This Row],[Start]],21)</f>
        <v>8</v>
      </c>
    </row>
    <row r="327" spans="2:9" x14ac:dyDescent="0.25">
      <c r="B327">
        <f>MONTH(Dates_Ref[[#This Row],[Start]])</f>
        <v>2</v>
      </c>
      <c r="C327" s="5">
        <f t="shared" ref="C327:C390" si="6">C326+7</f>
        <v>47175</v>
      </c>
      <c r="D327" s="2">
        <v>9</v>
      </c>
      <c r="E327">
        <v>5</v>
      </c>
      <c r="F327" s="1">
        <v>47193</v>
      </c>
      <c r="G327" s="5">
        <f>IF(Dates_Ref[[#This Row],[Pay QCH]]&lt;&gt;E326,Dates_Ref[[#This Row],[Start]]+18,"")</f>
        <v>47193</v>
      </c>
      <c r="H327">
        <f>WEEKDAY(Dates_Ref[[#This Row],[Start]],2)</f>
        <v>1</v>
      </c>
      <c r="I327">
        <f>WEEKNUM(Dates_Ref[[#This Row],[Start]],21)</f>
        <v>9</v>
      </c>
    </row>
    <row r="328" spans="2:9" x14ac:dyDescent="0.25">
      <c r="B328">
        <f>MONTH(Dates_Ref[[#This Row],[Start]])</f>
        <v>3</v>
      </c>
      <c r="C328" s="5">
        <f t="shared" si="6"/>
        <v>47182</v>
      </c>
      <c r="D328" s="2">
        <v>10</v>
      </c>
      <c r="E328">
        <v>5</v>
      </c>
      <c r="G328" s="5" t="str">
        <f>IF(Dates_Ref[[#This Row],[Pay QCH]]&lt;&gt;E327,Dates_Ref[[#This Row],[Start]]+18,"")</f>
        <v/>
      </c>
      <c r="H328">
        <f>WEEKDAY(Dates_Ref[[#This Row],[Start]],2)</f>
        <v>1</v>
      </c>
      <c r="I328">
        <f>WEEKNUM(Dates_Ref[[#This Row],[Start]],21)</f>
        <v>10</v>
      </c>
    </row>
    <row r="329" spans="2:9" x14ac:dyDescent="0.25">
      <c r="B329">
        <f>MONTH(Dates_Ref[[#This Row],[Start]])</f>
        <v>3</v>
      </c>
      <c r="C329" s="5">
        <f t="shared" si="6"/>
        <v>47189</v>
      </c>
      <c r="D329" s="2">
        <v>11</v>
      </c>
      <c r="E329">
        <v>6</v>
      </c>
      <c r="F329" s="1">
        <v>47207</v>
      </c>
      <c r="G329" s="5">
        <f>IF(Dates_Ref[[#This Row],[Pay QCH]]&lt;&gt;E328,Dates_Ref[[#This Row],[Start]]+18,"")</f>
        <v>47207</v>
      </c>
      <c r="H329">
        <f>WEEKDAY(Dates_Ref[[#This Row],[Start]],2)</f>
        <v>1</v>
      </c>
      <c r="I329">
        <f>WEEKNUM(Dates_Ref[[#This Row],[Start]],21)</f>
        <v>11</v>
      </c>
    </row>
    <row r="330" spans="2:9" x14ac:dyDescent="0.25">
      <c r="B330">
        <f>MONTH(Dates_Ref[[#This Row],[Start]])</f>
        <v>3</v>
      </c>
      <c r="C330" s="5">
        <f t="shared" si="6"/>
        <v>47196</v>
      </c>
      <c r="D330" s="2">
        <v>12</v>
      </c>
      <c r="E330">
        <v>6</v>
      </c>
      <c r="G330" s="5" t="str">
        <f>IF(Dates_Ref[[#This Row],[Pay QCH]]&lt;&gt;E329,Dates_Ref[[#This Row],[Start]]+18,"")</f>
        <v/>
      </c>
      <c r="H330">
        <f>WEEKDAY(Dates_Ref[[#This Row],[Start]],2)</f>
        <v>1</v>
      </c>
      <c r="I330">
        <f>WEEKNUM(Dates_Ref[[#This Row],[Start]],21)</f>
        <v>12</v>
      </c>
    </row>
    <row r="331" spans="2:9" x14ac:dyDescent="0.25">
      <c r="B331">
        <f>MONTH(Dates_Ref[[#This Row],[Start]])</f>
        <v>3</v>
      </c>
      <c r="C331" s="5">
        <f t="shared" si="6"/>
        <v>47203</v>
      </c>
      <c r="D331" s="2">
        <v>13</v>
      </c>
      <c r="E331">
        <v>7</v>
      </c>
      <c r="F331" s="1">
        <v>47221</v>
      </c>
      <c r="G331" s="5">
        <f>IF(Dates_Ref[[#This Row],[Pay QCH]]&lt;&gt;E330,Dates_Ref[[#This Row],[Start]]+18,"")</f>
        <v>47221</v>
      </c>
      <c r="H331">
        <f>WEEKDAY(Dates_Ref[[#This Row],[Start]],2)</f>
        <v>1</v>
      </c>
      <c r="I331">
        <f>WEEKNUM(Dates_Ref[[#This Row],[Start]],21)</f>
        <v>13</v>
      </c>
    </row>
    <row r="332" spans="2:9" x14ac:dyDescent="0.25">
      <c r="B332">
        <f>MONTH(Dates_Ref[[#This Row],[Start]])</f>
        <v>4</v>
      </c>
      <c r="C332" s="5">
        <f t="shared" si="6"/>
        <v>47210</v>
      </c>
      <c r="D332" s="2">
        <v>14</v>
      </c>
      <c r="E332">
        <v>7</v>
      </c>
      <c r="G332" s="5" t="str">
        <f>IF(Dates_Ref[[#This Row],[Pay QCH]]&lt;&gt;E331,Dates_Ref[[#This Row],[Start]]+18,"")</f>
        <v/>
      </c>
      <c r="H332">
        <f>WEEKDAY(Dates_Ref[[#This Row],[Start]],2)</f>
        <v>1</v>
      </c>
      <c r="I332">
        <f>WEEKNUM(Dates_Ref[[#This Row],[Start]],21)</f>
        <v>14</v>
      </c>
    </row>
    <row r="333" spans="2:9" x14ac:dyDescent="0.25">
      <c r="B333">
        <f>MONTH(Dates_Ref[[#This Row],[Start]])</f>
        <v>4</v>
      </c>
      <c r="C333" s="5">
        <f t="shared" si="6"/>
        <v>47217</v>
      </c>
      <c r="D333" s="2">
        <v>15</v>
      </c>
      <c r="E333">
        <v>8</v>
      </c>
      <c r="F333" s="1">
        <v>47235</v>
      </c>
      <c r="G333" s="5">
        <f>IF(Dates_Ref[[#This Row],[Pay QCH]]&lt;&gt;E332,Dates_Ref[[#This Row],[Start]]+18,"")</f>
        <v>47235</v>
      </c>
      <c r="H333">
        <f>WEEKDAY(Dates_Ref[[#This Row],[Start]],2)</f>
        <v>1</v>
      </c>
      <c r="I333">
        <f>WEEKNUM(Dates_Ref[[#This Row],[Start]],21)</f>
        <v>15</v>
      </c>
    </row>
    <row r="334" spans="2:9" x14ac:dyDescent="0.25">
      <c r="B334">
        <f>MONTH(Dates_Ref[[#This Row],[Start]])</f>
        <v>4</v>
      </c>
      <c r="C334" s="5">
        <f t="shared" si="6"/>
        <v>47224</v>
      </c>
      <c r="D334" s="2">
        <v>16</v>
      </c>
      <c r="E334">
        <v>8</v>
      </c>
      <c r="G334" s="5" t="str">
        <f>IF(Dates_Ref[[#This Row],[Pay QCH]]&lt;&gt;E333,Dates_Ref[[#This Row],[Start]]+18,"")</f>
        <v/>
      </c>
      <c r="H334">
        <f>WEEKDAY(Dates_Ref[[#This Row],[Start]],2)</f>
        <v>1</v>
      </c>
      <c r="I334">
        <f>WEEKNUM(Dates_Ref[[#This Row],[Start]],21)</f>
        <v>16</v>
      </c>
    </row>
    <row r="335" spans="2:9" x14ac:dyDescent="0.25">
      <c r="B335">
        <f>MONTH(Dates_Ref[[#This Row],[Start]])</f>
        <v>4</v>
      </c>
      <c r="C335" s="5">
        <f t="shared" si="6"/>
        <v>47231</v>
      </c>
      <c r="D335" s="2">
        <v>17</v>
      </c>
      <c r="E335">
        <v>9</v>
      </c>
      <c r="F335" s="1">
        <v>47249</v>
      </c>
      <c r="G335" s="5">
        <f>IF(Dates_Ref[[#This Row],[Pay QCH]]&lt;&gt;E334,Dates_Ref[[#This Row],[Start]]+18,"")</f>
        <v>47249</v>
      </c>
      <c r="H335">
        <f>WEEKDAY(Dates_Ref[[#This Row],[Start]],2)</f>
        <v>1</v>
      </c>
      <c r="I335">
        <f>WEEKNUM(Dates_Ref[[#This Row],[Start]],21)</f>
        <v>17</v>
      </c>
    </row>
    <row r="336" spans="2:9" x14ac:dyDescent="0.25">
      <c r="B336">
        <f>MONTH(Dates_Ref[[#This Row],[Start]])</f>
        <v>4</v>
      </c>
      <c r="C336" s="5">
        <f t="shared" si="6"/>
        <v>47238</v>
      </c>
      <c r="D336" s="2">
        <v>18</v>
      </c>
      <c r="E336">
        <v>9</v>
      </c>
      <c r="G336" s="5" t="str">
        <f>IF(Dates_Ref[[#This Row],[Pay QCH]]&lt;&gt;E335,Dates_Ref[[#This Row],[Start]]+18,"")</f>
        <v/>
      </c>
      <c r="H336">
        <f>WEEKDAY(Dates_Ref[[#This Row],[Start]],2)</f>
        <v>1</v>
      </c>
      <c r="I336">
        <f>WEEKNUM(Dates_Ref[[#This Row],[Start]],21)</f>
        <v>18</v>
      </c>
    </row>
    <row r="337" spans="2:9" x14ac:dyDescent="0.25">
      <c r="B337">
        <f>MONTH(Dates_Ref[[#This Row],[Start]])</f>
        <v>5</v>
      </c>
      <c r="C337" s="5">
        <f t="shared" si="6"/>
        <v>47245</v>
      </c>
      <c r="D337" s="2">
        <v>19</v>
      </c>
      <c r="E337">
        <v>10</v>
      </c>
      <c r="F337" s="1">
        <v>47263</v>
      </c>
      <c r="G337" s="5">
        <f>IF(Dates_Ref[[#This Row],[Pay QCH]]&lt;&gt;E336,Dates_Ref[[#This Row],[Start]]+18,"")</f>
        <v>47263</v>
      </c>
      <c r="H337">
        <f>WEEKDAY(Dates_Ref[[#This Row],[Start]],2)</f>
        <v>1</v>
      </c>
      <c r="I337">
        <f>WEEKNUM(Dates_Ref[[#This Row],[Start]],21)</f>
        <v>19</v>
      </c>
    </row>
    <row r="338" spans="2:9" x14ac:dyDescent="0.25">
      <c r="B338">
        <f>MONTH(Dates_Ref[[#This Row],[Start]])</f>
        <v>5</v>
      </c>
      <c r="C338" s="5">
        <f t="shared" si="6"/>
        <v>47252</v>
      </c>
      <c r="D338" s="2">
        <v>20</v>
      </c>
      <c r="E338">
        <v>10</v>
      </c>
      <c r="G338" s="5" t="str">
        <f>IF(Dates_Ref[[#This Row],[Pay QCH]]&lt;&gt;E337,Dates_Ref[[#This Row],[Start]]+18,"")</f>
        <v/>
      </c>
      <c r="H338">
        <f>WEEKDAY(Dates_Ref[[#This Row],[Start]],2)</f>
        <v>1</v>
      </c>
      <c r="I338">
        <f>WEEKNUM(Dates_Ref[[#This Row],[Start]],21)</f>
        <v>20</v>
      </c>
    </row>
    <row r="339" spans="2:9" x14ac:dyDescent="0.25">
      <c r="B339">
        <f>MONTH(Dates_Ref[[#This Row],[Start]])</f>
        <v>5</v>
      </c>
      <c r="C339" s="5">
        <f t="shared" si="6"/>
        <v>47259</v>
      </c>
      <c r="D339" s="2">
        <v>21</v>
      </c>
      <c r="E339">
        <v>11</v>
      </c>
      <c r="F339" s="1">
        <v>47277</v>
      </c>
      <c r="G339" s="5">
        <f>IF(Dates_Ref[[#This Row],[Pay QCH]]&lt;&gt;E338,Dates_Ref[[#This Row],[Start]]+18,"")</f>
        <v>47277</v>
      </c>
      <c r="H339">
        <f>WEEKDAY(Dates_Ref[[#This Row],[Start]],2)</f>
        <v>1</v>
      </c>
      <c r="I339">
        <f>WEEKNUM(Dates_Ref[[#This Row],[Start]],21)</f>
        <v>21</v>
      </c>
    </row>
    <row r="340" spans="2:9" x14ac:dyDescent="0.25">
      <c r="B340">
        <f>MONTH(Dates_Ref[[#This Row],[Start]])</f>
        <v>5</v>
      </c>
      <c r="C340" s="5">
        <f t="shared" si="6"/>
        <v>47266</v>
      </c>
      <c r="D340" s="2">
        <v>22</v>
      </c>
      <c r="E340">
        <v>11</v>
      </c>
      <c r="G340" s="5" t="str">
        <f>IF(Dates_Ref[[#This Row],[Pay QCH]]&lt;&gt;E339,Dates_Ref[[#This Row],[Start]]+18,"")</f>
        <v/>
      </c>
      <c r="H340">
        <f>WEEKDAY(Dates_Ref[[#This Row],[Start]],2)</f>
        <v>1</v>
      </c>
      <c r="I340">
        <f>WEEKNUM(Dates_Ref[[#This Row],[Start]],21)</f>
        <v>22</v>
      </c>
    </row>
    <row r="341" spans="2:9" x14ac:dyDescent="0.25">
      <c r="B341">
        <f>MONTH(Dates_Ref[[#This Row],[Start]])</f>
        <v>6</v>
      </c>
      <c r="C341" s="5">
        <f t="shared" si="6"/>
        <v>47273</v>
      </c>
      <c r="D341" s="2">
        <v>23</v>
      </c>
      <c r="E341">
        <v>12</v>
      </c>
      <c r="F341" s="1">
        <v>47291</v>
      </c>
      <c r="G341" s="5">
        <f>IF(Dates_Ref[[#This Row],[Pay QCH]]&lt;&gt;E340,Dates_Ref[[#This Row],[Start]]+18,"")</f>
        <v>47291</v>
      </c>
      <c r="H341">
        <f>WEEKDAY(Dates_Ref[[#This Row],[Start]],2)</f>
        <v>1</v>
      </c>
      <c r="I341">
        <f>WEEKNUM(Dates_Ref[[#This Row],[Start]],21)</f>
        <v>23</v>
      </c>
    </row>
    <row r="342" spans="2:9" x14ac:dyDescent="0.25">
      <c r="B342">
        <f>MONTH(Dates_Ref[[#This Row],[Start]])</f>
        <v>6</v>
      </c>
      <c r="C342" s="5">
        <f t="shared" si="6"/>
        <v>47280</v>
      </c>
      <c r="D342" s="2">
        <v>24</v>
      </c>
      <c r="E342">
        <v>12</v>
      </c>
      <c r="G342" s="5" t="str">
        <f>IF(Dates_Ref[[#This Row],[Pay QCH]]&lt;&gt;E341,Dates_Ref[[#This Row],[Start]]+18,"")</f>
        <v/>
      </c>
      <c r="H342">
        <f>WEEKDAY(Dates_Ref[[#This Row],[Start]],2)</f>
        <v>1</v>
      </c>
      <c r="I342">
        <f>WEEKNUM(Dates_Ref[[#This Row],[Start]],21)</f>
        <v>24</v>
      </c>
    </row>
    <row r="343" spans="2:9" x14ac:dyDescent="0.25">
      <c r="B343">
        <f>MONTH(Dates_Ref[[#This Row],[Start]])</f>
        <v>6</v>
      </c>
      <c r="C343" s="5">
        <f t="shared" si="6"/>
        <v>47287</v>
      </c>
      <c r="D343" s="2">
        <v>25</v>
      </c>
      <c r="E343">
        <v>13</v>
      </c>
      <c r="F343" s="1">
        <v>47305</v>
      </c>
      <c r="G343" s="5">
        <f>IF(Dates_Ref[[#This Row],[Pay QCH]]&lt;&gt;E342,Dates_Ref[[#This Row],[Start]]+18,"")</f>
        <v>47305</v>
      </c>
      <c r="H343">
        <f>WEEKDAY(Dates_Ref[[#This Row],[Start]],2)</f>
        <v>1</v>
      </c>
      <c r="I343">
        <f>WEEKNUM(Dates_Ref[[#This Row],[Start]],21)</f>
        <v>25</v>
      </c>
    </row>
    <row r="344" spans="2:9" x14ac:dyDescent="0.25">
      <c r="B344">
        <f>MONTH(Dates_Ref[[#This Row],[Start]])</f>
        <v>6</v>
      </c>
      <c r="C344" s="5">
        <f t="shared" si="6"/>
        <v>47294</v>
      </c>
      <c r="D344" s="2">
        <v>26</v>
      </c>
      <c r="E344">
        <v>13</v>
      </c>
      <c r="G344" s="5" t="str">
        <f>IF(Dates_Ref[[#This Row],[Pay QCH]]&lt;&gt;E343,Dates_Ref[[#This Row],[Start]]+18,"")</f>
        <v/>
      </c>
      <c r="H344">
        <f>WEEKDAY(Dates_Ref[[#This Row],[Start]],2)</f>
        <v>1</v>
      </c>
      <c r="I344">
        <f>WEEKNUM(Dates_Ref[[#This Row],[Start]],21)</f>
        <v>26</v>
      </c>
    </row>
    <row r="345" spans="2:9" x14ac:dyDescent="0.25">
      <c r="B345">
        <f>MONTH(Dates_Ref[[#This Row],[Start]])</f>
        <v>7</v>
      </c>
      <c r="C345" s="5">
        <f t="shared" si="6"/>
        <v>47301</v>
      </c>
      <c r="D345" s="2">
        <v>27</v>
      </c>
      <c r="E345">
        <v>14</v>
      </c>
      <c r="F345" s="1">
        <v>47319</v>
      </c>
      <c r="G345" s="5">
        <f>IF(Dates_Ref[[#This Row],[Pay QCH]]&lt;&gt;E344,Dates_Ref[[#This Row],[Start]]+18,"")</f>
        <v>47319</v>
      </c>
      <c r="H345">
        <f>WEEKDAY(Dates_Ref[[#This Row],[Start]],2)</f>
        <v>1</v>
      </c>
      <c r="I345">
        <f>WEEKNUM(Dates_Ref[[#This Row],[Start]],21)</f>
        <v>27</v>
      </c>
    </row>
    <row r="346" spans="2:9" x14ac:dyDescent="0.25">
      <c r="B346">
        <f>MONTH(Dates_Ref[[#This Row],[Start]])</f>
        <v>7</v>
      </c>
      <c r="C346" s="5">
        <f t="shared" si="6"/>
        <v>47308</v>
      </c>
      <c r="D346" s="2">
        <v>28</v>
      </c>
      <c r="E346">
        <v>14</v>
      </c>
      <c r="G346" s="5" t="str">
        <f>IF(Dates_Ref[[#This Row],[Pay QCH]]&lt;&gt;E345,Dates_Ref[[#This Row],[Start]]+18,"")</f>
        <v/>
      </c>
      <c r="H346">
        <f>WEEKDAY(Dates_Ref[[#This Row],[Start]],2)</f>
        <v>1</v>
      </c>
      <c r="I346">
        <f>WEEKNUM(Dates_Ref[[#This Row],[Start]],21)</f>
        <v>28</v>
      </c>
    </row>
    <row r="347" spans="2:9" x14ac:dyDescent="0.25">
      <c r="B347">
        <f>MONTH(Dates_Ref[[#This Row],[Start]])</f>
        <v>7</v>
      </c>
      <c r="C347" s="5">
        <f t="shared" si="6"/>
        <v>47315</v>
      </c>
      <c r="D347" s="2">
        <v>29</v>
      </c>
      <c r="E347">
        <v>15</v>
      </c>
      <c r="F347" s="1">
        <v>47333</v>
      </c>
      <c r="G347" s="5">
        <f>IF(Dates_Ref[[#This Row],[Pay QCH]]&lt;&gt;E346,Dates_Ref[[#This Row],[Start]]+18,"")</f>
        <v>47333</v>
      </c>
      <c r="H347">
        <f>WEEKDAY(Dates_Ref[[#This Row],[Start]],2)</f>
        <v>1</v>
      </c>
      <c r="I347">
        <f>WEEKNUM(Dates_Ref[[#This Row],[Start]],21)</f>
        <v>29</v>
      </c>
    </row>
    <row r="348" spans="2:9" x14ac:dyDescent="0.25">
      <c r="B348">
        <f>MONTH(Dates_Ref[[#This Row],[Start]])</f>
        <v>7</v>
      </c>
      <c r="C348" s="5">
        <f t="shared" si="6"/>
        <v>47322</v>
      </c>
      <c r="D348" s="2">
        <v>30</v>
      </c>
      <c r="E348">
        <v>15</v>
      </c>
      <c r="G348" s="5" t="str">
        <f>IF(Dates_Ref[[#This Row],[Pay QCH]]&lt;&gt;E347,Dates_Ref[[#This Row],[Start]]+18,"")</f>
        <v/>
      </c>
      <c r="H348">
        <f>WEEKDAY(Dates_Ref[[#This Row],[Start]],2)</f>
        <v>1</v>
      </c>
      <c r="I348">
        <f>WEEKNUM(Dates_Ref[[#This Row],[Start]],21)</f>
        <v>30</v>
      </c>
    </row>
    <row r="349" spans="2:9" x14ac:dyDescent="0.25">
      <c r="B349">
        <f>MONTH(Dates_Ref[[#This Row],[Start]])</f>
        <v>7</v>
      </c>
      <c r="C349" s="5">
        <f t="shared" si="6"/>
        <v>47329</v>
      </c>
      <c r="D349" s="2">
        <v>31</v>
      </c>
      <c r="E349">
        <v>16</v>
      </c>
      <c r="F349" s="1">
        <v>47347</v>
      </c>
      <c r="G349" s="5">
        <f>IF(Dates_Ref[[#This Row],[Pay QCH]]&lt;&gt;E348,Dates_Ref[[#This Row],[Start]]+18,"")</f>
        <v>47347</v>
      </c>
      <c r="H349">
        <f>WEEKDAY(Dates_Ref[[#This Row],[Start]],2)</f>
        <v>1</v>
      </c>
      <c r="I349">
        <f>WEEKNUM(Dates_Ref[[#This Row],[Start]],21)</f>
        <v>31</v>
      </c>
    </row>
    <row r="350" spans="2:9" x14ac:dyDescent="0.25">
      <c r="B350">
        <f>MONTH(Dates_Ref[[#This Row],[Start]])</f>
        <v>8</v>
      </c>
      <c r="C350" s="5">
        <f t="shared" si="6"/>
        <v>47336</v>
      </c>
      <c r="D350" s="2">
        <v>32</v>
      </c>
      <c r="E350">
        <v>16</v>
      </c>
      <c r="G350" s="5" t="str">
        <f>IF(Dates_Ref[[#This Row],[Pay QCH]]&lt;&gt;E349,Dates_Ref[[#This Row],[Start]]+18,"")</f>
        <v/>
      </c>
      <c r="H350">
        <f>WEEKDAY(Dates_Ref[[#This Row],[Start]],2)</f>
        <v>1</v>
      </c>
      <c r="I350">
        <f>WEEKNUM(Dates_Ref[[#This Row],[Start]],21)</f>
        <v>32</v>
      </c>
    </row>
    <row r="351" spans="2:9" x14ac:dyDescent="0.25">
      <c r="B351">
        <f>MONTH(Dates_Ref[[#This Row],[Start]])</f>
        <v>8</v>
      </c>
      <c r="C351" s="5">
        <f t="shared" si="6"/>
        <v>47343</v>
      </c>
      <c r="D351" s="2">
        <v>33</v>
      </c>
      <c r="E351">
        <v>17</v>
      </c>
      <c r="F351" s="1">
        <v>47361</v>
      </c>
      <c r="G351" s="5">
        <f>IF(Dates_Ref[[#This Row],[Pay QCH]]&lt;&gt;E350,Dates_Ref[[#This Row],[Start]]+18,"")</f>
        <v>47361</v>
      </c>
      <c r="H351">
        <f>WEEKDAY(Dates_Ref[[#This Row],[Start]],2)</f>
        <v>1</v>
      </c>
      <c r="I351">
        <f>WEEKNUM(Dates_Ref[[#This Row],[Start]],21)</f>
        <v>33</v>
      </c>
    </row>
    <row r="352" spans="2:9" x14ac:dyDescent="0.25">
      <c r="B352">
        <f>MONTH(Dates_Ref[[#This Row],[Start]])</f>
        <v>8</v>
      </c>
      <c r="C352" s="5">
        <f t="shared" si="6"/>
        <v>47350</v>
      </c>
      <c r="D352" s="2">
        <v>34</v>
      </c>
      <c r="E352">
        <v>17</v>
      </c>
      <c r="G352" s="5" t="str">
        <f>IF(Dates_Ref[[#This Row],[Pay QCH]]&lt;&gt;E351,Dates_Ref[[#This Row],[Start]]+18,"")</f>
        <v/>
      </c>
      <c r="H352">
        <f>WEEKDAY(Dates_Ref[[#This Row],[Start]],2)</f>
        <v>1</v>
      </c>
      <c r="I352">
        <f>WEEKNUM(Dates_Ref[[#This Row],[Start]],21)</f>
        <v>34</v>
      </c>
    </row>
    <row r="353" spans="2:9" x14ac:dyDescent="0.25">
      <c r="B353">
        <f>MONTH(Dates_Ref[[#This Row],[Start]])</f>
        <v>8</v>
      </c>
      <c r="C353" s="5">
        <f t="shared" si="6"/>
        <v>47357</v>
      </c>
      <c r="D353" s="2">
        <v>35</v>
      </c>
      <c r="E353">
        <v>18</v>
      </c>
      <c r="F353" s="1">
        <v>47375</v>
      </c>
      <c r="G353" s="5">
        <f>IF(Dates_Ref[[#This Row],[Pay QCH]]&lt;&gt;E352,Dates_Ref[[#This Row],[Start]]+18,"")</f>
        <v>47375</v>
      </c>
      <c r="H353">
        <f>WEEKDAY(Dates_Ref[[#This Row],[Start]],2)</f>
        <v>1</v>
      </c>
      <c r="I353">
        <f>WEEKNUM(Dates_Ref[[#This Row],[Start]],21)</f>
        <v>35</v>
      </c>
    </row>
    <row r="354" spans="2:9" x14ac:dyDescent="0.25">
      <c r="B354">
        <f>MONTH(Dates_Ref[[#This Row],[Start]])</f>
        <v>9</v>
      </c>
      <c r="C354" s="5">
        <f t="shared" si="6"/>
        <v>47364</v>
      </c>
      <c r="D354" s="2">
        <v>36</v>
      </c>
      <c r="E354">
        <v>18</v>
      </c>
      <c r="G354" s="5" t="str">
        <f>IF(Dates_Ref[[#This Row],[Pay QCH]]&lt;&gt;E353,Dates_Ref[[#This Row],[Start]]+18,"")</f>
        <v/>
      </c>
      <c r="H354">
        <f>WEEKDAY(Dates_Ref[[#This Row],[Start]],2)</f>
        <v>1</v>
      </c>
      <c r="I354">
        <f>WEEKNUM(Dates_Ref[[#This Row],[Start]],21)</f>
        <v>36</v>
      </c>
    </row>
    <row r="355" spans="2:9" x14ac:dyDescent="0.25">
      <c r="B355">
        <f>MONTH(Dates_Ref[[#This Row],[Start]])</f>
        <v>9</v>
      </c>
      <c r="C355" s="5">
        <f t="shared" si="6"/>
        <v>47371</v>
      </c>
      <c r="D355" s="2">
        <v>37</v>
      </c>
      <c r="E355">
        <v>19</v>
      </c>
      <c r="F355" s="1">
        <v>47389</v>
      </c>
      <c r="G355" s="5">
        <f>IF(Dates_Ref[[#This Row],[Pay QCH]]&lt;&gt;E354,Dates_Ref[[#This Row],[Start]]+18,"")</f>
        <v>47389</v>
      </c>
      <c r="H355">
        <f>WEEKDAY(Dates_Ref[[#This Row],[Start]],2)</f>
        <v>1</v>
      </c>
      <c r="I355">
        <f>WEEKNUM(Dates_Ref[[#This Row],[Start]],21)</f>
        <v>37</v>
      </c>
    </row>
    <row r="356" spans="2:9" x14ac:dyDescent="0.25">
      <c r="B356">
        <f>MONTH(Dates_Ref[[#This Row],[Start]])</f>
        <v>9</v>
      </c>
      <c r="C356" s="5">
        <f t="shared" si="6"/>
        <v>47378</v>
      </c>
      <c r="D356" s="2">
        <v>38</v>
      </c>
      <c r="E356">
        <v>19</v>
      </c>
      <c r="G356" s="5" t="str">
        <f>IF(Dates_Ref[[#This Row],[Pay QCH]]&lt;&gt;E355,Dates_Ref[[#This Row],[Start]]+18,"")</f>
        <v/>
      </c>
      <c r="H356">
        <f>WEEKDAY(Dates_Ref[[#This Row],[Start]],2)</f>
        <v>1</v>
      </c>
      <c r="I356">
        <f>WEEKNUM(Dates_Ref[[#This Row],[Start]],21)</f>
        <v>38</v>
      </c>
    </row>
    <row r="357" spans="2:9" x14ac:dyDescent="0.25">
      <c r="B357">
        <f>MONTH(Dates_Ref[[#This Row],[Start]])</f>
        <v>9</v>
      </c>
      <c r="C357" s="5">
        <f t="shared" si="6"/>
        <v>47385</v>
      </c>
      <c r="D357" s="2">
        <v>39</v>
      </c>
      <c r="E357">
        <v>20</v>
      </c>
      <c r="F357" s="1">
        <v>47403</v>
      </c>
      <c r="G357" s="5">
        <f>IF(Dates_Ref[[#This Row],[Pay QCH]]&lt;&gt;E356,Dates_Ref[[#This Row],[Start]]+18,"")</f>
        <v>47403</v>
      </c>
      <c r="H357">
        <f>WEEKDAY(Dates_Ref[[#This Row],[Start]],2)</f>
        <v>1</v>
      </c>
      <c r="I357">
        <f>WEEKNUM(Dates_Ref[[#This Row],[Start]],21)</f>
        <v>39</v>
      </c>
    </row>
    <row r="358" spans="2:9" x14ac:dyDescent="0.25">
      <c r="B358">
        <f>MONTH(Dates_Ref[[#This Row],[Start]])</f>
        <v>10</v>
      </c>
      <c r="C358" s="5">
        <f t="shared" si="6"/>
        <v>47392</v>
      </c>
      <c r="D358" s="2">
        <v>40</v>
      </c>
      <c r="E358">
        <v>20</v>
      </c>
      <c r="G358" s="5" t="str">
        <f>IF(Dates_Ref[[#This Row],[Pay QCH]]&lt;&gt;E357,Dates_Ref[[#This Row],[Start]]+18,"")</f>
        <v/>
      </c>
      <c r="H358">
        <f>WEEKDAY(Dates_Ref[[#This Row],[Start]],2)</f>
        <v>1</v>
      </c>
      <c r="I358">
        <f>WEEKNUM(Dates_Ref[[#This Row],[Start]],21)</f>
        <v>40</v>
      </c>
    </row>
    <row r="359" spans="2:9" x14ac:dyDescent="0.25">
      <c r="B359">
        <f>MONTH(Dates_Ref[[#This Row],[Start]])</f>
        <v>10</v>
      </c>
      <c r="C359" s="5">
        <f t="shared" si="6"/>
        <v>47399</v>
      </c>
      <c r="D359" s="2">
        <v>41</v>
      </c>
      <c r="E359">
        <v>21</v>
      </c>
      <c r="F359" s="1">
        <v>47417</v>
      </c>
      <c r="G359" s="5">
        <f>IF(Dates_Ref[[#This Row],[Pay QCH]]&lt;&gt;E358,Dates_Ref[[#This Row],[Start]]+18,"")</f>
        <v>47417</v>
      </c>
      <c r="H359">
        <f>WEEKDAY(Dates_Ref[[#This Row],[Start]],2)</f>
        <v>1</v>
      </c>
      <c r="I359">
        <f>WEEKNUM(Dates_Ref[[#This Row],[Start]],21)</f>
        <v>41</v>
      </c>
    </row>
    <row r="360" spans="2:9" x14ac:dyDescent="0.25">
      <c r="B360">
        <f>MONTH(Dates_Ref[[#This Row],[Start]])</f>
        <v>10</v>
      </c>
      <c r="C360" s="5">
        <f t="shared" si="6"/>
        <v>47406</v>
      </c>
      <c r="D360" s="2">
        <v>42</v>
      </c>
      <c r="E360">
        <v>21</v>
      </c>
      <c r="G360" s="5" t="str">
        <f>IF(Dates_Ref[[#This Row],[Pay QCH]]&lt;&gt;E359,Dates_Ref[[#This Row],[Start]]+18,"")</f>
        <v/>
      </c>
      <c r="H360">
        <f>WEEKDAY(Dates_Ref[[#This Row],[Start]],2)</f>
        <v>1</v>
      </c>
      <c r="I360">
        <f>WEEKNUM(Dates_Ref[[#This Row],[Start]],21)</f>
        <v>42</v>
      </c>
    </row>
    <row r="361" spans="2:9" x14ac:dyDescent="0.25">
      <c r="B361">
        <f>MONTH(Dates_Ref[[#This Row],[Start]])</f>
        <v>10</v>
      </c>
      <c r="C361" s="5">
        <f t="shared" si="6"/>
        <v>47413</v>
      </c>
      <c r="D361" s="2">
        <v>43</v>
      </c>
      <c r="E361">
        <v>22</v>
      </c>
      <c r="F361" s="1">
        <v>47431</v>
      </c>
      <c r="G361" s="5">
        <f>IF(Dates_Ref[[#This Row],[Pay QCH]]&lt;&gt;E360,Dates_Ref[[#This Row],[Start]]+18,"")</f>
        <v>47431</v>
      </c>
      <c r="H361">
        <f>WEEKDAY(Dates_Ref[[#This Row],[Start]],2)</f>
        <v>1</v>
      </c>
      <c r="I361">
        <f>WEEKNUM(Dates_Ref[[#This Row],[Start]],21)</f>
        <v>43</v>
      </c>
    </row>
    <row r="362" spans="2:9" x14ac:dyDescent="0.25">
      <c r="B362">
        <f>MONTH(Dates_Ref[[#This Row],[Start]])</f>
        <v>10</v>
      </c>
      <c r="C362" s="5">
        <f t="shared" si="6"/>
        <v>47420</v>
      </c>
      <c r="D362" s="2">
        <v>44</v>
      </c>
      <c r="E362">
        <v>22</v>
      </c>
      <c r="G362" s="5" t="str">
        <f>IF(Dates_Ref[[#This Row],[Pay QCH]]&lt;&gt;E361,Dates_Ref[[#This Row],[Start]]+18,"")</f>
        <v/>
      </c>
      <c r="H362">
        <f>WEEKDAY(Dates_Ref[[#This Row],[Start]],2)</f>
        <v>1</v>
      </c>
      <c r="I362">
        <f>WEEKNUM(Dates_Ref[[#This Row],[Start]],21)</f>
        <v>44</v>
      </c>
    </row>
    <row r="363" spans="2:9" x14ac:dyDescent="0.25">
      <c r="B363">
        <f>MONTH(Dates_Ref[[#This Row],[Start]])</f>
        <v>11</v>
      </c>
      <c r="C363" s="5">
        <f t="shared" si="6"/>
        <v>47427</v>
      </c>
      <c r="D363" s="2">
        <v>45</v>
      </c>
      <c r="E363">
        <v>23</v>
      </c>
      <c r="F363" s="1">
        <v>47445</v>
      </c>
      <c r="G363" s="5">
        <f>IF(Dates_Ref[[#This Row],[Pay QCH]]&lt;&gt;E362,Dates_Ref[[#This Row],[Start]]+18,"")</f>
        <v>47445</v>
      </c>
      <c r="H363">
        <f>WEEKDAY(Dates_Ref[[#This Row],[Start]],2)</f>
        <v>1</v>
      </c>
      <c r="I363">
        <f>WEEKNUM(Dates_Ref[[#This Row],[Start]],21)</f>
        <v>45</v>
      </c>
    </row>
    <row r="364" spans="2:9" x14ac:dyDescent="0.25">
      <c r="B364">
        <f>MONTH(Dates_Ref[[#This Row],[Start]])</f>
        <v>11</v>
      </c>
      <c r="C364" s="5">
        <f t="shared" si="6"/>
        <v>47434</v>
      </c>
      <c r="D364" s="2">
        <v>46</v>
      </c>
      <c r="E364">
        <v>23</v>
      </c>
      <c r="G364" s="5" t="str">
        <f>IF(Dates_Ref[[#This Row],[Pay QCH]]&lt;&gt;E363,Dates_Ref[[#This Row],[Start]]+18,"")</f>
        <v/>
      </c>
      <c r="H364">
        <f>WEEKDAY(Dates_Ref[[#This Row],[Start]],2)</f>
        <v>1</v>
      </c>
      <c r="I364">
        <f>WEEKNUM(Dates_Ref[[#This Row],[Start]],21)</f>
        <v>46</v>
      </c>
    </row>
    <row r="365" spans="2:9" x14ac:dyDescent="0.25">
      <c r="B365">
        <f>MONTH(Dates_Ref[[#This Row],[Start]])</f>
        <v>11</v>
      </c>
      <c r="C365" s="5">
        <f t="shared" si="6"/>
        <v>47441</v>
      </c>
      <c r="D365" s="2">
        <v>47</v>
      </c>
      <c r="E365">
        <v>24</v>
      </c>
      <c r="F365" s="1">
        <v>47459</v>
      </c>
      <c r="G365" s="5">
        <f>IF(Dates_Ref[[#This Row],[Pay QCH]]&lt;&gt;E364,Dates_Ref[[#This Row],[Start]]+18,"")</f>
        <v>47459</v>
      </c>
      <c r="H365">
        <f>WEEKDAY(Dates_Ref[[#This Row],[Start]],2)</f>
        <v>1</v>
      </c>
      <c r="I365">
        <f>WEEKNUM(Dates_Ref[[#This Row],[Start]],21)</f>
        <v>47</v>
      </c>
    </row>
    <row r="366" spans="2:9" x14ac:dyDescent="0.25">
      <c r="B366">
        <f>MONTH(Dates_Ref[[#This Row],[Start]])</f>
        <v>11</v>
      </c>
      <c r="C366" s="5">
        <f t="shared" si="6"/>
        <v>47448</v>
      </c>
      <c r="D366" s="2">
        <v>48</v>
      </c>
      <c r="E366">
        <v>24</v>
      </c>
      <c r="G366" s="5" t="str">
        <f>IF(Dates_Ref[[#This Row],[Pay QCH]]&lt;&gt;E365,Dates_Ref[[#This Row],[Start]]+18,"")</f>
        <v/>
      </c>
      <c r="H366">
        <f>WEEKDAY(Dates_Ref[[#This Row],[Start]],2)</f>
        <v>1</v>
      </c>
      <c r="I366">
        <f>WEEKNUM(Dates_Ref[[#This Row],[Start]],21)</f>
        <v>48</v>
      </c>
    </row>
    <row r="367" spans="2:9" x14ac:dyDescent="0.25">
      <c r="B367">
        <f>MONTH(Dates_Ref[[#This Row],[Start]])</f>
        <v>12</v>
      </c>
      <c r="C367" s="5">
        <f t="shared" si="6"/>
        <v>47455</v>
      </c>
      <c r="D367" s="2">
        <v>49</v>
      </c>
      <c r="E367">
        <v>25</v>
      </c>
      <c r="F367" s="1">
        <v>47473</v>
      </c>
      <c r="G367" s="5">
        <f>IF(Dates_Ref[[#This Row],[Pay QCH]]&lt;&gt;E366,Dates_Ref[[#This Row],[Start]]+18,"")</f>
        <v>47473</v>
      </c>
      <c r="H367">
        <f>WEEKDAY(Dates_Ref[[#This Row],[Start]],2)</f>
        <v>1</v>
      </c>
      <c r="I367">
        <f>WEEKNUM(Dates_Ref[[#This Row],[Start]],21)</f>
        <v>49</v>
      </c>
    </row>
    <row r="368" spans="2:9" x14ac:dyDescent="0.25">
      <c r="B368">
        <f>MONTH(Dates_Ref[[#This Row],[Start]])</f>
        <v>12</v>
      </c>
      <c r="C368" s="5">
        <f t="shared" si="6"/>
        <v>47462</v>
      </c>
      <c r="D368" s="2">
        <v>50</v>
      </c>
      <c r="E368">
        <v>25</v>
      </c>
      <c r="G368" s="5" t="str">
        <f>IF(Dates_Ref[[#This Row],[Pay QCH]]&lt;&gt;E367,Dates_Ref[[#This Row],[Start]]+18,"")</f>
        <v/>
      </c>
      <c r="H368">
        <f>WEEKDAY(Dates_Ref[[#This Row],[Start]],2)</f>
        <v>1</v>
      </c>
      <c r="I368">
        <f>WEEKNUM(Dates_Ref[[#This Row],[Start]],21)</f>
        <v>50</v>
      </c>
    </row>
    <row r="369" spans="2:9" x14ac:dyDescent="0.25">
      <c r="B369">
        <f>MONTH(Dates_Ref[[#This Row],[Start]])</f>
        <v>12</v>
      </c>
      <c r="C369" s="5">
        <f t="shared" si="6"/>
        <v>47469</v>
      </c>
      <c r="D369" s="2">
        <v>51</v>
      </c>
      <c r="E369">
        <v>26</v>
      </c>
      <c r="F369" s="1">
        <v>47487</v>
      </c>
      <c r="G369" s="5">
        <f>IF(Dates_Ref[[#This Row],[Pay QCH]]&lt;&gt;E368,Dates_Ref[[#This Row],[Start]]+18,"")</f>
        <v>47487</v>
      </c>
      <c r="H369">
        <f>WEEKDAY(Dates_Ref[[#This Row],[Start]],2)</f>
        <v>1</v>
      </c>
      <c r="I369">
        <f>WEEKNUM(Dates_Ref[[#This Row],[Start]],21)</f>
        <v>51</v>
      </c>
    </row>
    <row r="370" spans="2:9" x14ac:dyDescent="0.25">
      <c r="B370">
        <f>MONTH(Dates_Ref[[#This Row],[Start]])</f>
        <v>12</v>
      </c>
      <c r="C370" s="5">
        <f t="shared" si="6"/>
        <v>47476</v>
      </c>
      <c r="D370" s="2">
        <v>52</v>
      </c>
      <c r="E370">
        <v>26</v>
      </c>
      <c r="G370" s="5" t="str">
        <f>IF(Dates_Ref[[#This Row],[Pay QCH]]&lt;&gt;E369,Dates_Ref[[#This Row],[Start]]+18,"")</f>
        <v/>
      </c>
      <c r="H370">
        <f>WEEKDAY(Dates_Ref[[#This Row],[Start]],2)</f>
        <v>1</v>
      </c>
      <c r="I370">
        <f>WEEKNUM(Dates_Ref[[#This Row],[Start]],21)</f>
        <v>52</v>
      </c>
    </row>
    <row r="371" spans="2:9" x14ac:dyDescent="0.25">
      <c r="B371">
        <f>MONTH(Dates_Ref[[#This Row],[Start]])</f>
        <v>12</v>
      </c>
      <c r="C371" s="5">
        <f t="shared" si="6"/>
        <v>47483</v>
      </c>
      <c r="D371" s="2">
        <v>1</v>
      </c>
      <c r="E371">
        <v>1</v>
      </c>
      <c r="F371" s="1">
        <v>47501</v>
      </c>
      <c r="G371" s="5">
        <f>IF(Dates_Ref[[#This Row],[Pay QCH]]&lt;&gt;E370,Dates_Ref[[#This Row],[Start]]+18,"")</f>
        <v>47501</v>
      </c>
      <c r="H371">
        <f>WEEKDAY(Dates_Ref[[#This Row],[Start]],2)</f>
        <v>1</v>
      </c>
      <c r="I371">
        <f>WEEKNUM(Dates_Ref[[#This Row],[Start]],21)</f>
        <v>1</v>
      </c>
    </row>
    <row r="372" spans="2:9" x14ac:dyDescent="0.25">
      <c r="B372">
        <f>MONTH(Dates_Ref[[#This Row],[Start]])</f>
        <v>1</v>
      </c>
      <c r="C372" s="5">
        <f t="shared" si="6"/>
        <v>47490</v>
      </c>
      <c r="D372" s="2">
        <v>2</v>
      </c>
      <c r="E372">
        <v>1</v>
      </c>
      <c r="G372" s="5" t="str">
        <f>IF(Dates_Ref[[#This Row],[Pay QCH]]&lt;&gt;E371,Dates_Ref[[#This Row],[Start]]+18,"")</f>
        <v/>
      </c>
      <c r="H372">
        <f>WEEKDAY(Dates_Ref[[#This Row],[Start]],2)</f>
        <v>1</v>
      </c>
      <c r="I372">
        <f>WEEKNUM(Dates_Ref[[#This Row],[Start]],21)</f>
        <v>2</v>
      </c>
    </row>
    <row r="373" spans="2:9" x14ac:dyDescent="0.25">
      <c r="B373">
        <f>MONTH(Dates_Ref[[#This Row],[Start]])</f>
        <v>1</v>
      </c>
      <c r="C373" s="5">
        <f t="shared" si="6"/>
        <v>47497</v>
      </c>
      <c r="D373" s="2">
        <v>3</v>
      </c>
      <c r="E373">
        <v>2</v>
      </c>
      <c r="F373" s="1">
        <v>47515</v>
      </c>
      <c r="G373" s="5">
        <f>IF(Dates_Ref[[#This Row],[Pay QCH]]&lt;&gt;E372,Dates_Ref[[#This Row],[Start]]+18,"")</f>
        <v>47515</v>
      </c>
      <c r="H373">
        <f>WEEKDAY(Dates_Ref[[#This Row],[Start]],2)</f>
        <v>1</v>
      </c>
      <c r="I373">
        <f>WEEKNUM(Dates_Ref[[#This Row],[Start]],21)</f>
        <v>3</v>
      </c>
    </row>
    <row r="374" spans="2:9" x14ac:dyDescent="0.25">
      <c r="B374">
        <f>MONTH(Dates_Ref[[#This Row],[Start]])</f>
        <v>1</v>
      </c>
      <c r="C374" s="5">
        <f t="shared" si="6"/>
        <v>47504</v>
      </c>
      <c r="D374" s="2">
        <v>4</v>
      </c>
      <c r="E374">
        <v>2</v>
      </c>
      <c r="G374" s="5" t="str">
        <f>IF(Dates_Ref[[#This Row],[Pay QCH]]&lt;&gt;E373,Dates_Ref[[#This Row],[Start]]+18,"")</f>
        <v/>
      </c>
      <c r="H374">
        <f>WEEKDAY(Dates_Ref[[#This Row],[Start]],2)</f>
        <v>1</v>
      </c>
      <c r="I374">
        <f>WEEKNUM(Dates_Ref[[#This Row],[Start]],21)</f>
        <v>4</v>
      </c>
    </row>
    <row r="375" spans="2:9" x14ac:dyDescent="0.25">
      <c r="B375">
        <f>MONTH(Dates_Ref[[#This Row],[Start]])</f>
        <v>1</v>
      </c>
      <c r="C375" s="5">
        <f t="shared" si="6"/>
        <v>47511</v>
      </c>
      <c r="D375" s="2">
        <v>5</v>
      </c>
      <c r="E375">
        <v>3</v>
      </c>
      <c r="F375" s="1">
        <v>47529</v>
      </c>
      <c r="G375" s="5">
        <f>IF(Dates_Ref[[#This Row],[Pay QCH]]&lt;&gt;E374,Dates_Ref[[#This Row],[Start]]+18,"")</f>
        <v>47529</v>
      </c>
      <c r="H375">
        <f>WEEKDAY(Dates_Ref[[#This Row],[Start]],2)</f>
        <v>1</v>
      </c>
      <c r="I375">
        <f>WEEKNUM(Dates_Ref[[#This Row],[Start]],21)</f>
        <v>5</v>
      </c>
    </row>
    <row r="376" spans="2:9" x14ac:dyDescent="0.25">
      <c r="B376">
        <f>MONTH(Dates_Ref[[#This Row],[Start]])</f>
        <v>2</v>
      </c>
      <c r="C376" s="5">
        <f t="shared" si="6"/>
        <v>47518</v>
      </c>
      <c r="D376" s="2">
        <v>6</v>
      </c>
      <c r="E376">
        <v>3</v>
      </c>
      <c r="G376" s="5" t="str">
        <f>IF(Dates_Ref[[#This Row],[Pay QCH]]&lt;&gt;E375,Dates_Ref[[#This Row],[Start]]+18,"")</f>
        <v/>
      </c>
      <c r="H376">
        <f>WEEKDAY(Dates_Ref[[#This Row],[Start]],2)</f>
        <v>1</v>
      </c>
      <c r="I376">
        <f>WEEKNUM(Dates_Ref[[#This Row],[Start]],21)</f>
        <v>6</v>
      </c>
    </row>
    <row r="377" spans="2:9" x14ac:dyDescent="0.25">
      <c r="B377">
        <f>MONTH(Dates_Ref[[#This Row],[Start]])</f>
        <v>2</v>
      </c>
      <c r="C377" s="5">
        <f t="shared" si="6"/>
        <v>47525</v>
      </c>
      <c r="D377" s="2">
        <v>7</v>
      </c>
      <c r="E377">
        <v>4</v>
      </c>
      <c r="F377" s="1">
        <v>47543</v>
      </c>
      <c r="G377" s="5">
        <f>IF(Dates_Ref[[#This Row],[Pay QCH]]&lt;&gt;E376,Dates_Ref[[#This Row],[Start]]+18,"")</f>
        <v>47543</v>
      </c>
      <c r="H377">
        <f>WEEKDAY(Dates_Ref[[#This Row],[Start]],2)</f>
        <v>1</v>
      </c>
      <c r="I377">
        <f>WEEKNUM(Dates_Ref[[#This Row],[Start]],21)</f>
        <v>7</v>
      </c>
    </row>
    <row r="378" spans="2:9" x14ac:dyDescent="0.25">
      <c r="B378">
        <f>MONTH(Dates_Ref[[#This Row],[Start]])</f>
        <v>2</v>
      </c>
      <c r="C378" s="5">
        <f t="shared" si="6"/>
        <v>47532</v>
      </c>
      <c r="D378" s="2">
        <v>8</v>
      </c>
      <c r="E378">
        <v>4</v>
      </c>
      <c r="G378" s="5" t="str">
        <f>IF(Dates_Ref[[#This Row],[Pay QCH]]&lt;&gt;E377,Dates_Ref[[#This Row],[Start]]+18,"")</f>
        <v/>
      </c>
      <c r="H378">
        <f>WEEKDAY(Dates_Ref[[#This Row],[Start]],2)</f>
        <v>1</v>
      </c>
      <c r="I378">
        <f>WEEKNUM(Dates_Ref[[#This Row],[Start]],21)</f>
        <v>8</v>
      </c>
    </row>
    <row r="379" spans="2:9" x14ac:dyDescent="0.25">
      <c r="B379">
        <f>MONTH(Dates_Ref[[#This Row],[Start]])</f>
        <v>2</v>
      </c>
      <c r="C379" s="5">
        <f t="shared" si="6"/>
        <v>47539</v>
      </c>
      <c r="D379" s="2">
        <v>9</v>
      </c>
      <c r="E379">
        <v>5</v>
      </c>
      <c r="F379" s="1">
        <v>47557</v>
      </c>
      <c r="G379" s="5">
        <f>IF(Dates_Ref[[#This Row],[Pay QCH]]&lt;&gt;E378,Dates_Ref[[#This Row],[Start]]+18,"")</f>
        <v>47557</v>
      </c>
      <c r="H379">
        <f>WEEKDAY(Dates_Ref[[#This Row],[Start]],2)</f>
        <v>1</v>
      </c>
      <c r="I379">
        <f>WEEKNUM(Dates_Ref[[#This Row],[Start]],21)</f>
        <v>9</v>
      </c>
    </row>
    <row r="380" spans="2:9" x14ac:dyDescent="0.25">
      <c r="B380">
        <f>MONTH(Dates_Ref[[#This Row],[Start]])</f>
        <v>3</v>
      </c>
      <c r="C380" s="5">
        <f t="shared" si="6"/>
        <v>47546</v>
      </c>
      <c r="D380" s="2">
        <v>10</v>
      </c>
      <c r="E380">
        <v>5</v>
      </c>
      <c r="G380" s="5" t="str">
        <f>IF(Dates_Ref[[#This Row],[Pay QCH]]&lt;&gt;E379,Dates_Ref[[#This Row],[Start]]+18,"")</f>
        <v/>
      </c>
      <c r="H380">
        <f>WEEKDAY(Dates_Ref[[#This Row],[Start]],2)</f>
        <v>1</v>
      </c>
      <c r="I380">
        <f>WEEKNUM(Dates_Ref[[#This Row],[Start]],21)</f>
        <v>10</v>
      </c>
    </row>
    <row r="381" spans="2:9" x14ac:dyDescent="0.25">
      <c r="B381">
        <f>MONTH(Dates_Ref[[#This Row],[Start]])</f>
        <v>3</v>
      </c>
      <c r="C381" s="5">
        <f t="shared" si="6"/>
        <v>47553</v>
      </c>
      <c r="D381" s="2">
        <v>11</v>
      </c>
      <c r="E381">
        <v>6</v>
      </c>
      <c r="F381" s="1">
        <v>47571</v>
      </c>
      <c r="G381" s="5">
        <f>IF(Dates_Ref[[#This Row],[Pay QCH]]&lt;&gt;E380,Dates_Ref[[#This Row],[Start]]+18,"")</f>
        <v>47571</v>
      </c>
      <c r="H381">
        <f>WEEKDAY(Dates_Ref[[#This Row],[Start]],2)</f>
        <v>1</v>
      </c>
      <c r="I381">
        <f>WEEKNUM(Dates_Ref[[#This Row],[Start]],21)</f>
        <v>11</v>
      </c>
    </row>
    <row r="382" spans="2:9" x14ac:dyDescent="0.25">
      <c r="B382">
        <f>MONTH(Dates_Ref[[#This Row],[Start]])</f>
        <v>3</v>
      </c>
      <c r="C382" s="5">
        <f t="shared" si="6"/>
        <v>47560</v>
      </c>
      <c r="D382" s="2">
        <v>12</v>
      </c>
      <c r="E382">
        <v>6</v>
      </c>
      <c r="G382" s="5" t="str">
        <f>IF(Dates_Ref[[#This Row],[Pay QCH]]&lt;&gt;E381,Dates_Ref[[#This Row],[Start]]+18,"")</f>
        <v/>
      </c>
      <c r="H382">
        <f>WEEKDAY(Dates_Ref[[#This Row],[Start]],2)</f>
        <v>1</v>
      </c>
      <c r="I382">
        <f>WEEKNUM(Dates_Ref[[#This Row],[Start]],21)</f>
        <v>12</v>
      </c>
    </row>
    <row r="383" spans="2:9" x14ac:dyDescent="0.25">
      <c r="B383">
        <f>MONTH(Dates_Ref[[#This Row],[Start]])</f>
        <v>3</v>
      </c>
      <c r="C383" s="5">
        <f t="shared" si="6"/>
        <v>47567</v>
      </c>
      <c r="D383" s="2">
        <v>13</v>
      </c>
      <c r="E383">
        <v>7</v>
      </c>
      <c r="F383" s="1">
        <v>47585</v>
      </c>
      <c r="G383" s="5">
        <f>IF(Dates_Ref[[#This Row],[Pay QCH]]&lt;&gt;E382,Dates_Ref[[#This Row],[Start]]+18,"")</f>
        <v>47585</v>
      </c>
      <c r="H383">
        <f>WEEKDAY(Dates_Ref[[#This Row],[Start]],2)</f>
        <v>1</v>
      </c>
      <c r="I383">
        <f>WEEKNUM(Dates_Ref[[#This Row],[Start]],21)</f>
        <v>13</v>
      </c>
    </row>
    <row r="384" spans="2:9" x14ac:dyDescent="0.25">
      <c r="B384">
        <f>MONTH(Dates_Ref[[#This Row],[Start]])</f>
        <v>4</v>
      </c>
      <c r="C384" s="5">
        <f t="shared" si="6"/>
        <v>47574</v>
      </c>
      <c r="D384" s="2">
        <v>14</v>
      </c>
      <c r="E384">
        <v>7</v>
      </c>
      <c r="G384" s="5" t="str">
        <f>IF(Dates_Ref[[#This Row],[Pay QCH]]&lt;&gt;E383,Dates_Ref[[#This Row],[Start]]+18,"")</f>
        <v/>
      </c>
      <c r="H384">
        <f>WEEKDAY(Dates_Ref[[#This Row],[Start]],2)</f>
        <v>1</v>
      </c>
      <c r="I384">
        <f>WEEKNUM(Dates_Ref[[#This Row],[Start]],21)</f>
        <v>14</v>
      </c>
    </row>
    <row r="385" spans="2:9" x14ac:dyDescent="0.25">
      <c r="B385">
        <f>MONTH(Dates_Ref[[#This Row],[Start]])</f>
        <v>4</v>
      </c>
      <c r="C385" s="5">
        <f t="shared" si="6"/>
        <v>47581</v>
      </c>
      <c r="D385" s="2">
        <v>15</v>
      </c>
      <c r="E385">
        <v>8</v>
      </c>
      <c r="F385" s="1">
        <v>47599</v>
      </c>
      <c r="G385" s="5">
        <f>IF(Dates_Ref[[#This Row],[Pay QCH]]&lt;&gt;E384,Dates_Ref[[#This Row],[Start]]+18,"")</f>
        <v>47599</v>
      </c>
      <c r="H385">
        <f>WEEKDAY(Dates_Ref[[#This Row],[Start]],2)</f>
        <v>1</v>
      </c>
      <c r="I385">
        <f>WEEKNUM(Dates_Ref[[#This Row],[Start]],21)</f>
        <v>15</v>
      </c>
    </row>
    <row r="386" spans="2:9" x14ac:dyDescent="0.25">
      <c r="B386">
        <f>MONTH(Dates_Ref[[#This Row],[Start]])</f>
        <v>4</v>
      </c>
      <c r="C386" s="5">
        <f t="shared" si="6"/>
        <v>47588</v>
      </c>
      <c r="D386" s="2">
        <v>16</v>
      </c>
      <c r="E386">
        <v>8</v>
      </c>
      <c r="G386" s="5" t="str">
        <f>IF(Dates_Ref[[#This Row],[Pay QCH]]&lt;&gt;E385,Dates_Ref[[#This Row],[Start]]+18,"")</f>
        <v/>
      </c>
      <c r="H386">
        <f>WEEKDAY(Dates_Ref[[#This Row],[Start]],2)</f>
        <v>1</v>
      </c>
      <c r="I386">
        <f>WEEKNUM(Dates_Ref[[#This Row],[Start]],21)</f>
        <v>16</v>
      </c>
    </row>
    <row r="387" spans="2:9" x14ac:dyDescent="0.25">
      <c r="B387">
        <f>MONTH(Dates_Ref[[#This Row],[Start]])</f>
        <v>4</v>
      </c>
      <c r="C387" s="5">
        <f t="shared" si="6"/>
        <v>47595</v>
      </c>
      <c r="D387" s="2">
        <v>17</v>
      </c>
      <c r="E387">
        <v>9</v>
      </c>
      <c r="F387" s="1">
        <v>47613</v>
      </c>
      <c r="G387" s="5">
        <f>IF(Dates_Ref[[#This Row],[Pay QCH]]&lt;&gt;E386,Dates_Ref[[#This Row],[Start]]+18,"")</f>
        <v>47613</v>
      </c>
      <c r="H387">
        <f>WEEKDAY(Dates_Ref[[#This Row],[Start]],2)</f>
        <v>1</v>
      </c>
      <c r="I387">
        <f>WEEKNUM(Dates_Ref[[#This Row],[Start]],21)</f>
        <v>17</v>
      </c>
    </row>
    <row r="388" spans="2:9" x14ac:dyDescent="0.25">
      <c r="B388">
        <f>MONTH(Dates_Ref[[#This Row],[Start]])</f>
        <v>4</v>
      </c>
      <c r="C388" s="5">
        <f t="shared" si="6"/>
        <v>47602</v>
      </c>
      <c r="D388" s="2">
        <v>18</v>
      </c>
      <c r="E388">
        <v>9</v>
      </c>
      <c r="G388" s="5" t="str">
        <f>IF(Dates_Ref[[#This Row],[Pay QCH]]&lt;&gt;E387,Dates_Ref[[#This Row],[Start]]+18,"")</f>
        <v/>
      </c>
      <c r="H388">
        <f>WEEKDAY(Dates_Ref[[#This Row],[Start]],2)</f>
        <v>1</v>
      </c>
      <c r="I388">
        <f>WEEKNUM(Dates_Ref[[#This Row],[Start]],21)</f>
        <v>18</v>
      </c>
    </row>
    <row r="389" spans="2:9" x14ac:dyDescent="0.25">
      <c r="B389">
        <f>MONTH(Dates_Ref[[#This Row],[Start]])</f>
        <v>5</v>
      </c>
      <c r="C389" s="5">
        <f t="shared" si="6"/>
        <v>47609</v>
      </c>
      <c r="D389" s="2">
        <v>19</v>
      </c>
      <c r="E389">
        <v>10</v>
      </c>
      <c r="F389" s="1">
        <v>47627</v>
      </c>
      <c r="G389" s="5">
        <f>IF(Dates_Ref[[#This Row],[Pay QCH]]&lt;&gt;E388,Dates_Ref[[#This Row],[Start]]+18,"")</f>
        <v>47627</v>
      </c>
      <c r="H389">
        <f>WEEKDAY(Dates_Ref[[#This Row],[Start]],2)</f>
        <v>1</v>
      </c>
      <c r="I389">
        <f>WEEKNUM(Dates_Ref[[#This Row],[Start]],21)</f>
        <v>19</v>
      </c>
    </row>
    <row r="390" spans="2:9" x14ac:dyDescent="0.25">
      <c r="B390">
        <f>MONTH(Dates_Ref[[#This Row],[Start]])</f>
        <v>5</v>
      </c>
      <c r="C390" s="5">
        <f t="shared" si="6"/>
        <v>47616</v>
      </c>
      <c r="D390" s="2">
        <v>20</v>
      </c>
      <c r="E390">
        <v>10</v>
      </c>
      <c r="G390" s="5" t="str">
        <f>IF(Dates_Ref[[#This Row],[Pay QCH]]&lt;&gt;E389,Dates_Ref[[#This Row],[Start]]+18,"")</f>
        <v/>
      </c>
      <c r="H390">
        <f>WEEKDAY(Dates_Ref[[#This Row],[Start]],2)</f>
        <v>1</v>
      </c>
      <c r="I390">
        <f>WEEKNUM(Dates_Ref[[#This Row],[Start]],21)</f>
        <v>20</v>
      </c>
    </row>
    <row r="391" spans="2:9" x14ac:dyDescent="0.25">
      <c r="B391">
        <f>MONTH(Dates_Ref[[#This Row],[Start]])</f>
        <v>5</v>
      </c>
      <c r="C391" s="5">
        <f t="shared" ref="C391:C454" si="7">C390+7</f>
        <v>47623</v>
      </c>
      <c r="D391" s="2">
        <v>21</v>
      </c>
      <c r="E391">
        <v>11</v>
      </c>
      <c r="F391" s="1">
        <v>47641</v>
      </c>
      <c r="G391" s="5">
        <f>IF(Dates_Ref[[#This Row],[Pay QCH]]&lt;&gt;E390,Dates_Ref[[#This Row],[Start]]+18,"")</f>
        <v>47641</v>
      </c>
      <c r="H391">
        <f>WEEKDAY(Dates_Ref[[#This Row],[Start]],2)</f>
        <v>1</v>
      </c>
      <c r="I391">
        <f>WEEKNUM(Dates_Ref[[#This Row],[Start]],21)</f>
        <v>21</v>
      </c>
    </row>
    <row r="392" spans="2:9" x14ac:dyDescent="0.25">
      <c r="B392">
        <f>MONTH(Dates_Ref[[#This Row],[Start]])</f>
        <v>5</v>
      </c>
      <c r="C392" s="5">
        <f t="shared" si="7"/>
        <v>47630</v>
      </c>
      <c r="D392" s="2">
        <v>22</v>
      </c>
      <c r="E392">
        <v>11</v>
      </c>
      <c r="G392" s="5" t="str">
        <f>IF(Dates_Ref[[#This Row],[Pay QCH]]&lt;&gt;E391,Dates_Ref[[#This Row],[Start]]+18,"")</f>
        <v/>
      </c>
      <c r="H392">
        <f>WEEKDAY(Dates_Ref[[#This Row],[Start]],2)</f>
        <v>1</v>
      </c>
      <c r="I392">
        <f>WEEKNUM(Dates_Ref[[#This Row],[Start]],21)</f>
        <v>22</v>
      </c>
    </row>
    <row r="393" spans="2:9" x14ac:dyDescent="0.25">
      <c r="B393">
        <f>MONTH(Dates_Ref[[#This Row],[Start]])</f>
        <v>6</v>
      </c>
      <c r="C393" s="5">
        <f t="shared" si="7"/>
        <v>47637</v>
      </c>
      <c r="D393" s="2">
        <v>23</v>
      </c>
      <c r="E393">
        <v>12</v>
      </c>
      <c r="F393" s="1">
        <v>47655</v>
      </c>
      <c r="G393" s="5">
        <f>IF(Dates_Ref[[#This Row],[Pay QCH]]&lt;&gt;E392,Dates_Ref[[#This Row],[Start]]+18,"")</f>
        <v>47655</v>
      </c>
      <c r="H393">
        <f>WEEKDAY(Dates_Ref[[#This Row],[Start]],2)</f>
        <v>1</v>
      </c>
      <c r="I393">
        <f>WEEKNUM(Dates_Ref[[#This Row],[Start]],21)</f>
        <v>23</v>
      </c>
    </row>
    <row r="394" spans="2:9" x14ac:dyDescent="0.25">
      <c r="B394">
        <f>MONTH(Dates_Ref[[#This Row],[Start]])</f>
        <v>6</v>
      </c>
      <c r="C394" s="5">
        <f t="shared" si="7"/>
        <v>47644</v>
      </c>
      <c r="D394" s="2">
        <v>24</v>
      </c>
      <c r="E394">
        <v>12</v>
      </c>
      <c r="G394" s="5" t="str">
        <f>IF(Dates_Ref[[#This Row],[Pay QCH]]&lt;&gt;E393,Dates_Ref[[#This Row],[Start]]+18,"")</f>
        <v/>
      </c>
      <c r="H394">
        <f>WEEKDAY(Dates_Ref[[#This Row],[Start]],2)</f>
        <v>1</v>
      </c>
      <c r="I394">
        <f>WEEKNUM(Dates_Ref[[#This Row],[Start]],21)</f>
        <v>24</v>
      </c>
    </row>
    <row r="395" spans="2:9" x14ac:dyDescent="0.25">
      <c r="B395">
        <f>MONTH(Dates_Ref[[#This Row],[Start]])</f>
        <v>6</v>
      </c>
      <c r="C395" s="5">
        <f t="shared" si="7"/>
        <v>47651</v>
      </c>
      <c r="D395" s="2">
        <v>25</v>
      </c>
      <c r="E395">
        <v>13</v>
      </c>
      <c r="F395" s="1">
        <v>47669</v>
      </c>
      <c r="G395" s="5">
        <f>IF(Dates_Ref[[#This Row],[Pay QCH]]&lt;&gt;E394,Dates_Ref[[#This Row],[Start]]+18,"")</f>
        <v>47669</v>
      </c>
      <c r="H395">
        <f>WEEKDAY(Dates_Ref[[#This Row],[Start]],2)</f>
        <v>1</v>
      </c>
      <c r="I395">
        <f>WEEKNUM(Dates_Ref[[#This Row],[Start]],21)</f>
        <v>25</v>
      </c>
    </row>
    <row r="396" spans="2:9" x14ac:dyDescent="0.25">
      <c r="B396">
        <f>MONTH(Dates_Ref[[#This Row],[Start]])</f>
        <v>6</v>
      </c>
      <c r="C396" s="5">
        <f t="shared" si="7"/>
        <v>47658</v>
      </c>
      <c r="D396" s="2">
        <v>26</v>
      </c>
      <c r="E396">
        <v>13</v>
      </c>
      <c r="G396" s="5" t="str">
        <f>IF(Dates_Ref[[#This Row],[Pay QCH]]&lt;&gt;E395,Dates_Ref[[#This Row],[Start]]+18,"")</f>
        <v/>
      </c>
      <c r="H396">
        <f>WEEKDAY(Dates_Ref[[#This Row],[Start]],2)</f>
        <v>1</v>
      </c>
      <c r="I396">
        <f>WEEKNUM(Dates_Ref[[#This Row],[Start]],21)</f>
        <v>26</v>
      </c>
    </row>
    <row r="397" spans="2:9" x14ac:dyDescent="0.25">
      <c r="B397">
        <f>MONTH(Dates_Ref[[#This Row],[Start]])</f>
        <v>7</v>
      </c>
      <c r="C397" s="5">
        <f t="shared" si="7"/>
        <v>47665</v>
      </c>
      <c r="D397" s="2">
        <v>27</v>
      </c>
      <c r="E397">
        <v>14</v>
      </c>
      <c r="F397" s="1">
        <v>47683</v>
      </c>
      <c r="G397" s="5">
        <f>IF(Dates_Ref[[#This Row],[Pay QCH]]&lt;&gt;E396,Dates_Ref[[#This Row],[Start]]+18,"")</f>
        <v>47683</v>
      </c>
      <c r="H397">
        <f>WEEKDAY(Dates_Ref[[#This Row],[Start]],2)</f>
        <v>1</v>
      </c>
      <c r="I397">
        <f>WEEKNUM(Dates_Ref[[#This Row],[Start]],21)</f>
        <v>27</v>
      </c>
    </row>
    <row r="398" spans="2:9" x14ac:dyDescent="0.25">
      <c r="B398">
        <f>MONTH(Dates_Ref[[#This Row],[Start]])</f>
        <v>7</v>
      </c>
      <c r="C398" s="5">
        <f t="shared" si="7"/>
        <v>47672</v>
      </c>
      <c r="D398" s="2">
        <v>28</v>
      </c>
      <c r="E398">
        <v>14</v>
      </c>
      <c r="G398" s="5" t="str">
        <f>IF(Dates_Ref[[#This Row],[Pay QCH]]&lt;&gt;E397,Dates_Ref[[#This Row],[Start]]+18,"")</f>
        <v/>
      </c>
      <c r="H398">
        <f>WEEKDAY(Dates_Ref[[#This Row],[Start]],2)</f>
        <v>1</v>
      </c>
      <c r="I398">
        <f>WEEKNUM(Dates_Ref[[#This Row],[Start]],21)</f>
        <v>28</v>
      </c>
    </row>
    <row r="399" spans="2:9" x14ac:dyDescent="0.25">
      <c r="B399">
        <f>MONTH(Dates_Ref[[#This Row],[Start]])</f>
        <v>7</v>
      </c>
      <c r="C399" s="5">
        <f t="shared" si="7"/>
        <v>47679</v>
      </c>
      <c r="D399" s="2">
        <v>29</v>
      </c>
      <c r="E399">
        <v>15</v>
      </c>
      <c r="F399" s="1">
        <v>47697</v>
      </c>
      <c r="G399" s="5">
        <f>IF(Dates_Ref[[#This Row],[Pay QCH]]&lt;&gt;E398,Dates_Ref[[#This Row],[Start]]+18,"")</f>
        <v>47697</v>
      </c>
      <c r="H399">
        <f>WEEKDAY(Dates_Ref[[#This Row],[Start]],2)</f>
        <v>1</v>
      </c>
      <c r="I399">
        <f>WEEKNUM(Dates_Ref[[#This Row],[Start]],21)</f>
        <v>29</v>
      </c>
    </row>
    <row r="400" spans="2:9" x14ac:dyDescent="0.25">
      <c r="B400">
        <f>MONTH(Dates_Ref[[#This Row],[Start]])</f>
        <v>7</v>
      </c>
      <c r="C400" s="5">
        <f t="shared" si="7"/>
        <v>47686</v>
      </c>
      <c r="D400" s="2">
        <v>30</v>
      </c>
      <c r="E400">
        <v>15</v>
      </c>
      <c r="G400" s="5" t="str">
        <f>IF(Dates_Ref[[#This Row],[Pay QCH]]&lt;&gt;E399,Dates_Ref[[#This Row],[Start]]+18,"")</f>
        <v/>
      </c>
      <c r="H400">
        <f>WEEKDAY(Dates_Ref[[#This Row],[Start]],2)</f>
        <v>1</v>
      </c>
      <c r="I400">
        <f>WEEKNUM(Dates_Ref[[#This Row],[Start]],21)</f>
        <v>30</v>
      </c>
    </row>
    <row r="401" spans="2:9" x14ac:dyDescent="0.25">
      <c r="B401">
        <f>MONTH(Dates_Ref[[#This Row],[Start]])</f>
        <v>7</v>
      </c>
      <c r="C401" s="5">
        <f t="shared" si="7"/>
        <v>47693</v>
      </c>
      <c r="D401" s="2">
        <v>31</v>
      </c>
      <c r="E401">
        <v>16</v>
      </c>
      <c r="F401" s="1">
        <v>47711</v>
      </c>
      <c r="G401" s="5">
        <f>IF(Dates_Ref[[#This Row],[Pay QCH]]&lt;&gt;E400,Dates_Ref[[#This Row],[Start]]+18,"")</f>
        <v>47711</v>
      </c>
      <c r="H401">
        <f>WEEKDAY(Dates_Ref[[#This Row],[Start]],2)</f>
        <v>1</v>
      </c>
      <c r="I401">
        <f>WEEKNUM(Dates_Ref[[#This Row],[Start]],21)</f>
        <v>31</v>
      </c>
    </row>
    <row r="402" spans="2:9" x14ac:dyDescent="0.25">
      <c r="B402">
        <f>MONTH(Dates_Ref[[#This Row],[Start]])</f>
        <v>8</v>
      </c>
      <c r="C402" s="5">
        <f t="shared" si="7"/>
        <v>47700</v>
      </c>
      <c r="D402" s="2">
        <v>32</v>
      </c>
      <c r="E402">
        <v>16</v>
      </c>
      <c r="G402" s="5" t="str">
        <f>IF(Dates_Ref[[#This Row],[Pay QCH]]&lt;&gt;E401,Dates_Ref[[#This Row],[Start]]+18,"")</f>
        <v/>
      </c>
      <c r="H402">
        <f>WEEKDAY(Dates_Ref[[#This Row],[Start]],2)</f>
        <v>1</v>
      </c>
      <c r="I402">
        <f>WEEKNUM(Dates_Ref[[#This Row],[Start]],21)</f>
        <v>32</v>
      </c>
    </row>
    <row r="403" spans="2:9" x14ac:dyDescent="0.25">
      <c r="B403">
        <f>MONTH(Dates_Ref[[#This Row],[Start]])</f>
        <v>8</v>
      </c>
      <c r="C403" s="5">
        <f t="shared" si="7"/>
        <v>47707</v>
      </c>
      <c r="D403" s="2">
        <v>33</v>
      </c>
      <c r="E403">
        <v>17</v>
      </c>
      <c r="F403" s="1">
        <v>47725</v>
      </c>
      <c r="G403" s="5">
        <f>IF(Dates_Ref[[#This Row],[Pay QCH]]&lt;&gt;E402,Dates_Ref[[#This Row],[Start]]+18,"")</f>
        <v>47725</v>
      </c>
      <c r="H403">
        <f>WEEKDAY(Dates_Ref[[#This Row],[Start]],2)</f>
        <v>1</v>
      </c>
      <c r="I403">
        <f>WEEKNUM(Dates_Ref[[#This Row],[Start]],21)</f>
        <v>33</v>
      </c>
    </row>
    <row r="404" spans="2:9" x14ac:dyDescent="0.25">
      <c r="B404">
        <f>MONTH(Dates_Ref[[#This Row],[Start]])</f>
        <v>8</v>
      </c>
      <c r="C404" s="5">
        <f t="shared" si="7"/>
        <v>47714</v>
      </c>
      <c r="D404" s="2">
        <v>34</v>
      </c>
      <c r="E404">
        <v>17</v>
      </c>
      <c r="G404" s="5" t="str">
        <f>IF(Dates_Ref[[#This Row],[Pay QCH]]&lt;&gt;E403,Dates_Ref[[#This Row],[Start]]+18,"")</f>
        <v/>
      </c>
      <c r="H404">
        <f>WEEKDAY(Dates_Ref[[#This Row],[Start]],2)</f>
        <v>1</v>
      </c>
      <c r="I404">
        <f>WEEKNUM(Dates_Ref[[#This Row],[Start]],21)</f>
        <v>34</v>
      </c>
    </row>
    <row r="405" spans="2:9" x14ac:dyDescent="0.25">
      <c r="B405">
        <f>MONTH(Dates_Ref[[#This Row],[Start]])</f>
        <v>8</v>
      </c>
      <c r="C405" s="5">
        <f t="shared" si="7"/>
        <v>47721</v>
      </c>
      <c r="D405" s="2">
        <v>35</v>
      </c>
      <c r="E405">
        <v>18</v>
      </c>
      <c r="F405" s="1">
        <v>47739</v>
      </c>
      <c r="G405" s="5">
        <f>IF(Dates_Ref[[#This Row],[Pay QCH]]&lt;&gt;E404,Dates_Ref[[#This Row],[Start]]+18,"")</f>
        <v>47739</v>
      </c>
      <c r="H405">
        <f>WEEKDAY(Dates_Ref[[#This Row],[Start]],2)</f>
        <v>1</v>
      </c>
      <c r="I405">
        <f>WEEKNUM(Dates_Ref[[#This Row],[Start]],21)</f>
        <v>35</v>
      </c>
    </row>
    <row r="406" spans="2:9" x14ac:dyDescent="0.25">
      <c r="B406">
        <f>MONTH(Dates_Ref[[#This Row],[Start]])</f>
        <v>9</v>
      </c>
      <c r="C406" s="5">
        <f t="shared" si="7"/>
        <v>47728</v>
      </c>
      <c r="D406" s="2">
        <v>36</v>
      </c>
      <c r="E406">
        <v>18</v>
      </c>
      <c r="G406" s="5" t="str">
        <f>IF(Dates_Ref[[#This Row],[Pay QCH]]&lt;&gt;E405,Dates_Ref[[#This Row],[Start]]+18,"")</f>
        <v/>
      </c>
      <c r="H406">
        <f>WEEKDAY(Dates_Ref[[#This Row],[Start]],2)</f>
        <v>1</v>
      </c>
      <c r="I406">
        <f>WEEKNUM(Dates_Ref[[#This Row],[Start]],21)</f>
        <v>36</v>
      </c>
    </row>
    <row r="407" spans="2:9" x14ac:dyDescent="0.25">
      <c r="B407">
        <f>MONTH(Dates_Ref[[#This Row],[Start]])</f>
        <v>9</v>
      </c>
      <c r="C407" s="5">
        <f t="shared" si="7"/>
        <v>47735</v>
      </c>
      <c r="D407" s="2">
        <v>37</v>
      </c>
      <c r="E407">
        <v>19</v>
      </c>
      <c r="F407" s="1">
        <v>47753</v>
      </c>
      <c r="G407" s="5">
        <f>IF(Dates_Ref[[#This Row],[Pay QCH]]&lt;&gt;E406,Dates_Ref[[#This Row],[Start]]+18,"")</f>
        <v>47753</v>
      </c>
      <c r="H407">
        <f>WEEKDAY(Dates_Ref[[#This Row],[Start]],2)</f>
        <v>1</v>
      </c>
      <c r="I407">
        <f>WEEKNUM(Dates_Ref[[#This Row],[Start]],21)</f>
        <v>37</v>
      </c>
    </row>
    <row r="408" spans="2:9" x14ac:dyDescent="0.25">
      <c r="B408">
        <f>MONTH(Dates_Ref[[#This Row],[Start]])</f>
        <v>9</v>
      </c>
      <c r="C408" s="5">
        <f t="shared" si="7"/>
        <v>47742</v>
      </c>
      <c r="D408" s="2">
        <v>38</v>
      </c>
      <c r="E408">
        <v>19</v>
      </c>
      <c r="G408" s="5" t="str">
        <f>IF(Dates_Ref[[#This Row],[Pay QCH]]&lt;&gt;E407,Dates_Ref[[#This Row],[Start]]+18,"")</f>
        <v/>
      </c>
      <c r="H408">
        <f>WEEKDAY(Dates_Ref[[#This Row],[Start]],2)</f>
        <v>1</v>
      </c>
      <c r="I408">
        <f>WEEKNUM(Dates_Ref[[#This Row],[Start]],21)</f>
        <v>38</v>
      </c>
    </row>
    <row r="409" spans="2:9" x14ac:dyDescent="0.25">
      <c r="B409">
        <f>MONTH(Dates_Ref[[#This Row],[Start]])</f>
        <v>9</v>
      </c>
      <c r="C409" s="5">
        <f t="shared" si="7"/>
        <v>47749</v>
      </c>
      <c r="D409" s="2">
        <v>39</v>
      </c>
      <c r="E409">
        <v>20</v>
      </c>
      <c r="F409" s="1">
        <v>47767</v>
      </c>
      <c r="G409" s="5">
        <f>IF(Dates_Ref[[#This Row],[Pay QCH]]&lt;&gt;E408,Dates_Ref[[#This Row],[Start]]+18,"")</f>
        <v>47767</v>
      </c>
      <c r="H409">
        <f>WEEKDAY(Dates_Ref[[#This Row],[Start]],2)</f>
        <v>1</v>
      </c>
      <c r="I409">
        <f>WEEKNUM(Dates_Ref[[#This Row],[Start]],21)</f>
        <v>39</v>
      </c>
    </row>
    <row r="410" spans="2:9" x14ac:dyDescent="0.25">
      <c r="B410">
        <f>MONTH(Dates_Ref[[#This Row],[Start]])</f>
        <v>9</v>
      </c>
      <c r="C410" s="5">
        <f t="shared" si="7"/>
        <v>47756</v>
      </c>
      <c r="D410" s="2">
        <v>40</v>
      </c>
      <c r="E410">
        <v>20</v>
      </c>
      <c r="G410" s="5" t="str">
        <f>IF(Dates_Ref[[#This Row],[Pay QCH]]&lt;&gt;E409,Dates_Ref[[#This Row],[Start]]+18,"")</f>
        <v/>
      </c>
      <c r="H410">
        <f>WEEKDAY(Dates_Ref[[#This Row],[Start]],2)</f>
        <v>1</v>
      </c>
      <c r="I410">
        <f>WEEKNUM(Dates_Ref[[#This Row],[Start]],21)</f>
        <v>40</v>
      </c>
    </row>
    <row r="411" spans="2:9" x14ac:dyDescent="0.25">
      <c r="B411">
        <f>MONTH(Dates_Ref[[#This Row],[Start]])</f>
        <v>10</v>
      </c>
      <c r="C411" s="5">
        <f t="shared" si="7"/>
        <v>47763</v>
      </c>
      <c r="D411" s="2">
        <v>41</v>
      </c>
      <c r="E411">
        <v>21</v>
      </c>
      <c r="F411" s="1">
        <v>47781</v>
      </c>
      <c r="G411" s="5">
        <f>IF(Dates_Ref[[#This Row],[Pay QCH]]&lt;&gt;E410,Dates_Ref[[#This Row],[Start]]+18,"")</f>
        <v>47781</v>
      </c>
      <c r="H411">
        <f>WEEKDAY(Dates_Ref[[#This Row],[Start]],2)</f>
        <v>1</v>
      </c>
      <c r="I411">
        <f>WEEKNUM(Dates_Ref[[#This Row],[Start]],21)</f>
        <v>41</v>
      </c>
    </row>
    <row r="412" spans="2:9" x14ac:dyDescent="0.25">
      <c r="B412">
        <f>MONTH(Dates_Ref[[#This Row],[Start]])</f>
        <v>10</v>
      </c>
      <c r="C412" s="5">
        <f t="shared" si="7"/>
        <v>47770</v>
      </c>
      <c r="D412" s="2">
        <v>42</v>
      </c>
      <c r="E412">
        <v>21</v>
      </c>
      <c r="G412" s="5" t="str">
        <f>IF(Dates_Ref[[#This Row],[Pay QCH]]&lt;&gt;E411,Dates_Ref[[#This Row],[Start]]+18,"")</f>
        <v/>
      </c>
      <c r="H412">
        <f>WEEKDAY(Dates_Ref[[#This Row],[Start]],2)</f>
        <v>1</v>
      </c>
      <c r="I412">
        <f>WEEKNUM(Dates_Ref[[#This Row],[Start]],21)</f>
        <v>42</v>
      </c>
    </row>
    <row r="413" spans="2:9" x14ac:dyDescent="0.25">
      <c r="B413">
        <f>MONTH(Dates_Ref[[#This Row],[Start]])</f>
        <v>10</v>
      </c>
      <c r="C413" s="5">
        <f t="shared" si="7"/>
        <v>47777</v>
      </c>
      <c r="D413" s="2">
        <v>43</v>
      </c>
      <c r="E413">
        <v>22</v>
      </c>
      <c r="F413" s="1">
        <v>47795</v>
      </c>
      <c r="G413" s="5">
        <f>IF(Dates_Ref[[#This Row],[Pay QCH]]&lt;&gt;E412,Dates_Ref[[#This Row],[Start]]+18,"")</f>
        <v>47795</v>
      </c>
      <c r="H413">
        <f>WEEKDAY(Dates_Ref[[#This Row],[Start]],2)</f>
        <v>1</v>
      </c>
      <c r="I413">
        <f>WEEKNUM(Dates_Ref[[#This Row],[Start]],21)</f>
        <v>43</v>
      </c>
    </row>
    <row r="414" spans="2:9" x14ac:dyDescent="0.25">
      <c r="B414">
        <f>MONTH(Dates_Ref[[#This Row],[Start]])</f>
        <v>10</v>
      </c>
      <c r="C414" s="5">
        <f t="shared" si="7"/>
        <v>47784</v>
      </c>
      <c r="D414" s="2">
        <v>44</v>
      </c>
      <c r="E414">
        <v>22</v>
      </c>
      <c r="G414" s="5" t="str">
        <f>IF(Dates_Ref[[#This Row],[Pay QCH]]&lt;&gt;E413,Dates_Ref[[#This Row],[Start]]+18,"")</f>
        <v/>
      </c>
      <c r="H414">
        <f>WEEKDAY(Dates_Ref[[#This Row],[Start]],2)</f>
        <v>1</v>
      </c>
      <c r="I414">
        <f>WEEKNUM(Dates_Ref[[#This Row],[Start]],21)</f>
        <v>44</v>
      </c>
    </row>
    <row r="415" spans="2:9" x14ac:dyDescent="0.25">
      <c r="B415">
        <f>MONTH(Dates_Ref[[#This Row],[Start]])</f>
        <v>11</v>
      </c>
      <c r="C415" s="5">
        <f t="shared" si="7"/>
        <v>47791</v>
      </c>
      <c r="D415" s="2">
        <v>45</v>
      </c>
      <c r="E415">
        <v>23</v>
      </c>
      <c r="F415" s="1">
        <v>47809</v>
      </c>
      <c r="G415" s="5">
        <f>IF(Dates_Ref[[#This Row],[Pay QCH]]&lt;&gt;E414,Dates_Ref[[#This Row],[Start]]+18,"")</f>
        <v>47809</v>
      </c>
      <c r="H415">
        <f>WEEKDAY(Dates_Ref[[#This Row],[Start]],2)</f>
        <v>1</v>
      </c>
      <c r="I415">
        <f>WEEKNUM(Dates_Ref[[#This Row],[Start]],21)</f>
        <v>45</v>
      </c>
    </row>
    <row r="416" spans="2:9" x14ac:dyDescent="0.25">
      <c r="B416">
        <f>MONTH(Dates_Ref[[#This Row],[Start]])</f>
        <v>11</v>
      </c>
      <c r="C416" s="5">
        <f t="shared" si="7"/>
        <v>47798</v>
      </c>
      <c r="D416" s="2">
        <v>46</v>
      </c>
      <c r="E416">
        <v>23</v>
      </c>
      <c r="G416" s="5" t="str">
        <f>IF(Dates_Ref[[#This Row],[Pay QCH]]&lt;&gt;E415,Dates_Ref[[#This Row],[Start]]+18,"")</f>
        <v/>
      </c>
      <c r="H416">
        <f>WEEKDAY(Dates_Ref[[#This Row],[Start]],2)</f>
        <v>1</v>
      </c>
      <c r="I416">
        <f>WEEKNUM(Dates_Ref[[#This Row],[Start]],21)</f>
        <v>46</v>
      </c>
    </row>
    <row r="417" spans="2:9" x14ac:dyDescent="0.25">
      <c r="B417">
        <f>MONTH(Dates_Ref[[#This Row],[Start]])</f>
        <v>11</v>
      </c>
      <c r="C417" s="5">
        <f t="shared" si="7"/>
        <v>47805</v>
      </c>
      <c r="D417" s="2">
        <v>47</v>
      </c>
      <c r="E417">
        <v>24</v>
      </c>
      <c r="F417" s="1">
        <v>47823</v>
      </c>
      <c r="G417" s="5">
        <f>IF(Dates_Ref[[#This Row],[Pay QCH]]&lt;&gt;E416,Dates_Ref[[#This Row],[Start]]+18,"")</f>
        <v>47823</v>
      </c>
      <c r="H417">
        <f>WEEKDAY(Dates_Ref[[#This Row],[Start]],2)</f>
        <v>1</v>
      </c>
      <c r="I417">
        <f>WEEKNUM(Dates_Ref[[#This Row],[Start]],21)</f>
        <v>47</v>
      </c>
    </row>
    <row r="418" spans="2:9" x14ac:dyDescent="0.25">
      <c r="B418">
        <f>MONTH(Dates_Ref[[#This Row],[Start]])</f>
        <v>11</v>
      </c>
      <c r="C418" s="5">
        <f t="shared" si="7"/>
        <v>47812</v>
      </c>
      <c r="D418" s="2">
        <v>48</v>
      </c>
      <c r="E418">
        <v>24</v>
      </c>
      <c r="G418" s="5" t="str">
        <f>IF(Dates_Ref[[#This Row],[Pay QCH]]&lt;&gt;E417,Dates_Ref[[#This Row],[Start]]+18,"")</f>
        <v/>
      </c>
      <c r="H418">
        <f>WEEKDAY(Dates_Ref[[#This Row],[Start]],2)</f>
        <v>1</v>
      </c>
      <c r="I418">
        <f>WEEKNUM(Dates_Ref[[#This Row],[Start]],21)</f>
        <v>48</v>
      </c>
    </row>
    <row r="419" spans="2:9" x14ac:dyDescent="0.25">
      <c r="B419">
        <f>MONTH(Dates_Ref[[#This Row],[Start]])</f>
        <v>12</v>
      </c>
      <c r="C419" s="5">
        <f t="shared" si="7"/>
        <v>47819</v>
      </c>
      <c r="D419" s="2">
        <v>49</v>
      </c>
      <c r="E419">
        <v>25</v>
      </c>
      <c r="F419" s="1">
        <v>47837</v>
      </c>
      <c r="G419" s="5">
        <f>IF(Dates_Ref[[#This Row],[Pay QCH]]&lt;&gt;E418,Dates_Ref[[#This Row],[Start]]+18,"")</f>
        <v>47837</v>
      </c>
      <c r="H419">
        <f>WEEKDAY(Dates_Ref[[#This Row],[Start]],2)</f>
        <v>1</v>
      </c>
      <c r="I419">
        <f>WEEKNUM(Dates_Ref[[#This Row],[Start]],21)</f>
        <v>49</v>
      </c>
    </row>
    <row r="420" spans="2:9" x14ac:dyDescent="0.25">
      <c r="B420">
        <f>MONTH(Dates_Ref[[#This Row],[Start]])</f>
        <v>12</v>
      </c>
      <c r="C420" s="5">
        <f t="shared" si="7"/>
        <v>47826</v>
      </c>
      <c r="D420" s="2">
        <v>50</v>
      </c>
      <c r="E420">
        <v>25</v>
      </c>
      <c r="G420" s="5" t="str">
        <f>IF(Dates_Ref[[#This Row],[Pay QCH]]&lt;&gt;E419,Dates_Ref[[#This Row],[Start]]+18,"")</f>
        <v/>
      </c>
      <c r="H420">
        <f>WEEKDAY(Dates_Ref[[#This Row],[Start]],2)</f>
        <v>1</v>
      </c>
      <c r="I420">
        <f>WEEKNUM(Dates_Ref[[#This Row],[Start]],21)</f>
        <v>50</v>
      </c>
    </row>
    <row r="421" spans="2:9" x14ac:dyDescent="0.25">
      <c r="B421">
        <f>MONTH(Dates_Ref[[#This Row],[Start]])</f>
        <v>12</v>
      </c>
      <c r="C421" s="5">
        <f t="shared" si="7"/>
        <v>47833</v>
      </c>
      <c r="D421" s="2">
        <v>51</v>
      </c>
      <c r="E421">
        <v>26</v>
      </c>
      <c r="F421" s="1">
        <v>47851</v>
      </c>
      <c r="G421" s="5">
        <f>IF(Dates_Ref[[#This Row],[Pay QCH]]&lt;&gt;E420,Dates_Ref[[#This Row],[Start]]+18,"")</f>
        <v>47851</v>
      </c>
      <c r="H421">
        <f>WEEKDAY(Dates_Ref[[#This Row],[Start]],2)</f>
        <v>1</v>
      </c>
      <c r="I421">
        <f>WEEKNUM(Dates_Ref[[#This Row],[Start]],21)</f>
        <v>51</v>
      </c>
    </row>
    <row r="422" spans="2:9" x14ac:dyDescent="0.25">
      <c r="B422">
        <f>MONTH(Dates_Ref[[#This Row],[Start]])</f>
        <v>12</v>
      </c>
      <c r="C422" s="5">
        <f t="shared" si="7"/>
        <v>47840</v>
      </c>
      <c r="D422" s="2">
        <v>52</v>
      </c>
      <c r="E422">
        <v>26</v>
      </c>
      <c r="G422" s="5" t="str">
        <f>IF(Dates_Ref[[#This Row],[Pay QCH]]&lt;&gt;E421,Dates_Ref[[#This Row],[Start]]+18,"")</f>
        <v/>
      </c>
      <c r="H422">
        <f>WEEKDAY(Dates_Ref[[#This Row],[Start]],2)</f>
        <v>1</v>
      </c>
      <c r="I422">
        <f>WEEKNUM(Dates_Ref[[#This Row],[Start]],21)</f>
        <v>52</v>
      </c>
    </row>
    <row r="423" spans="2:9" x14ac:dyDescent="0.25">
      <c r="B423">
        <f>MONTH(Dates_Ref[[#This Row],[Start]])</f>
        <v>12</v>
      </c>
      <c r="C423" s="5">
        <f t="shared" si="7"/>
        <v>47847</v>
      </c>
      <c r="D423" s="2">
        <v>1</v>
      </c>
      <c r="E423">
        <v>1</v>
      </c>
      <c r="F423" s="1">
        <v>47865</v>
      </c>
      <c r="G423" s="5">
        <f>IF(Dates_Ref[[#This Row],[Pay QCH]]&lt;&gt;E422,Dates_Ref[[#This Row],[Start]]+18,"")</f>
        <v>47865</v>
      </c>
      <c r="H423">
        <f>WEEKDAY(Dates_Ref[[#This Row],[Start]],2)</f>
        <v>1</v>
      </c>
      <c r="I423">
        <f>WEEKNUM(Dates_Ref[[#This Row],[Start]],21)</f>
        <v>1</v>
      </c>
    </row>
    <row r="424" spans="2:9" x14ac:dyDescent="0.25">
      <c r="B424">
        <f>MONTH(Dates_Ref[[#This Row],[Start]])</f>
        <v>1</v>
      </c>
      <c r="C424" s="5">
        <f t="shared" si="7"/>
        <v>47854</v>
      </c>
      <c r="D424" s="2">
        <v>2</v>
      </c>
      <c r="E424">
        <v>1</v>
      </c>
      <c r="G424" s="5" t="str">
        <f>IF(Dates_Ref[[#This Row],[Pay QCH]]&lt;&gt;E423,Dates_Ref[[#This Row],[Start]]+18,"")</f>
        <v/>
      </c>
      <c r="H424">
        <f>WEEKDAY(Dates_Ref[[#This Row],[Start]],2)</f>
        <v>1</v>
      </c>
      <c r="I424">
        <f>WEEKNUM(Dates_Ref[[#This Row],[Start]],21)</f>
        <v>2</v>
      </c>
    </row>
    <row r="425" spans="2:9" x14ac:dyDescent="0.25">
      <c r="B425">
        <f>MONTH(Dates_Ref[[#This Row],[Start]])</f>
        <v>1</v>
      </c>
      <c r="C425" s="5">
        <f t="shared" si="7"/>
        <v>47861</v>
      </c>
      <c r="D425" s="2">
        <v>3</v>
      </c>
      <c r="E425">
        <v>2</v>
      </c>
      <c r="F425" s="1">
        <v>47879</v>
      </c>
      <c r="G425" s="5">
        <f>IF(Dates_Ref[[#This Row],[Pay QCH]]&lt;&gt;E424,Dates_Ref[[#This Row],[Start]]+18,"")</f>
        <v>47879</v>
      </c>
      <c r="H425">
        <f>WEEKDAY(Dates_Ref[[#This Row],[Start]],2)</f>
        <v>1</v>
      </c>
      <c r="I425">
        <f>WEEKNUM(Dates_Ref[[#This Row],[Start]],21)</f>
        <v>3</v>
      </c>
    </row>
    <row r="426" spans="2:9" x14ac:dyDescent="0.25">
      <c r="B426">
        <f>MONTH(Dates_Ref[[#This Row],[Start]])</f>
        <v>1</v>
      </c>
      <c r="C426" s="5">
        <f t="shared" si="7"/>
        <v>47868</v>
      </c>
      <c r="D426" s="2">
        <v>4</v>
      </c>
      <c r="E426">
        <v>2</v>
      </c>
      <c r="G426" s="5" t="str">
        <f>IF(Dates_Ref[[#This Row],[Pay QCH]]&lt;&gt;E425,Dates_Ref[[#This Row],[Start]]+18,"")</f>
        <v/>
      </c>
      <c r="H426">
        <f>WEEKDAY(Dates_Ref[[#This Row],[Start]],2)</f>
        <v>1</v>
      </c>
      <c r="I426">
        <f>WEEKNUM(Dates_Ref[[#This Row],[Start]],21)</f>
        <v>4</v>
      </c>
    </row>
    <row r="427" spans="2:9" x14ac:dyDescent="0.25">
      <c r="B427">
        <f>MONTH(Dates_Ref[[#This Row],[Start]])</f>
        <v>1</v>
      </c>
      <c r="C427" s="5">
        <f t="shared" si="7"/>
        <v>47875</v>
      </c>
      <c r="D427" s="2">
        <v>5</v>
      </c>
      <c r="E427">
        <v>3</v>
      </c>
      <c r="F427" s="1">
        <v>47893</v>
      </c>
      <c r="G427" s="5">
        <f>IF(Dates_Ref[[#This Row],[Pay QCH]]&lt;&gt;E426,Dates_Ref[[#This Row],[Start]]+18,"")</f>
        <v>47893</v>
      </c>
      <c r="H427">
        <f>WEEKDAY(Dates_Ref[[#This Row],[Start]],2)</f>
        <v>1</v>
      </c>
      <c r="I427">
        <f>WEEKNUM(Dates_Ref[[#This Row],[Start]],21)</f>
        <v>5</v>
      </c>
    </row>
    <row r="428" spans="2:9" x14ac:dyDescent="0.25">
      <c r="B428">
        <f>MONTH(Dates_Ref[[#This Row],[Start]])</f>
        <v>2</v>
      </c>
      <c r="C428" s="5">
        <f t="shared" si="7"/>
        <v>47882</v>
      </c>
      <c r="D428" s="2">
        <v>6</v>
      </c>
      <c r="E428">
        <v>3</v>
      </c>
      <c r="G428" s="5" t="str">
        <f>IF(Dates_Ref[[#This Row],[Pay QCH]]&lt;&gt;E427,Dates_Ref[[#This Row],[Start]]+18,"")</f>
        <v/>
      </c>
      <c r="H428">
        <f>WEEKDAY(Dates_Ref[[#This Row],[Start]],2)</f>
        <v>1</v>
      </c>
      <c r="I428">
        <f>WEEKNUM(Dates_Ref[[#This Row],[Start]],21)</f>
        <v>6</v>
      </c>
    </row>
    <row r="429" spans="2:9" x14ac:dyDescent="0.25">
      <c r="B429">
        <f>MONTH(Dates_Ref[[#This Row],[Start]])</f>
        <v>2</v>
      </c>
      <c r="C429" s="5">
        <f t="shared" si="7"/>
        <v>47889</v>
      </c>
      <c r="D429" s="2">
        <v>7</v>
      </c>
      <c r="E429">
        <v>4</v>
      </c>
      <c r="F429" s="1">
        <v>47907</v>
      </c>
      <c r="G429" s="5">
        <f>IF(Dates_Ref[[#This Row],[Pay QCH]]&lt;&gt;E428,Dates_Ref[[#This Row],[Start]]+18,"")</f>
        <v>47907</v>
      </c>
      <c r="H429">
        <f>WEEKDAY(Dates_Ref[[#This Row],[Start]],2)</f>
        <v>1</v>
      </c>
      <c r="I429">
        <f>WEEKNUM(Dates_Ref[[#This Row],[Start]],21)</f>
        <v>7</v>
      </c>
    </row>
    <row r="430" spans="2:9" x14ac:dyDescent="0.25">
      <c r="B430">
        <f>MONTH(Dates_Ref[[#This Row],[Start]])</f>
        <v>2</v>
      </c>
      <c r="C430" s="5">
        <f t="shared" si="7"/>
        <v>47896</v>
      </c>
      <c r="D430" s="2">
        <v>8</v>
      </c>
      <c r="E430">
        <v>4</v>
      </c>
      <c r="G430" s="5" t="str">
        <f>IF(Dates_Ref[[#This Row],[Pay QCH]]&lt;&gt;E429,Dates_Ref[[#This Row],[Start]]+18,"")</f>
        <v/>
      </c>
      <c r="H430">
        <f>WEEKDAY(Dates_Ref[[#This Row],[Start]],2)</f>
        <v>1</v>
      </c>
      <c r="I430">
        <f>WEEKNUM(Dates_Ref[[#This Row],[Start]],21)</f>
        <v>8</v>
      </c>
    </row>
    <row r="431" spans="2:9" x14ac:dyDescent="0.25">
      <c r="B431">
        <f>MONTH(Dates_Ref[[#This Row],[Start]])</f>
        <v>2</v>
      </c>
      <c r="C431" s="5">
        <f t="shared" si="7"/>
        <v>47903</v>
      </c>
      <c r="D431" s="2">
        <v>9</v>
      </c>
      <c r="E431">
        <v>5</v>
      </c>
      <c r="F431" s="1">
        <v>47921</v>
      </c>
      <c r="G431" s="5">
        <f>IF(Dates_Ref[[#This Row],[Pay QCH]]&lt;&gt;E430,Dates_Ref[[#This Row],[Start]]+18,"")</f>
        <v>47921</v>
      </c>
      <c r="H431">
        <f>WEEKDAY(Dates_Ref[[#This Row],[Start]],2)</f>
        <v>1</v>
      </c>
      <c r="I431">
        <f>WEEKNUM(Dates_Ref[[#This Row],[Start]],21)</f>
        <v>9</v>
      </c>
    </row>
    <row r="432" spans="2:9" x14ac:dyDescent="0.25">
      <c r="B432">
        <f>MONTH(Dates_Ref[[#This Row],[Start]])</f>
        <v>3</v>
      </c>
      <c r="C432" s="5">
        <f t="shared" si="7"/>
        <v>47910</v>
      </c>
      <c r="D432" s="2">
        <v>10</v>
      </c>
      <c r="E432">
        <v>5</v>
      </c>
      <c r="G432" s="5" t="str">
        <f>IF(Dates_Ref[[#This Row],[Pay QCH]]&lt;&gt;E431,Dates_Ref[[#This Row],[Start]]+18,"")</f>
        <v/>
      </c>
      <c r="H432">
        <f>WEEKDAY(Dates_Ref[[#This Row],[Start]],2)</f>
        <v>1</v>
      </c>
      <c r="I432">
        <f>WEEKNUM(Dates_Ref[[#This Row],[Start]],21)</f>
        <v>10</v>
      </c>
    </row>
    <row r="433" spans="2:9" x14ac:dyDescent="0.25">
      <c r="B433">
        <f>MONTH(Dates_Ref[[#This Row],[Start]])</f>
        <v>3</v>
      </c>
      <c r="C433" s="5">
        <f t="shared" si="7"/>
        <v>47917</v>
      </c>
      <c r="D433" s="2">
        <v>11</v>
      </c>
      <c r="E433">
        <v>6</v>
      </c>
      <c r="F433" s="1">
        <v>47935</v>
      </c>
      <c r="G433" s="5">
        <f>IF(Dates_Ref[[#This Row],[Pay QCH]]&lt;&gt;E432,Dates_Ref[[#This Row],[Start]]+18,"")</f>
        <v>47935</v>
      </c>
      <c r="H433">
        <f>WEEKDAY(Dates_Ref[[#This Row],[Start]],2)</f>
        <v>1</v>
      </c>
      <c r="I433">
        <f>WEEKNUM(Dates_Ref[[#This Row],[Start]],21)</f>
        <v>11</v>
      </c>
    </row>
    <row r="434" spans="2:9" x14ac:dyDescent="0.25">
      <c r="B434">
        <f>MONTH(Dates_Ref[[#This Row],[Start]])</f>
        <v>3</v>
      </c>
      <c r="C434" s="5">
        <f t="shared" si="7"/>
        <v>47924</v>
      </c>
      <c r="D434" s="2">
        <v>12</v>
      </c>
      <c r="E434">
        <v>6</v>
      </c>
      <c r="G434" s="5" t="str">
        <f>IF(Dates_Ref[[#This Row],[Pay QCH]]&lt;&gt;E433,Dates_Ref[[#This Row],[Start]]+18,"")</f>
        <v/>
      </c>
      <c r="H434">
        <f>WEEKDAY(Dates_Ref[[#This Row],[Start]],2)</f>
        <v>1</v>
      </c>
      <c r="I434">
        <f>WEEKNUM(Dates_Ref[[#This Row],[Start]],21)</f>
        <v>12</v>
      </c>
    </row>
    <row r="435" spans="2:9" x14ac:dyDescent="0.25">
      <c r="B435">
        <f>MONTH(Dates_Ref[[#This Row],[Start]])</f>
        <v>3</v>
      </c>
      <c r="C435" s="5">
        <f t="shared" si="7"/>
        <v>47931</v>
      </c>
      <c r="D435" s="2">
        <v>13</v>
      </c>
      <c r="E435">
        <v>7</v>
      </c>
      <c r="F435" s="1">
        <v>47949</v>
      </c>
      <c r="G435" s="5">
        <f>IF(Dates_Ref[[#This Row],[Pay QCH]]&lt;&gt;E434,Dates_Ref[[#This Row],[Start]]+18,"")</f>
        <v>47949</v>
      </c>
      <c r="H435">
        <f>WEEKDAY(Dates_Ref[[#This Row],[Start]],2)</f>
        <v>1</v>
      </c>
      <c r="I435">
        <f>WEEKNUM(Dates_Ref[[#This Row],[Start]],21)</f>
        <v>13</v>
      </c>
    </row>
    <row r="436" spans="2:9" x14ac:dyDescent="0.25">
      <c r="B436">
        <f>MONTH(Dates_Ref[[#This Row],[Start]])</f>
        <v>3</v>
      </c>
      <c r="C436" s="5">
        <f t="shared" si="7"/>
        <v>47938</v>
      </c>
      <c r="D436" s="2">
        <v>14</v>
      </c>
      <c r="E436">
        <v>7</v>
      </c>
      <c r="G436" s="5" t="str">
        <f>IF(Dates_Ref[[#This Row],[Pay QCH]]&lt;&gt;E435,Dates_Ref[[#This Row],[Start]]+18,"")</f>
        <v/>
      </c>
      <c r="H436">
        <f>WEEKDAY(Dates_Ref[[#This Row],[Start]],2)</f>
        <v>1</v>
      </c>
      <c r="I436">
        <f>WEEKNUM(Dates_Ref[[#This Row],[Start]],21)</f>
        <v>14</v>
      </c>
    </row>
    <row r="437" spans="2:9" x14ac:dyDescent="0.25">
      <c r="B437">
        <f>MONTH(Dates_Ref[[#This Row],[Start]])</f>
        <v>4</v>
      </c>
      <c r="C437" s="5">
        <f t="shared" si="7"/>
        <v>47945</v>
      </c>
      <c r="D437" s="2">
        <v>15</v>
      </c>
      <c r="E437">
        <v>8</v>
      </c>
      <c r="F437" s="1">
        <v>47963</v>
      </c>
      <c r="G437" s="5">
        <f>IF(Dates_Ref[[#This Row],[Pay QCH]]&lt;&gt;E436,Dates_Ref[[#This Row],[Start]]+18,"")</f>
        <v>47963</v>
      </c>
      <c r="H437">
        <f>WEEKDAY(Dates_Ref[[#This Row],[Start]],2)</f>
        <v>1</v>
      </c>
      <c r="I437">
        <f>WEEKNUM(Dates_Ref[[#This Row],[Start]],21)</f>
        <v>15</v>
      </c>
    </row>
    <row r="438" spans="2:9" x14ac:dyDescent="0.25">
      <c r="B438">
        <f>MONTH(Dates_Ref[[#This Row],[Start]])</f>
        <v>4</v>
      </c>
      <c r="C438" s="5">
        <f t="shared" si="7"/>
        <v>47952</v>
      </c>
      <c r="D438" s="2">
        <v>16</v>
      </c>
      <c r="E438">
        <v>8</v>
      </c>
      <c r="G438" s="5" t="str">
        <f>IF(Dates_Ref[[#This Row],[Pay QCH]]&lt;&gt;E437,Dates_Ref[[#This Row],[Start]]+18,"")</f>
        <v/>
      </c>
      <c r="H438">
        <f>WEEKDAY(Dates_Ref[[#This Row],[Start]],2)</f>
        <v>1</v>
      </c>
      <c r="I438">
        <f>WEEKNUM(Dates_Ref[[#This Row],[Start]],21)</f>
        <v>16</v>
      </c>
    </row>
    <row r="439" spans="2:9" x14ac:dyDescent="0.25">
      <c r="B439">
        <f>MONTH(Dates_Ref[[#This Row],[Start]])</f>
        <v>4</v>
      </c>
      <c r="C439" s="5">
        <f t="shared" si="7"/>
        <v>47959</v>
      </c>
      <c r="D439" s="2">
        <v>17</v>
      </c>
      <c r="E439">
        <v>9</v>
      </c>
      <c r="F439" s="1">
        <v>47977</v>
      </c>
      <c r="G439" s="5">
        <f>IF(Dates_Ref[[#This Row],[Pay QCH]]&lt;&gt;E438,Dates_Ref[[#This Row],[Start]]+18,"")</f>
        <v>47977</v>
      </c>
      <c r="H439">
        <f>WEEKDAY(Dates_Ref[[#This Row],[Start]],2)</f>
        <v>1</v>
      </c>
      <c r="I439">
        <f>WEEKNUM(Dates_Ref[[#This Row],[Start]],21)</f>
        <v>17</v>
      </c>
    </row>
    <row r="440" spans="2:9" x14ac:dyDescent="0.25">
      <c r="B440">
        <f>MONTH(Dates_Ref[[#This Row],[Start]])</f>
        <v>4</v>
      </c>
      <c r="C440" s="5">
        <f t="shared" si="7"/>
        <v>47966</v>
      </c>
      <c r="D440" s="2">
        <v>18</v>
      </c>
      <c r="E440">
        <v>9</v>
      </c>
      <c r="G440" s="5" t="str">
        <f>IF(Dates_Ref[[#This Row],[Pay QCH]]&lt;&gt;E439,Dates_Ref[[#This Row],[Start]]+18,"")</f>
        <v/>
      </c>
      <c r="H440">
        <f>WEEKDAY(Dates_Ref[[#This Row],[Start]],2)</f>
        <v>1</v>
      </c>
      <c r="I440">
        <f>WEEKNUM(Dates_Ref[[#This Row],[Start]],21)</f>
        <v>18</v>
      </c>
    </row>
    <row r="441" spans="2:9" x14ac:dyDescent="0.25">
      <c r="B441">
        <f>MONTH(Dates_Ref[[#This Row],[Start]])</f>
        <v>5</v>
      </c>
      <c r="C441" s="5">
        <f t="shared" si="7"/>
        <v>47973</v>
      </c>
      <c r="D441" s="2">
        <v>19</v>
      </c>
      <c r="E441">
        <v>10</v>
      </c>
      <c r="F441" s="1">
        <v>47991</v>
      </c>
      <c r="G441" s="5">
        <f>IF(Dates_Ref[[#This Row],[Pay QCH]]&lt;&gt;E440,Dates_Ref[[#This Row],[Start]]+18,"")</f>
        <v>47991</v>
      </c>
      <c r="H441">
        <f>WEEKDAY(Dates_Ref[[#This Row],[Start]],2)</f>
        <v>1</v>
      </c>
      <c r="I441">
        <f>WEEKNUM(Dates_Ref[[#This Row],[Start]],21)</f>
        <v>19</v>
      </c>
    </row>
    <row r="442" spans="2:9" x14ac:dyDescent="0.25">
      <c r="B442">
        <f>MONTH(Dates_Ref[[#This Row],[Start]])</f>
        <v>5</v>
      </c>
      <c r="C442" s="5">
        <f t="shared" si="7"/>
        <v>47980</v>
      </c>
      <c r="D442" s="2">
        <v>20</v>
      </c>
      <c r="E442">
        <v>10</v>
      </c>
      <c r="G442" s="5" t="str">
        <f>IF(Dates_Ref[[#This Row],[Pay QCH]]&lt;&gt;E441,Dates_Ref[[#This Row],[Start]]+18,"")</f>
        <v/>
      </c>
      <c r="H442">
        <f>WEEKDAY(Dates_Ref[[#This Row],[Start]],2)</f>
        <v>1</v>
      </c>
      <c r="I442">
        <f>WEEKNUM(Dates_Ref[[#This Row],[Start]],21)</f>
        <v>20</v>
      </c>
    </row>
    <row r="443" spans="2:9" x14ac:dyDescent="0.25">
      <c r="B443">
        <f>MONTH(Dates_Ref[[#This Row],[Start]])</f>
        <v>5</v>
      </c>
      <c r="C443" s="5">
        <f t="shared" si="7"/>
        <v>47987</v>
      </c>
      <c r="D443" s="2">
        <v>21</v>
      </c>
      <c r="E443">
        <v>11</v>
      </c>
      <c r="F443" s="1">
        <v>48005</v>
      </c>
      <c r="G443" s="5">
        <f>IF(Dates_Ref[[#This Row],[Pay QCH]]&lt;&gt;E442,Dates_Ref[[#This Row],[Start]]+18,"")</f>
        <v>48005</v>
      </c>
      <c r="H443">
        <f>WEEKDAY(Dates_Ref[[#This Row],[Start]],2)</f>
        <v>1</v>
      </c>
      <c r="I443">
        <f>WEEKNUM(Dates_Ref[[#This Row],[Start]],21)</f>
        <v>21</v>
      </c>
    </row>
    <row r="444" spans="2:9" x14ac:dyDescent="0.25">
      <c r="B444">
        <f>MONTH(Dates_Ref[[#This Row],[Start]])</f>
        <v>5</v>
      </c>
      <c r="C444" s="5">
        <f t="shared" si="7"/>
        <v>47994</v>
      </c>
      <c r="D444" s="2">
        <v>22</v>
      </c>
      <c r="E444">
        <v>11</v>
      </c>
      <c r="G444" s="5" t="str">
        <f>IF(Dates_Ref[[#This Row],[Pay QCH]]&lt;&gt;E443,Dates_Ref[[#This Row],[Start]]+18,"")</f>
        <v/>
      </c>
      <c r="H444">
        <f>WEEKDAY(Dates_Ref[[#This Row],[Start]],2)</f>
        <v>1</v>
      </c>
      <c r="I444">
        <f>WEEKNUM(Dates_Ref[[#This Row],[Start]],21)</f>
        <v>22</v>
      </c>
    </row>
    <row r="445" spans="2:9" x14ac:dyDescent="0.25">
      <c r="B445">
        <f>MONTH(Dates_Ref[[#This Row],[Start]])</f>
        <v>6</v>
      </c>
      <c r="C445" s="5">
        <f t="shared" si="7"/>
        <v>48001</v>
      </c>
      <c r="D445" s="2">
        <v>23</v>
      </c>
      <c r="E445">
        <v>12</v>
      </c>
      <c r="F445" s="1">
        <v>48019</v>
      </c>
      <c r="G445" s="5">
        <f>IF(Dates_Ref[[#This Row],[Pay QCH]]&lt;&gt;E444,Dates_Ref[[#This Row],[Start]]+18,"")</f>
        <v>48019</v>
      </c>
      <c r="H445">
        <f>WEEKDAY(Dates_Ref[[#This Row],[Start]],2)</f>
        <v>1</v>
      </c>
      <c r="I445">
        <f>WEEKNUM(Dates_Ref[[#This Row],[Start]],21)</f>
        <v>23</v>
      </c>
    </row>
    <row r="446" spans="2:9" x14ac:dyDescent="0.25">
      <c r="B446">
        <f>MONTH(Dates_Ref[[#This Row],[Start]])</f>
        <v>6</v>
      </c>
      <c r="C446" s="5">
        <f t="shared" si="7"/>
        <v>48008</v>
      </c>
      <c r="D446" s="2">
        <v>24</v>
      </c>
      <c r="E446">
        <v>12</v>
      </c>
      <c r="G446" s="5" t="str">
        <f>IF(Dates_Ref[[#This Row],[Pay QCH]]&lt;&gt;E445,Dates_Ref[[#This Row],[Start]]+18,"")</f>
        <v/>
      </c>
      <c r="H446">
        <f>WEEKDAY(Dates_Ref[[#This Row],[Start]],2)</f>
        <v>1</v>
      </c>
      <c r="I446">
        <f>WEEKNUM(Dates_Ref[[#This Row],[Start]],21)</f>
        <v>24</v>
      </c>
    </row>
    <row r="447" spans="2:9" x14ac:dyDescent="0.25">
      <c r="B447">
        <f>MONTH(Dates_Ref[[#This Row],[Start]])</f>
        <v>6</v>
      </c>
      <c r="C447" s="5">
        <f t="shared" si="7"/>
        <v>48015</v>
      </c>
      <c r="D447" s="2">
        <v>25</v>
      </c>
      <c r="E447">
        <v>13</v>
      </c>
      <c r="F447" s="1">
        <v>48033</v>
      </c>
      <c r="G447" s="5">
        <f>IF(Dates_Ref[[#This Row],[Pay QCH]]&lt;&gt;E446,Dates_Ref[[#This Row],[Start]]+18,"")</f>
        <v>48033</v>
      </c>
      <c r="H447">
        <f>WEEKDAY(Dates_Ref[[#This Row],[Start]],2)</f>
        <v>1</v>
      </c>
      <c r="I447">
        <f>WEEKNUM(Dates_Ref[[#This Row],[Start]],21)</f>
        <v>25</v>
      </c>
    </row>
    <row r="448" spans="2:9" x14ac:dyDescent="0.25">
      <c r="B448">
        <f>MONTH(Dates_Ref[[#This Row],[Start]])</f>
        <v>6</v>
      </c>
      <c r="C448" s="5">
        <f t="shared" si="7"/>
        <v>48022</v>
      </c>
      <c r="D448" s="2">
        <v>26</v>
      </c>
      <c r="E448">
        <v>13</v>
      </c>
      <c r="G448" s="5" t="str">
        <f>IF(Dates_Ref[[#This Row],[Pay QCH]]&lt;&gt;E447,Dates_Ref[[#This Row],[Start]]+18,"")</f>
        <v/>
      </c>
      <c r="H448">
        <f>WEEKDAY(Dates_Ref[[#This Row],[Start]],2)</f>
        <v>1</v>
      </c>
      <c r="I448">
        <f>WEEKNUM(Dates_Ref[[#This Row],[Start]],21)</f>
        <v>26</v>
      </c>
    </row>
    <row r="449" spans="2:9" x14ac:dyDescent="0.25">
      <c r="B449">
        <f>MONTH(Dates_Ref[[#This Row],[Start]])</f>
        <v>6</v>
      </c>
      <c r="C449" s="5">
        <f t="shared" si="7"/>
        <v>48029</v>
      </c>
      <c r="D449" s="2">
        <v>27</v>
      </c>
      <c r="E449">
        <v>14</v>
      </c>
      <c r="F449" s="1">
        <v>48047</v>
      </c>
      <c r="G449" s="5">
        <f>IF(Dates_Ref[[#This Row],[Pay QCH]]&lt;&gt;E448,Dates_Ref[[#This Row],[Start]]+18,"")</f>
        <v>48047</v>
      </c>
      <c r="H449">
        <f>WEEKDAY(Dates_Ref[[#This Row],[Start]],2)</f>
        <v>1</v>
      </c>
      <c r="I449">
        <f>WEEKNUM(Dates_Ref[[#This Row],[Start]],21)</f>
        <v>27</v>
      </c>
    </row>
    <row r="450" spans="2:9" x14ac:dyDescent="0.25">
      <c r="B450">
        <f>MONTH(Dates_Ref[[#This Row],[Start]])</f>
        <v>7</v>
      </c>
      <c r="C450" s="5">
        <f t="shared" si="7"/>
        <v>48036</v>
      </c>
      <c r="D450" s="2">
        <v>28</v>
      </c>
      <c r="E450">
        <v>14</v>
      </c>
      <c r="G450" s="5" t="str">
        <f>IF(Dates_Ref[[#This Row],[Pay QCH]]&lt;&gt;E449,Dates_Ref[[#This Row],[Start]]+18,"")</f>
        <v/>
      </c>
      <c r="H450">
        <f>WEEKDAY(Dates_Ref[[#This Row],[Start]],2)</f>
        <v>1</v>
      </c>
      <c r="I450">
        <f>WEEKNUM(Dates_Ref[[#This Row],[Start]],21)</f>
        <v>28</v>
      </c>
    </row>
    <row r="451" spans="2:9" x14ac:dyDescent="0.25">
      <c r="B451">
        <f>MONTH(Dates_Ref[[#This Row],[Start]])</f>
        <v>7</v>
      </c>
      <c r="C451" s="5">
        <f t="shared" si="7"/>
        <v>48043</v>
      </c>
      <c r="D451" s="2">
        <v>29</v>
      </c>
      <c r="E451">
        <v>15</v>
      </c>
      <c r="F451" s="1">
        <v>48061</v>
      </c>
      <c r="G451" s="5">
        <f>IF(Dates_Ref[[#This Row],[Pay QCH]]&lt;&gt;E450,Dates_Ref[[#This Row],[Start]]+18,"")</f>
        <v>48061</v>
      </c>
      <c r="H451">
        <f>WEEKDAY(Dates_Ref[[#This Row],[Start]],2)</f>
        <v>1</v>
      </c>
      <c r="I451">
        <f>WEEKNUM(Dates_Ref[[#This Row],[Start]],21)</f>
        <v>29</v>
      </c>
    </row>
    <row r="452" spans="2:9" x14ac:dyDescent="0.25">
      <c r="B452">
        <f>MONTH(Dates_Ref[[#This Row],[Start]])</f>
        <v>7</v>
      </c>
      <c r="C452" s="5">
        <f t="shared" si="7"/>
        <v>48050</v>
      </c>
      <c r="D452" s="2">
        <v>30</v>
      </c>
      <c r="E452">
        <v>15</v>
      </c>
      <c r="G452" s="5" t="str">
        <f>IF(Dates_Ref[[#This Row],[Pay QCH]]&lt;&gt;E451,Dates_Ref[[#This Row],[Start]]+18,"")</f>
        <v/>
      </c>
      <c r="H452">
        <f>WEEKDAY(Dates_Ref[[#This Row],[Start]],2)</f>
        <v>1</v>
      </c>
      <c r="I452">
        <f>WEEKNUM(Dates_Ref[[#This Row],[Start]],21)</f>
        <v>30</v>
      </c>
    </row>
    <row r="453" spans="2:9" x14ac:dyDescent="0.25">
      <c r="B453">
        <f>MONTH(Dates_Ref[[#This Row],[Start]])</f>
        <v>7</v>
      </c>
      <c r="C453" s="5">
        <f t="shared" si="7"/>
        <v>48057</v>
      </c>
      <c r="D453" s="2">
        <v>31</v>
      </c>
      <c r="E453">
        <v>16</v>
      </c>
      <c r="F453" s="1">
        <v>48075</v>
      </c>
      <c r="G453" s="5">
        <f>IF(Dates_Ref[[#This Row],[Pay QCH]]&lt;&gt;E452,Dates_Ref[[#This Row],[Start]]+18,"")</f>
        <v>48075</v>
      </c>
      <c r="H453">
        <f>WEEKDAY(Dates_Ref[[#This Row],[Start]],2)</f>
        <v>1</v>
      </c>
      <c r="I453">
        <f>WEEKNUM(Dates_Ref[[#This Row],[Start]],21)</f>
        <v>31</v>
      </c>
    </row>
    <row r="454" spans="2:9" x14ac:dyDescent="0.25">
      <c r="B454">
        <f>MONTH(Dates_Ref[[#This Row],[Start]])</f>
        <v>8</v>
      </c>
      <c r="C454" s="5">
        <f t="shared" si="7"/>
        <v>48064</v>
      </c>
      <c r="D454" s="2">
        <v>32</v>
      </c>
      <c r="E454">
        <v>16</v>
      </c>
      <c r="G454" s="5" t="str">
        <f>IF(Dates_Ref[[#This Row],[Pay QCH]]&lt;&gt;E453,Dates_Ref[[#This Row],[Start]]+18,"")</f>
        <v/>
      </c>
      <c r="H454">
        <f>WEEKDAY(Dates_Ref[[#This Row],[Start]],2)</f>
        <v>1</v>
      </c>
      <c r="I454">
        <f>WEEKNUM(Dates_Ref[[#This Row],[Start]],21)</f>
        <v>32</v>
      </c>
    </row>
    <row r="455" spans="2:9" x14ac:dyDescent="0.25">
      <c r="B455">
        <f>MONTH(Dates_Ref[[#This Row],[Start]])</f>
        <v>8</v>
      </c>
      <c r="C455" s="5">
        <f t="shared" ref="C455:C518" si="8">C454+7</f>
        <v>48071</v>
      </c>
      <c r="D455" s="2">
        <v>33</v>
      </c>
      <c r="E455">
        <v>17</v>
      </c>
      <c r="F455" s="1">
        <v>48089</v>
      </c>
      <c r="G455" s="5">
        <f>IF(Dates_Ref[[#This Row],[Pay QCH]]&lt;&gt;E454,Dates_Ref[[#This Row],[Start]]+18,"")</f>
        <v>48089</v>
      </c>
      <c r="H455">
        <f>WEEKDAY(Dates_Ref[[#This Row],[Start]],2)</f>
        <v>1</v>
      </c>
      <c r="I455">
        <f>WEEKNUM(Dates_Ref[[#This Row],[Start]],21)</f>
        <v>33</v>
      </c>
    </row>
    <row r="456" spans="2:9" x14ac:dyDescent="0.25">
      <c r="B456">
        <f>MONTH(Dates_Ref[[#This Row],[Start]])</f>
        <v>8</v>
      </c>
      <c r="C456" s="5">
        <f t="shared" si="8"/>
        <v>48078</v>
      </c>
      <c r="D456" s="2">
        <v>34</v>
      </c>
      <c r="E456">
        <v>17</v>
      </c>
      <c r="G456" s="5" t="str">
        <f>IF(Dates_Ref[[#This Row],[Pay QCH]]&lt;&gt;E455,Dates_Ref[[#This Row],[Start]]+18,"")</f>
        <v/>
      </c>
      <c r="H456">
        <f>WEEKDAY(Dates_Ref[[#This Row],[Start]],2)</f>
        <v>1</v>
      </c>
      <c r="I456">
        <f>WEEKNUM(Dates_Ref[[#This Row],[Start]],21)</f>
        <v>34</v>
      </c>
    </row>
    <row r="457" spans="2:9" x14ac:dyDescent="0.25">
      <c r="B457">
        <f>MONTH(Dates_Ref[[#This Row],[Start]])</f>
        <v>8</v>
      </c>
      <c r="C457" s="5">
        <f t="shared" si="8"/>
        <v>48085</v>
      </c>
      <c r="D457" s="2">
        <v>35</v>
      </c>
      <c r="E457">
        <v>18</v>
      </c>
      <c r="F457" s="1">
        <v>48103</v>
      </c>
      <c r="G457" s="5">
        <f>IF(Dates_Ref[[#This Row],[Pay QCH]]&lt;&gt;E456,Dates_Ref[[#This Row],[Start]]+18,"")</f>
        <v>48103</v>
      </c>
      <c r="H457">
        <f>WEEKDAY(Dates_Ref[[#This Row],[Start]],2)</f>
        <v>1</v>
      </c>
      <c r="I457">
        <f>WEEKNUM(Dates_Ref[[#This Row],[Start]],21)</f>
        <v>35</v>
      </c>
    </row>
    <row r="458" spans="2:9" x14ac:dyDescent="0.25">
      <c r="B458">
        <f>MONTH(Dates_Ref[[#This Row],[Start]])</f>
        <v>9</v>
      </c>
      <c r="C458" s="5">
        <f t="shared" si="8"/>
        <v>48092</v>
      </c>
      <c r="D458" s="2">
        <v>36</v>
      </c>
      <c r="E458">
        <v>18</v>
      </c>
      <c r="G458" s="5" t="str">
        <f>IF(Dates_Ref[[#This Row],[Pay QCH]]&lt;&gt;E457,Dates_Ref[[#This Row],[Start]]+18,"")</f>
        <v/>
      </c>
      <c r="H458">
        <f>WEEKDAY(Dates_Ref[[#This Row],[Start]],2)</f>
        <v>1</v>
      </c>
      <c r="I458">
        <f>WEEKNUM(Dates_Ref[[#This Row],[Start]],21)</f>
        <v>36</v>
      </c>
    </row>
    <row r="459" spans="2:9" x14ac:dyDescent="0.25">
      <c r="B459">
        <f>MONTH(Dates_Ref[[#This Row],[Start]])</f>
        <v>9</v>
      </c>
      <c r="C459" s="5">
        <f t="shared" si="8"/>
        <v>48099</v>
      </c>
      <c r="D459" s="2">
        <v>37</v>
      </c>
      <c r="E459">
        <v>19</v>
      </c>
      <c r="F459" s="1">
        <v>48117</v>
      </c>
      <c r="G459" s="5">
        <f>IF(Dates_Ref[[#This Row],[Pay QCH]]&lt;&gt;E458,Dates_Ref[[#This Row],[Start]]+18,"")</f>
        <v>48117</v>
      </c>
      <c r="H459">
        <f>WEEKDAY(Dates_Ref[[#This Row],[Start]],2)</f>
        <v>1</v>
      </c>
      <c r="I459">
        <f>WEEKNUM(Dates_Ref[[#This Row],[Start]],21)</f>
        <v>37</v>
      </c>
    </row>
    <row r="460" spans="2:9" x14ac:dyDescent="0.25">
      <c r="B460">
        <f>MONTH(Dates_Ref[[#This Row],[Start]])</f>
        <v>9</v>
      </c>
      <c r="C460" s="5">
        <f t="shared" si="8"/>
        <v>48106</v>
      </c>
      <c r="D460" s="2">
        <v>38</v>
      </c>
      <c r="E460">
        <v>19</v>
      </c>
      <c r="G460" s="5" t="str">
        <f>IF(Dates_Ref[[#This Row],[Pay QCH]]&lt;&gt;E459,Dates_Ref[[#This Row],[Start]]+18,"")</f>
        <v/>
      </c>
      <c r="H460">
        <f>WEEKDAY(Dates_Ref[[#This Row],[Start]],2)</f>
        <v>1</v>
      </c>
      <c r="I460">
        <f>WEEKNUM(Dates_Ref[[#This Row],[Start]],21)</f>
        <v>38</v>
      </c>
    </row>
    <row r="461" spans="2:9" x14ac:dyDescent="0.25">
      <c r="B461">
        <f>MONTH(Dates_Ref[[#This Row],[Start]])</f>
        <v>9</v>
      </c>
      <c r="C461" s="5">
        <f t="shared" si="8"/>
        <v>48113</v>
      </c>
      <c r="D461" s="2">
        <v>39</v>
      </c>
      <c r="E461">
        <v>20</v>
      </c>
      <c r="F461" s="1">
        <v>48131</v>
      </c>
      <c r="G461" s="5">
        <f>IF(Dates_Ref[[#This Row],[Pay QCH]]&lt;&gt;E460,Dates_Ref[[#This Row],[Start]]+18,"")</f>
        <v>48131</v>
      </c>
      <c r="H461">
        <f>WEEKDAY(Dates_Ref[[#This Row],[Start]],2)</f>
        <v>1</v>
      </c>
      <c r="I461">
        <f>WEEKNUM(Dates_Ref[[#This Row],[Start]],21)</f>
        <v>39</v>
      </c>
    </row>
    <row r="462" spans="2:9" x14ac:dyDescent="0.25">
      <c r="B462">
        <f>MONTH(Dates_Ref[[#This Row],[Start]])</f>
        <v>9</v>
      </c>
      <c r="C462" s="5">
        <f t="shared" si="8"/>
        <v>48120</v>
      </c>
      <c r="D462" s="2">
        <v>40</v>
      </c>
      <c r="E462">
        <v>20</v>
      </c>
      <c r="G462" s="5" t="str">
        <f>IF(Dates_Ref[[#This Row],[Pay QCH]]&lt;&gt;E461,Dates_Ref[[#This Row],[Start]]+18,"")</f>
        <v/>
      </c>
      <c r="H462">
        <f>WEEKDAY(Dates_Ref[[#This Row],[Start]],2)</f>
        <v>1</v>
      </c>
      <c r="I462">
        <f>WEEKNUM(Dates_Ref[[#This Row],[Start]],21)</f>
        <v>40</v>
      </c>
    </row>
    <row r="463" spans="2:9" x14ac:dyDescent="0.25">
      <c r="B463">
        <f>MONTH(Dates_Ref[[#This Row],[Start]])</f>
        <v>10</v>
      </c>
      <c r="C463" s="5">
        <f t="shared" si="8"/>
        <v>48127</v>
      </c>
      <c r="D463" s="2">
        <v>41</v>
      </c>
      <c r="E463">
        <v>21</v>
      </c>
      <c r="F463" s="1">
        <v>48145</v>
      </c>
      <c r="G463" s="5">
        <f>IF(Dates_Ref[[#This Row],[Pay QCH]]&lt;&gt;E462,Dates_Ref[[#This Row],[Start]]+18,"")</f>
        <v>48145</v>
      </c>
      <c r="H463">
        <f>WEEKDAY(Dates_Ref[[#This Row],[Start]],2)</f>
        <v>1</v>
      </c>
      <c r="I463">
        <f>WEEKNUM(Dates_Ref[[#This Row],[Start]],21)</f>
        <v>41</v>
      </c>
    </row>
    <row r="464" spans="2:9" x14ac:dyDescent="0.25">
      <c r="B464">
        <f>MONTH(Dates_Ref[[#This Row],[Start]])</f>
        <v>10</v>
      </c>
      <c r="C464" s="5">
        <f t="shared" si="8"/>
        <v>48134</v>
      </c>
      <c r="D464" s="2">
        <v>42</v>
      </c>
      <c r="E464">
        <v>21</v>
      </c>
      <c r="G464" s="5" t="str">
        <f>IF(Dates_Ref[[#This Row],[Pay QCH]]&lt;&gt;E463,Dates_Ref[[#This Row],[Start]]+18,"")</f>
        <v/>
      </c>
      <c r="H464">
        <f>WEEKDAY(Dates_Ref[[#This Row],[Start]],2)</f>
        <v>1</v>
      </c>
      <c r="I464">
        <f>WEEKNUM(Dates_Ref[[#This Row],[Start]],21)</f>
        <v>42</v>
      </c>
    </row>
    <row r="465" spans="2:9" x14ac:dyDescent="0.25">
      <c r="B465">
        <f>MONTH(Dates_Ref[[#This Row],[Start]])</f>
        <v>10</v>
      </c>
      <c r="C465" s="5">
        <f t="shared" si="8"/>
        <v>48141</v>
      </c>
      <c r="D465" s="2">
        <v>43</v>
      </c>
      <c r="E465">
        <v>22</v>
      </c>
      <c r="F465" s="1">
        <v>48159</v>
      </c>
      <c r="G465" s="5">
        <f>IF(Dates_Ref[[#This Row],[Pay QCH]]&lt;&gt;E464,Dates_Ref[[#This Row],[Start]]+18,"")</f>
        <v>48159</v>
      </c>
      <c r="H465">
        <f>WEEKDAY(Dates_Ref[[#This Row],[Start]],2)</f>
        <v>1</v>
      </c>
      <c r="I465">
        <f>WEEKNUM(Dates_Ref[[#This Row],[Start]],21)</f>
        <v>43</v>
      </c>
    </row>
    <row r="466" spans="2:9" x14ac:dyDescent="0.25">
      <c r="B466">
        <f>MONTH(Dates_Ref[[#This Row],[Start]])</f>
        <v>10</v>
      </c>
      <c r="C466" s="5">
        <f t="shared" si="8"/>
        <v>48148</v>
      </c>
      <c r="D466" s="2">
        <v>44</v>
      </c>
      <c r="E466">
        <v>22</v>
      </c>
      <c r="G466" s="5" t="str">
        <f>IF(Dates_Ref[[#This Row],[Pay QCH]]&lt;&gt;E465,Dates_Ref[[#This Row],[Start]]+18,"")</f>
        <v/>
      </c>
      <c r="H466">
        <f>WEEKDAY(Dates_Ref[[#This Row],[Start]],2)</f>
        <v>1</v>
      </c>
      <c r="I466">
        <f>WEEKNUM(Dates_Ref[[#This Row],[Start]],21)</f>
        <v>44</v>
      </c>
    </row>
    <row r="467" spans="2:9" x14ac:dyDescent="0.25">
      <c r="B467">
        <f>MONTH(Dates_Ref[[#This Row],[Start]])</f>
        <v>11</v>
      </c>
      <c r="C467" s="5">
        <f t="shared" si="8"/>
        <v>48155</v>
      </c>
      <c r="D467" s="2">
        <v>45</v>
      </c>
      <c r="E467">
        <v>23</v>
      </c>
      <c r="F467" s="1">
        <v>48173</v>
      </c>
      <c r="G467" s="5">
        <f>IF(Dates_Ref[[#This Row],[Pay QCH]]&lt;&gt;E466,Dates_Ref[[#This Row],[Start]]+18,"")</f>
        <v>48173</v>
      </c>
      <c r="H467">
        <f>WEEKDAY(Dates_Ref[[#This Row],[Start]],2)</f>
        <v>1</v>
      </c>
      <c r="I467">
        <f>WEEKNUM(Dates_Ref[[#This Row],[Start]],21)</f>
        <v>45</v>
      </c>
    </row>
    <row r="468" spans="2:9" x14ac:dyDescent="0.25">
      <c r="B468">
        <f>MONTH(Dates_Ref[[#This Row],[Start]])</f>
        <v>11</v>
      </c>
      <c r="C468" s="5">
        <f t="shared" si="8"/>
        <v>48162</v>
      </c>
      <c r="D468" s="2">
        <v>46</v>
      </c>
      <c r="E468">
        <v>23</v>
      </c>
      <c r="G468" s="5" t="str">
        <f>IF(Dates_Ref[[#This Row],[Pay QCH]]&lt;&gt;E467,Dates_Ref[[#This Row],[Start]]+18,"")</f>
        <v/>
      </c>
      <c r="H468">
        <f>WEEKDAY(Dates_Ref[[#This Row],[Start]],2)</f>
        <v>1</v>
      </c>
      <c r="I468">
        <f>WEEKNUM(Dates_Ref[[#This Row],[Start]],21)</f>
        <v>46</v>
      </c>
    </row>
    <row r="469" spans="2:9" x14ac:dyDescent="0.25">
      <c r="B469">
        <f>MONTH(Dates_Ref[[#This Row],[Start]])</f>
        <v>11</v>
      </c>
      <c r="C469" s="5">
        <f t="shared" si="8"/>
        <v>48169</v>
      </c>
      <c r="D469" s="2">
        <v>47</v>
      </c>
      <c r="E469">
        <v>24</v>
      </c>
      <c r="F469" s="1">
        <v>48187</v>
      </c>
      <c r="G469" s="5">
        <f>IF(Dates_Ref[[#This Row],[Pay QCH]]&lt;&gt;E468,Dates_Ref[[#This Row],[Start]]+18,"")</f>
        <v>48187</v>
      </c>
      <c r="H469">
        <f>WEEKDAY(Dates_Ref[[#This Row],[Start]],2)</f>
        <v>1</v>
      </c>
      <c r="I469">
        <f>WEEKNUM(Dates_Ref[[#This Row],[Start]],21)</f>
        <v>47</v>
      </c>
    </row>
    <row r="470" spans="2:9" x14ac:dyDescent="0.25">
      <c r="B470">
        <f>MONTH(Dates_Ref[[#This Row],[Start]])</f>
        <v>11</v>
      </c>
      <c r="C470" s="5">
        <f t="shared" si="8"/>
        <v>48176</v>
      </c>
      <c r="D470" s="2">
        <v>48</v>
      </c>
      <c r="E470">
        <v>24</v>
      </c>
      <c r="G470" s="5" t="str">
        <f>IF(Dates_Ref[[#This Row],[Pay QCH]]&lt;&gt;E469,Dates_Ref[[#This Row],[Start]]+18,"")</f>
        <v/>
      </c>
      <c r="H470">
        <f>WEEKDAY(Dates_Ref[[#This Row],[Start]],2)</f>
        <v>1</v>
      </c>
      <c r="I470">
        <f>WEEKNUM(Dates_Ref[[#This Row],[Start]],21)</f>
        <v>48</v>
      </c>
    </row>
    <row r="471" spans="2:9" x14ac:dyDescent="0.25">
      <c r="B471">
        <f>MONTH(Dates_Ref[[#This Row],[Start]])</f>
        <v>12</v>
      </c>
      <c r="C471" s="5">
        <f t="shared" si="8"/>
        <v>48183</v>
      </c>
      <c r="D471" s="2">
        <v>49</v>
      </c>
      <c r="E471">
        <v>25</v>
      </c>
      <c r="F471" s="1">
        <v>48201</v>
      </c>
      <c r="G471" s="5">
        <f>IF(Dates_Ref[[#This Row],[Pay QCH]]&lt;&gt;E470,Dates_Ref[[#This Row],[Start]]+18,"")</f>
        <v>48201</v>
      </c>
      <c r="H471">
        <f>WEEKDAY(Dates_Ref[[#This Row],[Start]],2)</f>
        <v>1</v>
      </c>
      <c r="I471">
        <f>WEEKNUM(Dates_Ref[[#This Row],[Start]],21)</f>
        <v>49</v>
      </c>
    </row>
    <row r="472" spans="2:9" x14ac:dyDescent="0.25">
      <c r="B472">
        <f>MONTH(Dates_Ref[[#This Row],[Start]])</f>
        <v>12</v>
      </c>
      <c r="C472" s="5">
        <f t="shared" si="8"/>
        <v>48190</v>
      </c>
      <c r="D472" s="2">
        <v>50</v>
      </c>
      <c r="E472">
        <v>25</v>
      </c>
      <c r="G472" s="5" t="str">
        <f>IF(Dates_Ref[[#This Row],[Pay QCH]]&lt;&gt;E471,Dates_Ref[[#This Row],[Start]]+18,"")</f>
        <v/>
      </c>
      <c r="H472">
        <f>WEEKDAY(Dates_Ref[[#This Row],[Start]],2)</f>
        <v>1</v>
      </c>
      <c r="I472">
        <f>WEEKNUM(Dates_Ref[[#This Row],[Start]],21)</f>
        <v>50</v>
      </c>
    </row>
    <row r="473" spans="2:9" x14ac:dyDescent="0.25">
      <c r="B473">
        <f>MONTH(Dates_Ref[[#This Row],[Start]])</f>
        <v>12</v>
      </c>
      <c r="C473" s="5">
        <f t="shared" si="8"/>
        <v>48197</v>
      </c>
      <c r="D473" s="2">
        <v>51</v>
      </c>
      <c r="E473">
        <v>26</v>
      </c>
      <c r="F473" s="1">
        <v>48215</v>
      </c>
      <c r="G473" s="5">
        <f>IF(Dates_Ref[[#This Row],[Pay QCH]]&lt;&gt;E472,Dates_Ref[[#This Row],[Start]]+18,"")</f>
        <v>48215</v>
      </c>
      <c r="H473">
        <f>WEEKDAY(Dates_Ref[[#This Row],[Start]],2)</f>
        <v>1</v>
      </c>
      <c r="I473">
        <f>WEEKNUM(Dates_Ref[[#This Row],[Start]],21)</f>
        <v>51</v>
      </c>
    </row>
    <row r="474" spans="2:9" x14ac:dyDescent="0.25">
      <c r="B474">
        <f>MONTH(Dates_Ref[[#This Row],[Start]])</f>
        <v>12</v>
      </c>
      <c r="C474" s="5">
        <f t="shared" si="8"/>
        <v>48204</v>
      </c>
      <c r="D474" s="2">
        <v>52</v>
      </c>
      <c r="E474">
        <v>26</v>
      </c>
      <c r="G474" s="5" t="str">
        <f>IF(Dates_Ref[[#This Row],[Pay QCH]]&lt;&gt;E473,Dates_Ref[[#This Row],[Start]]+18,"")</f>
        <v/>
      </c>
      <c r="H474">
        <f>WEEKDAY(Dates_Ref[[#This Row],[Start]],2)</f>
        <v>1</v>
      </c>
      <c r="I474">
        <f>WEEKNUM(Dates_Ref[[#This Row],[Start]],21)</f>
        <v>52</v>
      </c>
    </row>
    <row r="475" spans="2:9" x14ac:dyDescent="0.25">
      <c r="B475">
        <f>MONTH(Dates_Ref[[#This Row],[Start]])</f>
        <v>12</v>
      </c>
      <c r="C475" s="5">
        <f t="shared" si="8"/>
        <v>48211</v>
      </c>
      <c r="D475" s="2">
        <v>1</v>
      </c>
      <c r="E475">
        <v>1</v>
      </c>
      <c r="F475" s="1">
        <v>48229</v>
      </c>
      <c r="G475" s="5">
        <f>IF(Dates_Ref[[#This Row],[Pay QCH]]&lt;&gt;E474,Dates_Ref[[#This Row],[Start]]+18,"")</f>
        <v>48229</v>
      </c>
      <c r="H475">
        <f>WEEKDAY(Dates_Ref[[#This Row],[Start]],2)</f>
        <v>1</v>
      </c>
      <c r="I475">
        <f>WEEKNUM(Dates_Ref[[#This Row],[Start]],21)</f>
        <v>1</v>
      </c>
    </row>
    <row r="476" spans="2:9" x14ac:dyDescent="0.25">
      <c r="B476">
        <f>MONTH(Dates_Ref[[#This Row],[Start]])</f>
        <v>1</v>
      </c>
      <c r="C476" s="5">
        <f t="shared" si="8"/>
        <v>48218</v>
      </c>
      <c r="D476" s="2">
        <v>2</v>
      </c>
      <c r="E476">
        <v>1</v>
      </c>
      <c r="G476" s="5" t="str">
        <f>IF(Dates_Ref[[#This Row],[Pay QCH]]&lt;&gt;E475,Dates_Ref[[#This Row],[Start]]+18,"")</f>
        <v/>
      </c>
      <c r="H476">
        <f>WEEKDAY(Dates_Ref[[#This Row],[Start]],2)</f>
        <v>1</v>
      </c>
      <c r="I476">
        <f>WEEKNUM(Dates_Ref[[#This Row],[Start]],21)</f>
        <v>2</v>
      </c>
    </row>
    <row r="477" spans="2:9" x14ac:dyDescent="0.25">
      <c r="B477">
        <f>MONTH(Dates_Ref[[#This Row],[Start]])</f>
        <v>1</v>
      </c>
      <c r="C477" s="5">
        <f t="shared" si="8"/>
        <v>48225</v>
      </c>
      <c r="D477" s="2">
        <v>3</v>
      </c>
      <c r="E477">
        <v>2</v>
      </c>
      <c r="F477" s="1">
        <v>48243</v>
      </c>
      <c r="G477" s="5">
        <f>IF(Dates_Ref[[#This Row],[Pay QCH]]&lt;&gt;E476,Dates_Ref[[#This Row],[Start]]+18,"")</f>
        <v>48243</v>
      </c>
      <c r="H477">
        <f>WEEKDAY(Dates_Ref[[#This Row],[Start]],2)</f>
        <v>1</v>
      </c>
      <c r="I477">
        <f>WEEKNUM(Dates_Ref[[#This Row],[Start]],21)</f>
        <v>3</v>
      </c>
    </row>
    <row r="478" spans="2:9" x14ac:dyDescent="0.25">
      <c r="B478">
        <f>MONTH(Dates_Ref[[#This Row],[Start]])</f>
        <v>1</v>
      </c>
      <c r="C478" s="5">
        <f t="shared" si="8"/>
        <v>48232</v>
      </c>
      <c r="D478" s="2">
        <v>4</v>
      </c>
      <c r="E478">
        <v>2</v>
      </c>
      <c r="G478" s="5" t="str">
        <f>IF(Dates_Ref[[#This Row],[Pay QCH]]&lt;&gt;E477,Dates_Ref[[#This Row],[Start]]+18,"")</f>
        <v/>
      </c>
      <c r="H478">
        <f>WEEKDAY(Dates_Ref[[#This Row],[Start]],2)</f>
        <v>1</v>
      </c>
      <c r="I478">
        <f>WEEKNUM(Dates_Ref[[#This Row],[Start]],21)</f>
        <v>4</v>
      </c>
    </row>
    <row r="479" spans="2:9" x14ac:dyDescent="0.25">
      <c r="B479">
        <f>MONTH(Dates_Ref[[#This Row],[Start]])</f>
        <v>1</v>
      </c>
      <c r="C479" s="5">
        <f t="shared" si="8"/>
        <v>48239</v>
      </c>
      <c r="D479" s="2">
        <v>5</v>
      </c>
      <c r="E479">
        <v>3</v>
      </c>
      <c r="F479" s="1">
        <v>48257</v>
      </c>
      <c r="G479" s="5">
        <f>IF(Dates_Ref[[#This Row],[Pay QCH]]&lt;&gt;E478,Dates_Ref[[#This Row],[Start]]+18,"")</f>
        <v>48257</v>
      </c>
      <c r="H479">
        <f>WEEKDAY(Dates_Ref[[#This Row],[Start]],2)</f>
        <v>1</v>
      </c>
      <c r="I479">
        <f>WEEKNUM(Dates_Ref[[#This Row],[Start]],21)</f>
        <v>5</v>
      </c>
    </row>
    <row r="480" spans="2:9" x14ac:dyDescent="0.25">
      <c r="B480">
        <f>MONTH(Dates_Ref[[#This Row],[Start]])</f>
        <v>2</v>
      </c>
      <c r="C480" s="5">
        <f t="shared" si="8"/>
        <v>48246</v>
      </c>
      <c r="D480" s="2">
        <v>6</v>
      </c>
      <c r="E480">
        <v>3</v>
      </c>
      <c r="G480" s="5" t="str">
        <f>IF(Dates_Ref[[#This Row],[Pay QCH]]&lt;&gt;E479,Dates_Ref[[#This Row],[Start]]+18,"")</f>
        <v/>
      </c>
      <c r="H480">
        <f>WEEKDAY(Dates_Ref[[#This Row],[Start]],2)</f>
        <v>1</v>
      </c>
      <c r="I480">
        <f>WEEKNUM(Dates_Ref[[#This Row],[Start]],21)</f>
        <v>6</v>
      </c>
    </row>
    <row r="481" spans="2:9" x14ac:dyDescent="0.25">
      <c r="B481">
        <f>MONTH(Dates_Ref[[#This Row],[Start]])</f>
        <v>2</v>
      </c>
      <c r="C481" s="5">
        <f t="shared" si="8"/>
        <v>48253</v>
      </c>
      <c r="D481" s="2">
        <v>7</v>
      </c>
      <c r="E481">
        <v>4</v>
      </c>
      <c r="F481" s="1">
        <v>48271</v>
      </c>
      <c r="G481" s="5">
        <f>IF(Dates_Ref[[#This Row],[Pay QCH]]&lt;&gt;E480,Dates_Ref[[#This Row],[Start]]+18,"")</f>
        <v>48271</v>
      </c>
      <c r="H481">
        <f>WEEKDAY(Dates_Ref[[#This Row],[Start]],2)</f>
        <v>1</v>
      </c>
      <c r="I481">
        <f>WEEKNUM(Dates_Ref[[#This Row],[Start]],21)</f>
        <v>7</v>
      </c>
    </row>
    <row r="482" spans="2:9" x14ac:dyDescent="0.25">
      <c r="B482">
        <f>MONTH(Dates_Ref[[#This Row],[Start]])</f>
        <v>2</v>
      </c>
      <c r="C482" s="5">
        <f t="shared" si="8"/>
        <v>48260</v>
      </c>
      <c r="D482" s="2">
        <v>8</v>
      </c>
      <c r="E482">
        <v>4</v>
      </c>
      <c r="G482" s="5" t="str">
        <f>IF(Dates_Ref[[#This Row],[Pay QCH]]&lt;&gt;E481,Dates_Ref[[#This Row],[Start]]+18,"")</f>
        <v/>
      </c>
      <c r="H482">
        <f>WEEKDAY(Dates_Ref[[#This Row],[Start]],2)</f>
        <v>1</v>
      </c>
      <c r="I482">
        <f>WEEKNUM(Dates_Ref[[#This Row],[Start]],21)</f>
        <v>8</v>
      </c>
    </row>
    <row r="483" spans="2:9" x14ac:dyDescent="0.25">
      <c r="B483">
        <f>MONTH(Dates_Ref[[#This Row],[Start]])</f>
        <v>2</v>
      </c>
      <c r="C483" s="5">
        <f t="shared" si="8"/>
        <v>48267</v>
      </c>
      <c r="D483" s="2">
        <v>9</v>
      </c>
      <c r="E483">
        <v>5</v>
      </c>
      <c r="F483" s="1">
        <v>48285</v>
      </c>
      <c r="G483" s="5">
        <f>IF(Dates_Ref[[#This Row],[Pay QCH]]&lt;&gt;E482,Dates_Ref[[#This Row],[Start]]+18,"")</f>
        <v>48285</v>
      </c>
      <c r="H483">
        <f>WEEKDAY(Dates_Ref[[#This Row],[Start]],2)</f>
        <v>1</v>
      </c>
      <c r="I483">
        <f>WEEKNUM(Dates_Ref[[#This Row],[Start]],21)</f>
        <v>9</v>
      </c>
    </row>
    <row r="484" spans="2:9" x14ac:dyDescent="0.25">
      <c r="B484">
        <f>MONTH(Dates_Ref[[#This Row],[Start]])</f>
        <v>3</v>
      </c>
      <c r="C484" s="5">
        <f t="shared" si="8"/>
        <v>48274</v>
      </c>
      <c r="D484" s="2">
        <v>10</v>
      </c>
      <c r="E484">
        <v>5</v>
      </c>
      <c r="G484" s="5" t="str">
        <f>IF(Dates_Ref[[#This Row],[Pay QCH]]&lt;&gt;E483,Dates_Ref[[#This Row],[Start]]+18,"")</f>
        <v/>
      </c>
      <c r="H484">
        <f>WEEKDAY(Dates_Ref[[#This Row],[Start]],2)</f>
        <v>1</v>
      </c>
      <c r="I484">
        <f>WEEKNUM(Dates_Ref[[#This Row],[Start]],21)</f>
        <v>10</v>
      </c>
    </row>
    <row r="485" spans="2:9" x14ac:dyDescent="0.25">
      <c r="B485">
        <f>MONTH(Dates_Ref[[#This Row],[Start]])</f>
        <v>3</v>
      </c>
      <c r="C485" s="5">
        <f t="shared" si="8"/>
        <v>48281</v>
      </c>
      <c r="D485" s="2">
        <v>11</v>
      </c>
      <c r="E485">
        <v>6</v>
      </c>
      <c r="F485" s="1">
        <v>48299</v>
      </c>
      <c r="G485" s="5">
        <f>IF(Dates_Ref[[#This Row],[Pay QCH]]&lt;&gt;E484,Dates_Ref[[#This Row],[Start]]+18,"")</f>
        <v>48299</v>
      </c>
      <c r="H485">
        <f>WEEKDAY(Dates_Ref[[#This Row],[Start]],2)</f>
        <v>1</v>
      </c>
      <c r="I485">
        <f>WEEKNUM(Dates_Ref[[#This Row],[Start]],21)</f>
        <v>11</v>
      </c>
    </row>
    <row r="486" spans="2:9" x14ac:dyDescent="0.25">
      <c r="B486">
        <f>MONTH(Dates_Ref[[#This Row],[Start]])</f>
        <v>3</v>
      </c>
      <c r="C486" s="5">
        <f t="shared" si="8"/>
        <v>48288</v>
      </c>
      <c r="D486" s="2">
        <v>12</v>
      </c>
      <c r="E486">
        <v>6</v>
      </c>
      <c r="G486" s="5" t="str">
        <f>IF(Dates_Ref[[#This Row],[Pay QCH]]&lt;&gt;E485,Dates_Ref[[#This Row],[Start]]+18,"")</f>
        <v/>
      </c>
      <c r="H486">
        <f>WEEKDAY(Dates_Ref[[#This Row],[Start]],2)</f>
        <v>1</v>
      </c>
      <c r="I486">
        <f>WEEKNUM(Dates_Ref[[#This Row],[Start]],21)</f>
        <v>12</v>
      </c>
    </row>
    <row r="487" spans="2:9" x14ac:dyDescent="0.25">
      <c r="B487">
        <f>MONTH(Dates_Ref[[#This Row],[Start]])</f>
        <v>3</v>
      </c>
      <c r="C487" s="5">
        <f t="shared" si="8"/>
        <v>48295</v>
      </c>
      <c r="D487" s="2">
        <v>13</v>
      </c>
      <c r="E487">
        <v>7</v>
      </c>
      <c r="F487" s="1">
        <v>48313</v>
      </c>
      <c r="G487" s="5">
        <f>IF(Dates_Ref[[#This Row],[Pay QCH]]&lt;&gt;E486,Dates_Ref[[#This Row],[Start]]+18,"")</f>
        <v>48313</v>
      </c>
      <c r="H487">
        <f>WEEKDAY(Dates_Ref[[#This Row],[Start]],2)</f>
        <v>1</v>
      </c>
      <c r="I487">
        <f>WEEKNUM(Dates_Ref[[#This Row],[Start]],21)</f>
        <v>13</v>
      </c>
    </row>
    <row r="488" spans="2:9" x14ac:dyDescent="0.25">
      <c r="B488">
        <f>MONTH(Dates_Ref[[#This Row],[Start]])</f>
        <v>3</v>
      </c>
      <c r="C488" s="5">
        <f t="shared" si="8"/>
        <v>48302</v>
      </c>
      <c r="D488" s="2">
        <v>14</v>
      </c>
      <c r="E488">
        <v>7</v>
      </c>
      <c r="G488" s="5" t="str">
        <f>IF(Dates_Ref[[#This Row],[Pay QCH]]&lt;&gt;E487,Dates_Ref[[#This Row],[Start]]+18,"")</f>
        <v/>
      </c>
      <c r="H488">
        <f>WEEKDAY(Dates_Ref[[#This Row],[Start]],2)</f>
        <v>1</v>
      </c>
      <c r="I488">
        <f>WEEKNUM(Dates_Ref[[#This Row],[Start]],21)</f>
        <v>14</v>
      </c>
    </row>
    <row r="489" spans="2:9" x14ac:dyDescent="0.25">
      <c r="B489">
        <f>MONTH(Dates_Ref[[#This Row],[Start]])</f>
        <v>4</v>
      </c>
      <c r="C489" s="5">
        <f t="shared" si="8"/>
        <v>48309</v>
      </c>
      <c r="D489" s="2">
        <v>15</v>
      </c>
      <c r="E489">
        <v>8</v>
      </c>
      <c r="F489" s="1">
        <v>48327</v>
      </c>
      <c r="G489" s="5">
        <f>IF(Dates_Ref[[#This Row],[Pay QCH]]&lt;&gt;E488,Dates_Ref[[#This Row],[Start]]+18,"")</f>
        <v>48327</v>
      </c>
      <c r="H489">
        <f>WEEKDAY(Dates_Ref[[#This Row],[Start]],2)</f>
        <v>1</v>
      </c>
      <c r="I489">
        <f>WEEKNUM(Dates_Ref[[#This Row],[Start]],21)</f>
        <v>15</v>
      </c>
    </row>
    <row r="490" spans="2:9" x14ac:dyDescent="0.25">
      <c r="B490">
        <f>MONTH(Dates_Ref[[#This Row],[Start]])</f>
        <v>4</v>
      </c>
      <c r="C490" s="5">
        <f t="shared" si="8"/>
        <v>48316</v>
      </c>
      <c r="D490" s="2">
        <v>16</v>
      </c>
      <c r="E490">
        <v>8</v>
      </c>
      <c r="G490" s="5" t="str">
        <f>IF(Dates_Ref[[#This Row],[Pay QCH]]&lt;&gt;E489,Dates_Ref[[#This Row],[Start]]+18,"")</f>
        <v/>
      </c>
      <c r="H490">
        <f>WEEKDAY(Dates_Ref[[#This Row],[Start]],2)</f>
        <v>1</v>
      </c>
      <c r="I490">
        <f>WEEKNUM(Dates_Ref[[#This Row],[Start]],21)</f>
        <v>16</v>
      </c>
    </row>
    <row r="491" spans="2:9" x14ac:dyDescent="0.25">
      <c r="B491">
        <f>MONTH(Dates_Ref[[#This Row],[Start]])</f>
        <v>4</v>
      </c>
      <c r="C491" s="5">
        <f t="shared" si="8"/>
        <v>48323</v>
      </c>
      <c r="D491" s="2">
        <v>17</v>
      </c>
      <c r="E491">
        <v>9</v>
      </c>
      <c r="F491" s="1">
        <v>48341</v>
      </c>
      <c r="G491" s="5">
        <f>IF(Dates_Ref[[#This Row],[Pay QCH]]&lt;&gt;E490,Dates_Ref[[#This Row],[Start]]+18,"")</f>
        <v>48341</v>
      </c>
      <c r="H491">
        <f>WEEKDAY(Dates_Ref[[#This Row],[Start]],2)</f>
        <v>1</v>
      </c>
      <c r="I491">
        <f>WEEKNUM(Dates_Ref[[#This Row],[Start]],21)</f>
        <v>17</v>
      </c>
    </row>
    <row r="492" spans="2:9" x14ac:dyDescent="0.25">
      <c r="B492">
        <f>MONTH(Dates_Ref[[#This Row],[Start]])</f>
        <v>4</v>
      </c>
      <c r="C492" s="5">
        <f t="shared" si="8"/>
        <v>48330</v>
      </c>
      <c r="D492" s="2">
        <v>18</v>
      </c>
      <c r="E492">
        <v>9</v>
      </c>
      <c r="G492" s="5" t="str">
        <f>IF(Dates_Ref[[#This Row],[Pay QCH]]&lt;&gt;E491,Dates_Ref[[#This Row],[Start]]+18,"")</f>
        <v/>
      </c>
      <c r="H492">
        <f>WEEKDAY(Dates_Ref[[#This Row],[Start]],2)</f>
        <v>1</v>
      </c>
      <c r="I492">
        <f>WEEKNUM(Dates_Ref[[#This Row],[Start]],21)</f>
        <v>18</v>
      </c>
    </row>
    <row r="493" spans="2:9" x14ac:dyDescent="0.25">
      <c r="B493">
        <f>MONTH(Dates_Ref[[#This Row],[Start]])</f>
        <v>5</v>
      </c>
      <c r="C493" s="5">
        <f t="shared" si="8"/>
        <v>48337</v>
      </c>
      <c r="D493" s="2">
        <v>19</v>
      </c>
      <c r="E493">
        <v>10</v>
      </c>
      <c r="F493" s="1">
        <v>48355</v>
      </c>
      <c r="G493" s="5">
        <f>IF(Dates_Ref[[#This Row],[Pay QCH]]&lt;&gt;E492,Dates_Ref[[#This Row],[Start]]+18,"")</f>
        <v>48355</v>
      </c>
      <c r="H493">
        <f>WEEKDAY(Dates_Ref[[#This Row],[Start]],2)</f>
        <v>1</v>
      </c>
      <c r="I493">
        <f>WEEKNUM(Dates_Ref[[#This Row],[Start]],21)</f>
        <v>19</v>
      </c>
    </row>
    <row r="494" spans="2:9" x14ac:dyDescent="0.25">
      <c r="B494">
        <f>MONTH(Dates_Ref[[#This Row],[Start]])</f>
        <v>5</v>
      </c>
      <c r="C494" s="5">
        <f t="shared" si="8"/>
        <v>48344</v>
      </c>
      <c r="D494" s="2">
        <v>20</v>
      </c>
      <c r="E494">
        <v>10</v>
      </c>
      <c r="G494" s="5" t="str">
        <f>IF(Dates_Ref[[#This Row],[Pay QCH]]&lt;&gt;E493,Dates_Ref[[#This Row],[Start]]+18,"")</f>
        <v/>
      </c>
      <c r="H494">
        <f>WEEKDAY(Dates_Ref[[#This Row],[Start]],2)</f>
        <v>1</v>
      </c>
      <c r="I494">
        <f>WEEKNUM(Dates_Ref[[#This Row],[Start]],21)</f>
        <v>20</v>
      </c>
    </row>
    <row r="495" spans="2:9" x14ac:dyDescent="0.25">
      <c r="B495">
        <f>MONTH(Dates_Ref[[#This Row],[Start]])</f>
        <v>5</v>
      </c>
      <c r="C495" s="5">
        <f t="shared" si="8"/>
        <v>48351</v>
      </c>
      <c r="D495" s="2">
        <v>21</v>
      </c>
      <c r="E495">
        <v>11</v>
      </c>
      <c r="F495" s="1">
        <v>48369</v>
      </c>
      <c r="G495" s="5">
        <f>IF(Dates_Ref[[#This Row],[Pay QCH]]&lt;&gt;E494,Dates_Ref[[#This Row],[Start]]+18,"")</f>
        <v>48369</v>
      </c>
      <c r="H495">
        <f>WEEKDAY(Dates_Ref[[#This Row],[Start]],2)</f>
        <v>1</v>
      </c>
      <c r="I495">
        <f>WEEKNUM(Dates_Ref[[#This Row],[Start]],21)</f>
        <v>21</v>
      </c>
    </row>
    <row r="496" spans="2:9" x14ac:dyDescent="0.25">
      <c r="B496">
        <f>MONTH(Dates_Ref[[#This Row],[Start]])</f>
        <v>5</v>
      </c>
      <c r="C496" s="5">
        <f t="shared" si="8"/>
        <v>48358</v>
      </c>
      <c r="D496" s="2">
        <v>22</v>
      </c>
      <c r="E496">
        <v>11</v>
      </c>
      <c r="G496" s="5" t="str">
        <f>IF(Dates_Ref[[#This Row],[Pay QCH]]&lt;&gt;E495,Dates_Ref[[#This Row],[Start]]+18,"")</f>
        <v/>
      </c>
      <c r="H496">
        <f>WEEKDAY(Dates_Ref[[#This Row],[Start]],2)</f>
        <v>1</v>
      </c>
      <c r="I496">
        <f>WEEKNUM(Dates_Ref[[#This Row],[Start]],21)</f>
        <v>22</v>
      </c>
    </row>
    <row r="497" spans="2:9" x14ac:dyDescent="0.25">
      <c r="B497">
        <f>MONTH(Dates_Ref[[#This Row],[Start]])</f>
        <v>5</v>
      </c>
      <c r="C497" s="5">
        <f t="shared" si="8"/>
        <v>48365</v>
      </c>
      <c r="D497" s="2">
        <v>23</v>
      </c>
      <c r="E497">
        <v>12</v>
      </c>
      <c r="F497" s="1">
        <v>48383</v>
      </c>
      <c r="G497" s="5">
        <f>IF(Dates_Ref[[#This Row],[Pay QCH]]&lt;&gt;E496,Dates_Ref[[#This Row],[Start]]+18,"")</f>
        <v>48383</v>
      </c>
      <c r="H497">
        <f>WEEKDAY(Dates_Ref[[#This Row],[Start]],2)</f>
        <v>1</v>
      </c>
      <c r="I497">
        <f>WEEKNUM(Dates_Ref[[#This Row],[Start]],21)</f>
        <v>23</v>
      </c>
    </row>
    <row r="498" spans="2:9" x14ac:dyDescent="0.25">
      <c r="B498">
        <f>MONTH(Dates_Ref[[#This Row],[Start]])</f>
        <v>6</v>
      </c>
      <c r="C498" s="5">
        <f t="shared" si="8"/>
        <v>48372</v>
      </c>
      <c r="D498" s="2">
        <v>24</v>
      </c>
      <c r="E498">
        <v>12</v>
      </c>
      <c r="G498" s="5" t="str">
        <f>IF(Dates_Ref[[#This Row],[Pay QCH]]&lt;&gt;E497,Dates_Ref[[#This Row],[Start]]+18,"")</f>
        <v/>
      </c>
      <c r="H498">
        <f>WEEKDAY(Dates_Ref[[#This Row],[Start]],2)</f>
        <v>1</v>
      </c>
      <c r="I498">
        <f>WEEKNUM(Dates_Ref[[#This Row],[Start]],21)</f>
        <v>24</v>
      </c>
    </row>
    <row r="499" spans="2:9" x14ac:dyDescent="0.25">
      <c r="B499">
        <f>MONTH(Dates_Ref[[#This Row],[Start]])</f>
        <v>6</v>
      </c>
      <c r="C499" s="5">
        <f t="shared" si="8"/>
        <v>48379</v>
      </c>
      <c r="D499" s="2">
        <v>25</v>
      </c>
      <c r="E499">
        <v>13</v>
      </c>
      <c r="F499" s="1">
        <v>48397</v>
      </c>
      <c r="G499" s="5">
        <f>IF(Dates_Ref[[#This Row],[Pay QCH]]&lt;&gt;E498,Dates_Ref[[#This Row],[Start]]+18,"")</f>
        <v>48397</v>
      </c>
      <c r="H499">
        <f>WEEKDAY(Dates_Ref[[#This Row],[Start]],2)</f>
        <v>1</v>
      </c>
      <c r="I499">
        <f>WEEKNUM(Dates_Ref[[#This Row],[Start]],21)</f>
        <v>25</v>
      </c>
    </row>
    <row r="500" spans="2:9" x14ac:dyDescent="0.25">
      <c r="B500">
        <f>MONTH(Dates_Ref[[#This Row],[Start]])</f>
        <v>6</v>
      </c>
      <c r="C500" s="5">
        <f t="shared" si="8"/>
        <v>48386</v>
      </c>
      <c r="D500" s="2">
        <v>26</v>
      </c>
      <c r="E500">
        <v>13</v>
      </c>
      <c r="G500" s="5" t="str">
        <f>IF(Dates_Ref[[#This Row],[Pay QCH]]&lt;&gt;E499,Dates_Ref[[#This Row],[Start]]+18,"")</f>
        <v/>
      </c>
      <c r="H500">
        <f>WEEKDAY(Dates_Ref[[#This Row],[Start]],2)</f>
        <v>1</v>
      </c>
      <c r="I500">
        <f>WEEKNUM(Dates_Ref[[#This Row],[Start]],21)</f>
        <v>26</v>
      </c>
    </row>
    <row r="501" spans="2:9" x14ac:dyDescent="0.25">
      <c r="B501">
        <f>MONTH(Dates_Ref[[#This Row],[Start]])</f>
        <v>6</v>
      </c>
      <c r="C501" s="5">
        <f t="shared" si="8"/>
        <v>48393</v>
      </c>
      <c r="D501" s="2">
        <v>27</v>
      </c>
      <c r="E501">
        <v>14</v>
      </c>
      <c r="F501" s="1">
        <v>48411</v>
      </c>
      <c r="G501" s="5">
        <f>IF(Dates_Ref[[#This Row],[Pay QCH]]&lt;&gt;E500,Dates_Ref[[#This Row],[Start]]+18,"")</f>
        <v>48411</v>
      </c>
      <c r="H501">
        <f>WEEKDAY(Dates_Ref[[#This Row],[Start]],2)</f>
        <v>1</v>
      </c>
      <c r="I501">
        <f>WEEKNUM(Dates_Ref[[#This Row],[Start]],21)</f>
        <v>27</v>
      </c>
    </row>
    <row r="502" spans="2:9" x14ac:dyDescent="0.25">
      <c r="B502">
        <f>MONTH(Dates_Ref[[#This Row],[Start]])</f>
        <v>7</v>
      </c>
      <c r="C502" s="5">
        <f t="shared" si="8"/>
        <v>48400</v>
      </c>
      <c r="D502" s="2">
        <v>28</v>
      </c>
      <c r="E502">
        <v>14</v>
      </c>
      <c r="G502" s="5" t="str">
        <f>IF(Dates_Ref[[#This Row],[Pay QCH]]&lt;&gt;E501,Dates_Ref[[#This Row],[Start]]+18,"")</f>
        <v/>
      </c>
      <c r="H502">
        <f>WEEKDAY(Dates_Ref[[#This Row],[Start]],2)</f>
        <v>1</v>
      </c>
      <c r="I502">
        <f>WEEKNUM(Dates_Ref[[#This Row],[Start]],21)</f>
        <v>28</v>
      </c>
    </row>
    <row r="503" spans="2:9" x14ac:dyDescent="0.25">
      <c r="B503">
        <f>MONTH(Dates_Ref[[#This Row],[Start]])</f>
        <v>7</v>
      </c>
      <c r="C503" s="5">
        <f t="shared" si="8"/>
        <v>48407</v>
      </c>
      <c r="D503" s="2">
        <v>29</v>
      </c>
      <c r="E503">
        <v>15</v>
      </c>
      <c r="F503" s="1">
        <v>48425</v>
      </c>
      <c r="G503" s="5">
        <f>IF(Dates_Ref[[#This Row],[Pay QCH]]&lt;&gt;E502,Dates_Ref[[#This Row],[Start]]+18,"")</f>
        <v>48425</v>
      </c>
      <c r="H503">
        <f>WEEKDAY(Dates_Ref[[#This Row],[Start]],2)</f>
        <v>1</v>
      </c>
      <c r="I503">
        <f>WEEKNUM(Dates_Ref[[#This Row],[Start]],21)</f>
        <v>29</v>
      </c>
    </row>
    <row r="504" spans="2:9" x14ac:dyDescent="0.25">
      <c r="B504">
        <f>MONTH(Dates_Ref[[#This Row],[Start]])</f>
        <v>7</v>
      </c>
      <c r="C504" s="5">
        <f t="shared" si="8"/>
        <v>48414</v>
      </c>
      <c r="D504" s="2">
        <v>30</v>
      </c>
      <c r="E504">
        <v>15</v>
      </c>
      <c r="G504" s="5" t="str">
        <f>IF(Dates_Ref[[#This Row],[Pay QCH]]&lt;&gt;E503,Dates_Ref[[#This Row],[Start]]+18,"")</f>
        <v/>
      </c>
      <c r="H504">
        <f>WEEKDAY(Dates_Ref[[#This Row],[Start]],2)</f>
        <v>1</v>
      </c>
      <c r="I504">
        <f>WEEKNUM(Dates_Ref[[#This Row],[Start]],21)</f>
        <v>30</v>
      </c>
    </row>
    <row r="505" spans="2:9" x14ac:dyDescent="0.25">
      <c r="B505">
        <f>MONTH(Dates_Ref[[#This Row],[Start]])</f>
        <v>7</v>
      </c>
      <c r="C505" s="5">
        <f t="shared" si="8"/>
        <v>48421</v>
      </c>
      <c r="D505" s="2">
        <v>31</v>
      </c>
      <c r="E505">
        <v>16</v>
      </c>
      <c r="F505" s="1">
        <v>48439</v>
      </c>
      <c r="G505" s="5">
        <f>IF(Dates_Ref[[#This Row],[Pay QCH]]&lt;&gt;E504,Dates_Ref[[#This Row],[Start]]+18,"")</f>
        <v>48439</v>
      </c>
      <c r="H505">
        <f>WEEKDAY(Dates_Ref[[#This Row],[Start]],2)</f>
        <v>1</v>
      </c>
      <c r="I505">
        <f>WEEKNUM(Dates_Ref[[#This Row],[Start]],21)</f>
        <v>31</v>
      </c>
    </row>
    <row r="506" spans="2:9" x14ac:dyDescent="0.25">
      <c r="B506">
        <f>MONTH(Dates_Ref[[#This Row],[Start]])</f>
        <v>8</v>
      </c>
      <c r="C506" s="5">
        <f t="shared" si="8"/>
        <v>48428</v>
      </c>
      <c r="D506" s="2">
        <v>32</v>
      </c>
      <c r="E506">
        <v>16</v>
      </c>
      <c r="G506" s="5" t="str">
        <f>IF(Dates_Ref[[#This Row],[Pay QCH]]&lt;&gt;E505,Dates_Ref[[#This Row],[Start]]+18,"")</f>
        <v/>
      </c>
      <c r="H506">
        <f>WEEKDAY(Dates_Ref[[#This Row],[Start]],2)</f>
        <v>1</v>
      </c>
      <c r="I506">
        <f>WEEKNUM(Dates_Ref[[#This Row],[Start]],21)</f>
        <v>32</v>
      </c>
    </row>
    <row r="507" spans="2:9" x14ac:dyDescent="0.25">
      <c r="B507">
        <f>MONTH(Dates_Ref[[#This Row],[Start]])</f>
        <v>8</v>
      </c>
      <c r="C507" s="5">
        <f t="shared" si="8"/>
        <v>48435</v>
      </c>
      <c r="D507" s="2">
        <v>33</v>
      </c>
      <c r="E507">
        <v>17</v>
      </c>
      <c r="F507" s="1">
        <v>48453</v>
      </c>
      <c r="G507" s="5">
        <f>IF(Dates_Ref[[#This Row],[Pay QCH]]&lt;&gt;E506,Dates_Ref[[#This Row],[Start]]+18,"")</f>
        <v>48453</v>
      </c>
      <c r="H507">
        <f>WEEKDAY(Dates_Ref[[#This Row],[Start]],2)</f>
        <v>1</v>
      </c>
      <c r="I507">
        <f>WEEKNUM(Dates_Ref[[#This Row],[Start]],21)</f>
        <v>33</v>
      </c>
    </row>
    <row r="508" spans="2:9" x14ac:dyDescent="0.25">
      <c r="B508">
        <f>MONTH(Dates_Ref[[#This Row],[Start]])</f>
        <v>8</v>
      </c>
      <c r="C508" s="5">
        <f t="shared" si="8"/>
        <v>48442</v>
      </c>
      <c r="D508" s="2">
        <v>34</v>
      </c>
      <c r="E508">
        <v>17</v>
      </c>
      <c r="G508" s="5" t="str">
        <f>IF(Dates_Ref[[#This Row],[Pay QCH]]&lt;&gt;E507,Dates_Ref[[#This Row],[Start]]+18,"")</f>
        <v/>
      </c>
      <c r="H508">
        <f>WEEKDAY(Dates_Ref[[#This Row],[Start]],2)</f>
        <v>1</v>
      </c>
      <c r="I508">
        <f>WEEKNUM(Dates_Ref[[#This Row],[Start]],21)</f>
        <v>34</v>
      </c>
    </row>
    <row r="509" spans="2:9" x14ac:dyDescent="0.25">
      <c r="B509">
        <f>MONTH(Dates_Ref[[#This Row],[Start]])</f>
        <v>8</v>
      </c>
      <c r="C509" s="5">
        <f t="shared" si="8"/>
        <v>48449</v>
      </c>
      <c r="D509" s="2">
        <v>35</v>
      </c>
      <c r="E509">
        <v>18</v>
      </c>
      <c r="F509" s="1">
        <v>48467</v>
      </c>
      <c r="G509" s="5">
        <f>IF(Dates_Ref[[#This Row],[Pay QCH]]&lt;&gt;E508,Dates_Ref[[#This Row],[Start]]+18,"")</f>
        <v>48467</v>
      </c>
      <c r="H509">
        <f>WEEKDAY(Dates_Ref[[#This Row],[Start]],2)</f>
        <v>1</v>
      </c>
      <c r="I509">
        <f>WEEKNUM(Dates_Ref[[#This Row],[Start]],21)</f>
        <v>35</v>
      </c>
    </row>
    <row r="510" spans="2:9" x14ac:dyDescent="0.25">
      <c r="B510">
        <f>MONTH(Dates_Ref[[#This Row],[Start]])</f>
        <v>8</v>
      </c>
      <c r="C510" s="5">
        <f t="shared" si="8"/>
        <v>48456</v>
      </c>
      <c r="D510" s="2">
        <v>36</v>
      </c>
      <c r="E510">
        <v>18</v>
      </c>
      <c r="G510" s="5" t="str">
        <f>IF(Dates_Ref[[#This Row],[Pay QCH]]&lt;&gt;E509,Dates_Ref[[#This Row],[Start]]+18,"")</f>
        <v/>
      </c>
      <c r="H510">
        <f>WEEKDAY(Dates_Ref[[#This Row],[Start]],2)</f>
        <v>1</v>
      </c>
      <c r="I510">
        <f>WEEKNUM(Dates_Ref[[#This Row],[Start]],21)</f>
        <v>36</v>
      </c>
    </row>
    <row r="511" spans="2:9" x14ac:dyDescent="0.25">
      <c r="B511">
        <f>MONTH(Dates_Ref[[#This Row],[Start]])</f>
        <v>9</v>
      </c>
      <c r="C511" s="5">
        <f t="shared" si="8"/>
        <v>48463</v>
      </c>
      <c r="D511" s="2">
        <v>37</v>
      </c>
      <c r="E511">
        <v>19</v>
      </c>
      <c r="F511" s="1">
        <v>48481</v>
      </c>
      <c r="G511" s="5">
        <f>IF(Dates_Ref[[#This Row],[Pay QCH]]&lt;&gt;E510,Dates_Ref[[#This Row],[Start]]+18,"")</f>
        <v>48481</v>
      </c>
      <c r="H511">
        <f>WEEKDAY(Dates_Ref[[#This Row],[Start]],2)</f>
        <v>1</v>
      </c>
      <c r="I511">
        <f>WEEKNUM(Dates_Ref[[#This Row],[Start]],21)</f>
        <v>37</v>
      </c>
    </row>
    <row r="512" spans="2:9" x14ac:dyDescent="0.25">
      <c r="B512">
        <f>MONTH(Dates_Ref[[#This Row],[Start]])</f>
        <v>9</v>
      </c>
      <c r="C512" s="5">
        <f t="shared" si="8"/>
        <v>48470</v>
      </c>
      <c r="D512" s="2">
        <v>38</v>
      </c>
      <c r="E512">
        <v>19</v>
      </c>
      <c r="G512" s="5" t="str">
        <f>IF(Dates_Ref[[#This Row],[Pay QCH]]&lt;&gt;E511,Dates_Ref[[#This Row],[Start]]+18,"")</f>
        <v/>
      </c>
      <c r="H512">
        <f>WEEKDAY(Dates_Ref[[#This Row],[Start]],2)</f>
        <v>1</v>
      </c>
      <c r="I512">
        <f>WEEKNUM(Dates_Ref[[#This Row],[Start]],21)</f>
        <v>38</v>
      </c>
    </row>
    <row r="513" spans="2:9" x14ac:dyDescent="0.25">
      <c r="B513">
        <f>MONTH(Dates_Ref[[#This Row],[Start]])</f>
        <v>9</v>
      </c>
      <c r="C513" s="5">
        <f t="shared" si="8"/>
        <v>48477</v>
      </c>
      <c r="D513" s="2">
        <v>39</v>
      </c>
      <c r="E513">
        <v>20</v>
      </c>
      <c r="F513" s="1">
        <v>48495</v>
      </c>
      <c r="G513" s="5">
        <f>IF(Dates_Ref[[#This Row],[Pay QCH]]&lt;&gt;E512,Dates_Ref[[#This Row],[Start]]+18,"")</f>
        <v>48495</v>
      </c>
      <c r="H513">
        <f>WEEKDAY(Dates_Ref[[#This Row],[Start]],2)</f>
        <v>1</v>
      </c>
      <c r="I513">
        <f>WEEKNUM(Dates_Ref[[#This Row],[Start]],21)</f>
        <v>39</v>
      </c>
    </row>
    <row r="514" spans="2:9" x14ac:dyDescent="0.25">
      <c r="B514">
        <f>MONTH(Dates_Ref[[#This Row],[Start]])</f>
        <v>9</v>
      </c>
      <c r="C514" s="5">
        <f t="shared" si="8"/>
        <v>48484</v>
      </c>
      <c r="D514" s="2">
        <v>40</v>
      </c>
      <c r="E514">
        <v>20</v>
      </c>
      <c r="G514" s="5" t="str">
        <f>IF(Dates_Ref[[#This Row],[Pay QCH]]&lt;&gt;E513,Dates_Ref[[#This Row],[Start]]+18,"")</f>
        <v/>
      </c>
      <c r="H514">
        <f>WEEKDAY(Dates_Ref[[#This Row],[Start]],2)</f>
        <v>1</v>
      </c>
      <c r="I514">
        <f>WEEKNUM(Dates_Ref[[#This Row],[Start]],21)</f>
        <v>40</v>
      </c>
    </row>
    <row r="515" spans="2:9" x14ac:dyDescent="0.25">
      <c r="B515">
        <f>MONTH(Dates_Ref[[#This Row],[Start]])</f>
        <v>10</v>
      </c>
      <c r="C515" s="5">
        <f t="shared" si="8"/>
        <v>48491</v>
      </c>
      <c r="D515" s="2">
        <v>41</v>
      </c>
      <c r="E515">
        <v>21</v>
      </c>
      <c r="F515" s="1">
        <v>48509</v>
      </c>
      <c r="G515" s="5">
        <f>IF(Dates_Ref[[#This Row],[Pay QCH]]&lt;&gt;E514,Dates_Ref[[#This Row],[Start]]+18,"")</f>
        <v>48509</v>
      </c>
      <c r="H515">
        <f>WEEKDAY(Dates_Ref[[#This Row],[Start]],2)</f>
        <v>1</v>
      </c>
      <c r="I515">
        <f>WEEKNUM(Dates_Ref[[#This Row],[Start]],21)</f>
        <v>41</v>
      </c>
    </row>
    <row r="516" spans="2:9" x14ac:dyDescent="0.25">
      <c r="B516">
        <f>MONTH(Dates_Ref[[#This Row],[Start]])</f>
        <v>10</v>
      </c>
      <c r="C516" s="5">
        <f t="shared" si="8"/>
        <v>48498</v>
      </c>
      <c r="D516" s="2">
        <v>42</v>
      </c>
      <c r="E516">
        <v>21</v>
      </c>
      <c r="G516" s="5" t="str">
        <f>IF(Dates_Ref[[#This Row],[Pay QCH]]&lt;&gt;E515,Dates_Ref[[#This Row],[Start]]+18,"")</f>
        <v/>
      </c>
      <c r="H516">
        <f>WEEKDAY(Dates_Ref[[#This Row],[Start]],2)</f>
        <v>1</v>
      </c>
      <c r="I516">
        <f>WEEKNUM(Dates_Ref[[#This Row],[Start]],21)</f>
        <v>42</v>
      </c>
    </row>
    <row r="517" spans="2:9" x14ac:dyDescent="0.25">
      <c r="B517">
        <f>MONTH(Dates_Ref[[#This Row],[Start]])</f>
        <v>10</v>
      </c>
      <c r="C517" s="5">
        <f t="shared" si="8"/>
        <v>48505</v>
      </c>
      <c r="D517" s="2">
        <v>43</v>
      </c>
      <c r="E517">
        <v>22</v>
      </c>
      <c r="F517" s="1">
        <v>48523</v>
      </c>
      <c r="G517" s="5">
        <f>IF(Dates_Ref[[#This Row],[Pay QCH]]&lt;&gt;E516,Dates_Ref[[#This Row],[Start]]+18,"")</f>
        <v>48523</v>
      </c>
      <c r="H517">
        <f>WEEKDAY(Dates_Ref[[#This Row],[Start]],2)</f>
        <v>1</v>
      </c>
      <c r="I517">
        <f>WEEKNUM(Dates_Ref[[#This Row],[Start]],21)</f>
        <v>43</v>
      </c>
    </row>
    <row r="518" spans="2:9" x14ac:dyDescent="0.25">
      <c r="B518">
        <f>MONTH(Dates_Ref[[#This Row],[Start]])</f>
        <v>10</v>
      </c>
      <c r="C518" s="5">
        <f t="shared" si="8"/>
        <v>48512</v>
      </c>
      <c r="D518" s="2">
        <v>44</v>
      </c>
      <c r="E518">
        <v>22</v>
      </c>
      <c r="G518" s="5" t="str">
        <f>IF(Dates_Ref[[#This Row],[Pay QCH]]&lt;&gt;E517,Dates_Ref[[#This Row],[Start]]+18,"")</f>
        <v/>
      </c>
      <c r="H518">
        <f>WEEKDAY(Dates_Ref[[#This Row],[Start]],2)</f>
        <v>1</v>
      </c>
      <c r="I518">
        <f>WEEKNUM(Dates_Ref[[#This Row],[Start]],21)</f>
        <v>44</v>
      </c>
    </row>
    <row r="519" spans="2:9" x14ac:dyDescent="0.25">
      <c r="B519">
        <f>MONTH(Dates_Ref[[#This Row],[Start]])</f>
        <v>11</v>
      </c>
      <c r="C519" s="5">
        <f t="shared" ref="C519:C582" si="9">C518+7</f>
        <v>48519</v>
      </c>
      <c r="D519" s="2">
        <v>45</v>
      </c>
      <c r="E519">
        <v>23</v>
      </c>
      <c r="F519" s="1">
        <v>48537</v>
      </c>
      <c r="G519" s="5">
        <f>IF(Dates_Ref[[#This Row],[Pay QCH]]&lt;&gt;E518,Dates_Ref[[#This Row],[Start]]+18,"")</f>
        <v>48537</v>
      </c>
      <c r="H519">
        <f>WEEKDAY(Dates_Ref[[#This Row],[Start]],2)</f>
        <v>1</v>
      </c>
      <c r="I519">
        <f>WEEKNUM(Dates_Ref[[#This Row],[Start]],21)</f>
        <v>45</v>
      </c>
    </row>
    <row r="520" spans="2:9" x14ac:dyDescent="0.25">
      <c r="B520">
        <f>MONTH(Dates_Ref[[#This Row],[Start]])</f>
        <v>11</v>
      </c>
      <c r="C520" s="5">
        <f t="shared" si="9"/>
        <v>48526</v>
      </c>
      <c r="D520" s="2">
        <v>46</v>
      </c>
      <c r="E520">
        <v>23</v>
      </c>
      <c r="G520" s="5" t="str">
        <f>IF(Dates_Ref[[#This Row],[Pay QCH]]&lt;&gt;E519,Dates_Ref[[#This Row],[Start]]+18,"")</f>
        <v/>
      </c>
      <c r="H520">
        <f>WEEKDAY(Dates_Ref[[#This Row],[Start]],2)</f>
        <v>1</v>
      </c>
      <c r="I520">
        <f>WEEKNUM(Dates_Ref[[#This Row],[Start]],21)</f>
        <v>46</v>
      </c>
    </row>
    <row r="521" spans="2:9" x14ac:dyDescent="0.25">
      <c r="B521">
        <f>MONTH(Dates_Ref[[#This Row],[Start]])</f>
        <v>11</v>
      </c>
      <c r="C521" s="5">
        <f t="shared" si="9"/>
        <v>48533</v>
      </c>
      <c r="D521" s="2">
        <v>47</v>
      </c>
      <c r="E521">
        <v>24</v>
      </c>
      <c r="F521" s="1">
        <v>48551</v>
      </c>
      <c r="G521" s="5">
        <f>IF(Dates_Ref[[#This Row],[Pay QCH]]&lt;&gt;E520,Dates_Ref[[#This Row],[Start]]+18,"")</f>
        <v>48551</v>
      </c>
      <c r="H521">
        <f>WEEKDAY(Dates_Ref[[#This Row],[Start]],2)</f>
        <v>1</v>
      </c>
      <c r="I521">
        <f>WEEKNUM(Dates_Ref[[#This Row],[Start]],21)</f>
        <v>47</v>
      </c>
    </row>
    <row r="522" spans="2:9" x14ac:dyDescent="0.25">
      <c r="B522">
        <f>MONTH(Dates_Ref[[#This Row],[Start]])</f>
        <v>11</v>
      </c>
      <c r="C522" s="5">
        <f t="shared" si="9"/>
        <v>48540</v>
      </c>
      <c r="D522" s="2">
        <v>48</v>
      </c>
      <c r="E522">
        <v>24</v>
      </c>
      <c r="G522" s="5" t="str">
        <f>IF(Dates_Ref[[#This Row],[Pay QCH]]&lt;&gt;E521,Dates_Ref[[#This Row],[Start]]+18,"")</f>
        <v/>
      </c>
      <c r="H522">
        <f>WEEKDAY(Dates_Ref[[#This Row],[Start]],2)</f>
        <v>1</v>
      </c>
      <c r="I522">
        <f>WEEKNUM(Dates_Ref[[#This Row],[Start]],21)</f>
        <v>48</v>
      </c>
    </row>
    <row r="523" spans="2:9" x14ac:dyDescent="0.25">
      <c r="B523">
        <f>MONTH(Dates_Ref[[#This Row],[Start]])</f>
        <v>11</v>
      </c>
      <c r="C523" s="5">
        <f t="shared" si="9"/>
        <v>48547</v>
      </c>
      <c r="D523" s="2">
        <v>49</v>
      </c>
      <c r="E523">
        <v>25</v>
      </c>
      <c r="F523" s="1">
        <v>48565</v>
      </c>
      <c r="G523" s="5">
        <f>IF(Dates_Ref[[#This Row],[Pay QCH]]&lt;&gt;E522,Dates_Ref[[#This Row],[Start]]+18,"")</f>
        <v>48565</v>
      </c>
      <c r="H523">
        <f>WEEKDAY(Dates_Ref[[#This Row],[Start]],2)</f>
        <v>1</v>
      </c>
      <c r="I523">
        <f>WEEKNUM(Dates_Ref[[#This Row],[Start]],21)</f>
        <v>49</v>
      </c>
    </row>
    <row r="524" spans="2:9" x14ac:dyDescent="0.25">
      <c r="B524">
        <f>MONTH(Dates_Ref[[#This Row],[Start]])</f>
        <v>12</v>
      </c>
      <c r="C524" s="5">
        <f t="shared" si="9"/>
        <v>48554</v>
      </c>
      <c r="D524" s="2">
        <v>50</v>
      </c>
      <c r="E524">
        <v>25</v>
      </c>
      <c r="G524" s="5" t="str">
        <f>IF(Dates_Ref[[#This Row],[Pay QCH]]&lt;&gt;E523,Dates_Ref[[#This Row],[Start]]+18,"")</f>
        <v/>
      </c>
      <c r="H524">
        <f>WEEKDAY(Dates_Ref[[#This Row],[Start]],2)</f>
        <v>1</v>
      </c>
      <c r="I524">
        <f>WEEKNUM(Dates_Ref[[#This Row],[Start]],21)</f>
        <v>50</v>
      </c>
    </row>
    <row r="525" spans="2:9" x14ac:dyDescent="0.25">
      <c r="B525">
        <f>MONTH(Dates_Ref[[#This Row],[Start]])</f>
        <v>12</v>
      </c>
      <c r="C525" s="5">
        <f t="shared" si="9"/>
        <v>48561</v>
      </c>
      <c r="D525" s="2">
        <v>51</v>
      </c>
      <c r="E525">
        <v>26</v>
      </c>
      <c r="F525" s="1">
        <v>48579</v>
      </c>
      <c r="G525" s="5">
        <f>IF(Dates_Ref[[#This Row],[Pay QCH]]&lt;&gt;E524,Dates_Ref[[#This Row],[Start]]+18,"")</f>
        <v>48579</v>
      </c>
      <c r="H525">
        <f>WEEKDAY(Dates_Ref[[#This Row],[Start]],2)</f>
        <v>1</v>
      </c>
      <c r="I525">
        <f>WEEKNUM(Dates_Ref[[#This Row],[Start]],21)</f>
        <v>51</v>
      </c>
    </row>
    <row r="526" spans="2:9" x14ac:dyDescent="0.25">
      <c r="B526">
        <f>MONTH(Dates_Ref[[#This Row],[Start]])</f>
        <v>12</v>
      </c>
      <c r="C526" s="5">
        <f t="shared" si="9"/>
        <v>48568</v>
      </c>
      <c r="D526" s="2">
        <v>52</v>
      </c>
      <c r="E526">
        <v>26</v>
      </c>
      <c r="G526" s="5" t="str">
        <f>IF(Dates_Ref[[#This Row],[Pay QCH]]&lt;&gt;E525,Dates_Ref[[#This Row],[Start]]+18,"")</f>
        <v/>
      </c>
      <c r="H526">
        <f>WEEKDAY(Dates_Ref[[#This Row],[Start]],2)</f>
        <v>1</v>
      </c>
      <c r="I526">
        <f>WEEKNUM(Dates_Ref[[#This Row],[Start]],21)</f>
        <v>52</v>
      </c>
    </row>
    <row r="527" spans="2:9" x14ac:dyDescent="0.25">
      <c r="B527">
        <f>MONTH(Dates_Ref[[#This Row],[Start]])</f>
        <v>12</v>
      </c>
      <c r="C527" s="5">
        <f t="shared" si="9"/>
        <v>48575</v>
      </c>
      <c r="D527" s="2">
        <v>53</v>
      </c>
      <c r="E527">
        <v>27</v>
      </c>
      <c r="F527" s="1">
        <v>48593</v>
      </c>
      <c r="G527" s="5">
        <f>IF(Dates_Ref[[#This Row],[Pay QCH]]&lt;&gt;E526,Dates_Ref[[#This Row],[Start]]+18,"")</f>
        <v>48593</v>
      </c>
      <c r="H527">
        <f>WEEKDAY(Dates_Ref[[#This Row],[Start]],2)</f>
        <v>1</v>
      </c>
      <c r="I527">
        <f>WEEKNUM(Dates_Ref[[#This Row],[Start]],21)</f>
        <v>53</v>
      </c>
    </row>
    <row r="528" spans="2:9" x14ac:dyDescent="0.25">
      <c r="B528">
        <f>MONTH(Dates_Ref[[#This Row],[Start]])</f>
        <v>1</v>
      </c>
      <c r="C528" s="5">
        <f t="shared" si="9"/>
        <v>48582</v>
      </c>
      <c r="D528" s="2">
        <v>1</v>
      </c>
      <c r="E528">
        <v>27</v>
      </c>
      <c r="G528" s="5" t="str">
        <f>IF(Dates_Ref[[#This Row],[Pay QCH]]&lt;&gt;E527,Dates_Ref[[#This Row],[Start]]+18,"")</f>
        <v/>
      </c>
      <c r="H528">
        <f>WEEKDAY(Dates_Ref[[#This Row],[Start]],2)</f>
        <v>1</v>
      </c>
      <c r="I528">
        <f>WEEKNUM(Dates_Ref[[#This Row],[Start]],21)</f>
        <v>1</v>
      </c>
    </row>
    <row r="529" spans="2:9" x14ac:dyDescent="0.25">
      <c r="B529">
        <f>MONTH(Dates_Ref[[#This Row],[Start]])</f>
        <v>1</v>
      </c>
      <c r="C529" s="5">
        <f t="shared" si="9"/>
        <v>48589</v>
      </c>
      <c r="D529" s="2">
        <v>2</v>
      </c>
      <c r="E529">
        <v>1</v>
      </c>
      <c r="F529" s="1">
        <v>48607</v>
      </c>
      <c r="G529" s="5">
        <f>IF(Dates_Ref[[#This Row],[Pay QCH]]&lt;&gt;E528,Dates_Ref[[#This Row],[Start]]+18,"")</f>
        <v>48607</v>
      </c>
      <c r="H529">
        <f>WEEKDAY(Dates_Ref[[#This Row],[Start]],2)</f>
        <v>1</v>
      </c>
      <c r="I529">
        <f>WEEKNUM(Dates_Ref[[#This Row],[Start]],21)</f>
        <v>2</v>
      </c>
    </row>
    <row r="530" spans="2:9" x14ac:dyDescent="0.25">
      <c r="B530">
        <f>MONTH(Dates_Ref[[#This Row],[Start]])</f>
        <v>1</v>
      </c>
      <c r="C530" s="5">
        <f t="shared" si="9"/>
        <v>48596</v>
      </c>
      <c r="D530" s="2">
        <v>3</v>
      </c>
      <c r="E530">
        <v>1</v>
      </c>
      <c r="G530" s="5" t="str">
        <f>IF(Dates_Ref[[#This Row],[Pay QCH]]&lt;&gt;E529,Dates_Ref[[#This Row],[Start]]+18,"")</f>
        <v/>
      </c>
      <c r="H530">
        <f>WEEKDAY(Dates_Ref[[#This Row],[Start]],2)</f>
        <v>1</v>
      </c>
      <c r="I530">
        <f>WEEKNUM(Dates_Ref[[#This Row],[Start]],21)</f>
        <v>3</v>
      </c>
    </row>
    <row r="531" spans="2:9" x14ac:dyDescent="0.25">
      <c r="B531">
        <f>MONTH(Dates_Ref[[#This Row],[Start]])</f>
        <v>1</v>
      </c>
      <c r="C531" s="5">
        <f t="shared" si="9"/>
        <v>48603</v>
      </c>
      <c r="D531" s="2">
        <v>4</v>
      </c>
      <c r="E531">
        <v>2</v>
      </c>
      <c r="F531" s="1">
        <v>48621</v>
      </c>
      <c r="G531" s="5">
        <f>IF(Dates_Ref[[#This Row],[Pay QCH]]&lt;&gt;E530,Dates_Ref[[#This Row],[Start]]+18,"")</f>
        <v>48621</v>
      </c>
      <c r="H531">
        <f>WEEKDAY(Dates_Ref[[#This Row],[Start]],2)</f>
        <v>1</v>
      </c>
      <c r="I531">
        <f>WEEKNUM(Dates_Ref[[#This Row],[Start]],21)</f>
        <v>4</v>
      </c>
    </row>
    <row r="532" spans="2:9" x14ac:dyDescent="0.25">
      <c r="B532">
        <f>MONTH(Dates_Ref[[#This Row],[Start]])</f>
        <v>1</v>
      </c>
      <c r="C532" s="5">
        <f t="shared" si="9"/>
        <v>48610</v>
      </c>
      <c r="D532" s="2">
        <v>5</v>
      </c>
      <c r="E532">
        <v>2</v>
      </c>
      <c r="G532" s="5" t="str">
        <f>IF(Dates_Ref[[#This Row],[Pay QCH]]&lt;&gt;E531,Dates_Ref[[#This Row],[Start]]+18,"")</f>
        <v/>
      </c>
      <c r="H532">
        <f>WEEKDAY(Dates_Ref[[#This Row],[Start]],2)</f>
        <v>1</v>
      </c>
      <c r="I532">
        <f>WEEKNUM(Dates_Ref[[#This Row],[Start]],21)</f>
        <v>5</v>
      </c>
    </row>
    <row r="533" spans="2:9" x14ac:dyDescent="0.25">
      <c r="B533">
        <f>MONTH(Dates_Ref[[#This Row],[Start]])</f>
        <v>2</v>
      </c>
      <c r="C533" s="5">
        <f t="shared" si="9"/>
        <v>48617</v>
      </c>
      <c r="D533" s="2">
        <v>6</v>
      </c>
      <c r="E533">
        <v>3</v>
      </c>
      <c r="F533" s="1">
        <v>48635</v>
      </c>
      <c r="G533" s="5">
        <f>IF(Dates_Ref[[#This Row],[Pay QCH]]&lt;&gt;E532,Dates_Ref[[#This Row],[Start]]+18,"")</f>
        <v>48635</v>
      </c>
      <c r="H533">
        <f>WEEKDAY(Dates_Ref[[#This Row],[Start]],2)</f>
        <v>1</v>
      </c>
      <c r="I533">
        <f>WEEKNUM(Dates_Ref[[#This Row],[Start]],21)</f>
        <v>6</v>
      </c>
    </row>
    <row r="534" spans="2:9" x14ac:dyDescent="0.25">
      <c r="B534">
        <f>MONTH(Dates_Ref[[#This Row],[Start]])</f>
        <v>2</v>
      </c>
      <c r="C534" s="5">
        <f t="shared" si="9"/>
        <v>48624</v>
      </c>
      <c r="D534" s="2">
        <v>7</v>
      </c>
      <c r="E534">
        <v>3</v>
      </c>
      <c r="G534" s="5" t="str">
        <f>IF(Dates_Ref[[#This Row],[Pay QCH]]&lt;&gt;E533,Dates_Ref[[#This Row],[Start]]+18,"")</f>
        <v/>
      </c>
      <c r="H534">
        <f>WEEKDAY(Dates_Ref[[#This Row],[Start]],2)</f>
        <v>1</v>
      </c>
      <c r="I534">
        <f>WEEKNUM(Dates_Ref[[#This Row],[Start]],21)</f>
        <v>7</v>
      </c>
    </row>
    <row r="535" spans="2:9" x14ac:dyDescent="0.25">
      <c r="B535">
        <f>MONTH(Dates_Ref[[#This Row],[Start]])</f>
        <v>2</v>
      </c>
      <c r="C535" s="5">
        <f t="shared" si="9"/>
        <v>48631</v>
      </c>
      <c r="D535" s="2">
        <v>8</v>
      </c>
      <c r="E535">
        <v>4</v>
      </c>
      <c r="F535" s="1">
        <v>48649</v>
      </c>
      <c r="G535" s="5">
        <f>IF(Dates_Ref[[#This Row],[Pay QCH]]&lt;&gt;E534,Dates_Ref[[#This Row],[Start]]+18,"")</f>
        <v>48649</v>
      </c>
      <c r="H535">
        <f>WEEKDAY(Dates_Ref[[#This Row],[Start]],2)</f>
        <v>1</v>
      </c>
      <c r="I535">
        <f>WEEKNUM(Dates_Ref[[#This Row],[Start]],21)</f>
        <v>8</v>
      </c>
    </row>
    <row r="536" spans="2:9" x14ac:dyDescent="0.25">
      <c r="B536">
        <f>MONTH(Dates_Ref[[#This Row],[Start]])</f>
        <v>2</v>
      </c>
      <c r="C536" s="5">
        <f t="shared" si="9"/>
        <v>48638</v>
      </c>
      <c r="D536" s="2">
        <v>9</v>
      </c>
      <c r="E536">
        <v>4</v>
      </c>
      <c r="G536" s="5" t="str">
        <f>IF(Dates_Ref[[#This Row],[Pay QCH]]&lt;&gt;E535,Dates_Ref[[#This Row],[Start]]+18,"")</f>
        <v/>
      </c>
      <c r="H536">
        <f>WEEKDAY(Dates_Ref[[#This Row],[Start]],2)</f>
        <v>1</v>
      </c>
      <c r="I536">
        <f>WEEKNUM(Dates_Ref[[#This Row],[Start]],21)</f>
        <v>9</v>
      </c>
    </row>
    <row r="537" spans="2:9" x14ac:dyDescent="0.25">
      <c r="B537">
        <f>MONTH(Dates_Ref[[#This Row],[Start]])</f>
        <v>3</v>
      </c>
      <c r="C537" s="5">
        <f t="shared" si="9"/>
        <v>48645</v>
      </c>
      <c r="D537" s="2">
        <v>10</v>
      </c>
      <c r="E537">
        <v>5</v>
      </c>
      <c r="F537" s="1">
        <v>48663</v>
      </c>
      <c r="G537" s="5">
        <f>IF(Dates_Ref[[#This Row],[Pay QCH]]&lt;&gt;E536,Dates_Ref[[#This Row],[Start]]+18,"")</f>
        <v>48663</v>
      </c>
      <c r="H537">
        <f>WEEKDAY(Dates_Ref[[#This Row],[Start]],2)</f>
        <v>1</v>
      </c>
      <c r="I537">
        <f>WEEKNUM(Dates_Ref[[#This Row],[Start]],21)</f>
        <v>10</v>
      </c>
    </row>
    <row r="538" spans="2:9" x14ac:dyDescent="0.25">
      <c r="B538">
        <f>MONTH(Dates_Ref[[#This Row],[Start]])</f>
        <v>3</v>
      </c>
      <c r="C538" s="5">
        <f t="shared" si="9"/>
        <v>48652</v>
      </c>
      <c r="D538" s="2">
        <v>11</v>
      </c>
      <c r="E538">
        <v>5</v>
      </c>
      <c r="G538" s="5" t="str">
        <f>IF(Dates_Ref[[#This Row],[Pay QCH]]&lt;&gt;E537,Dates_Ref[[#This Row],[Start]]+18,"")</f>
        <v/>
      </c>
      <c r="H538">
        <f>WEEKDAY(Dates_Ref[[#This Row],[Start]],2)</f>
        <v>1</v>
      </c>
      <c r="I538">
        <f>WEEKNUM(Dates_Ref[[#This Row],[Start]],21)</f>
        <v>11</v>
      </c>
    </row>
    <row r="539" spans="2:9" x14ac:dyDescent="0.25">
      <c r="B539">
        <f>MONTH(Dates_Ref[[#This Row],[Start]])</f>
        <v>3</v>
      </c>
      <c r="C539" s="5">
        <f t="shared" si="9"/>
        <v>48659</v>
      </c>
      <c r="D539" s="2">
        <v>12</v>
      </c>
      <c r="E539">
        <v>6</v>
      </c>
      <c r="F539" s="1">
        <v>48677</v>
      </c>
      <c r="G539" s="5">
        <f>IF(Dates_Ref[[#This Row],[Pay QCH]]&lt;&gt;E538,Dates_Ref[[#This Row],[Start]]+18,"")</f>
        <v>48677</v>
      </c>
      <c r="H539">
        <f>WEEKDAY(Dates_Ref[[#This Row],[Start]],2)</f>
        <v>1</v>
      </c>
      <c r="I539">
        <f>WEEKNUM(Dates_Ref[[#This Row],[Start]],21)</f>
        <v>12</v>
      </c>
    </row>
    <row r="540" spans="2:9" x14ac:dyDescent="0.25">
      <c r="B540">
        <f>MONTH(Dates_Ref[[#This Row],[Start]])</f>
        <v>3</v>
      </c>
      <c r="C540" s="5">
        <f t="shared" si="9"/>
        <v>48666</v>
      </c>
      <c r="D540" s="2">
        <v>13</v>
      </c>
      <c r="E540">
        <v>6</v>
      </c>
      <c r="G540" s="5" t="str">
        <f>IF(Dates_Ref[[#This Row],[Pay QCH]]&lt;&gt;E539,Dates_Ref[[#This Row],[Start]]+18,"")</f>
        <v/>
      </c>
      <c r="H540">
        <f>WEEKDAY(Dates_Ref[[#This Row],[Start]],2)</f>
        <v>1</v>
      </c>
      <c r="I540">
        <f>WEEKNUM(Dates_Ref[[#This Row],[Start]],21)</f>
        <v>13</v>
      </c>
    </row>
    <row r="541" spans="2:9" x14ac:dyDescent="0.25">
      <c r="B541">
        <f>MONTH(Dates_Ref[[#This Row],[Start]])</f>
        <v>4</v>
      </c>
      <c r="C541" s="5">
        <f t="shared" si="9"/>
        <v>48673</v>
      </c>
      <c r="D541" s="2">
        <v>14</v>
      </c>
      <c r="E541">
        <v>7</v>
      </c>
      <c r="F541" s="1">
        <v>48691</v>
      </c>
      <c r="G541" s="5">
        <f>IF(Dates_Ref[[#This Row],[Pay QCH]]&lt;&gt;E540,Dates_Ref[[#This Row],[Start]]+18,"")</f>
        <v>48691</v>
      </c>
      <c r="H541">
        <f>WEEKDAY(Dates_Ref[[#This Row],[Start]],2)</f>
        <v>1</v>
      </c>
      <c r="I541">
        <f>WEEKNUM(Dates_Ref[[#This Row],[Start]],21)</f>
        <v>14</v>
      </c>
    </row>
    <row r="542" spans="2:9" x14ac:dyDescent="0.25">
      <c r="B542">
        <f>MONTH(Dates_Ref[[#This Row],[Start]])</f>
        <v>4</v>
      </c>
      <c r="C542" s="5">
        <f t="shared" si="9"/>
        <v>48680</v>
      </c>
      <c r="D542" s="2">
        <v>15</v>
      </c>
      <c r="E542">
        <v>7</v>
      </c>
      <c r="G542" s="5" t="str">
        <f>IF(Dates_Ref[[#This Row],[Pay QCH]]&lt;&gt;E541,Dates_Ref[[#This Row],[Start]]+18,"")</f>
        <v/>
      </c>
      <c r="H542">
        <f>WEEKDAY(Dates_Ref[[#This Row],[Start]],2)</f>
        <v>1</v>
      </c>
      <c r="I542">
        <f>WEEKNUM(Dates_Ref[[#This Row],[Start]],21)</f>
        <v>15</v>
      </c>
    </row>
    <row r="543" spans="2:9" x14ac:dyDescent="0.25">
      <c r="B543">
        <f>MONTH(Dates_Ref[[#This Row],[Start]])</f>
        <v>4</v>
      </c>
      <c r="C543" s="5">
        <f t="shared" si="9"/>
        <v>48687</v>
      </c>
      <c r="D543" s="2">
        <v>16</v>
      </c>
      <c r="E543">
        <v>8</v>
      </c>
      <c r="F543" s="1">
        <v>48705</v>
      </c>
      <c r="G543" s="5">
        <f>IF(Dates_Ref[[#This Row],[Pay QCH]]&lt;&gt;E542,Dates_Ref[[#This Row],[Start]]+18,"")</f>
        <v>48705</v>
      </c>
      <c r="H543">
        <f>WEEKDAY(Dates_Ref[[#This Row],[Start]],2)</f>
        <v>1</v>
      </c>
      <c r="I543">
        <f>WEEKNUM(Dates_Ref[[#This Row],[Start]],21)</f>
        <v>16</v>
      </c>
    </row>
    <row r="544" spans="2:9" x14ac:dyDescent="0.25">
      <c r="B544">
        <f>MONTH(Dates_Ref[[#This Row],[Start]])</f>
        <v>4</v>
      </c>
      <c r="C544" s="5">
        <f t="shared" si="9"/>
        <v>48694</v>
      </c>
      <c r="D544" s="2">
        <v>17</v>
      </c>
      <c r="E544">
        <v>8</v>
      </c>
      <c r="G544" s="5" t="str">
        <f>IF(Dates_Ref[[#This Row],[Pay QCH]]&lt;&gt;E543,Dates_Ref[[#This Row],[Start]]+18,"")</f>
        <v/>
      </c>
      <c r="H544">
        <f>WEEKDAY(Dates_Ref[[#This Row],[Start]],2)</f>
        <v>1</v>
      </c>
      <c r="I544">
        <f>WEEKNUM(Dates_Ref[[#This Row],[Start]],21)</f>
        <v>17</v>
      </c>
    </row>
    <row r="545" spans="2:9" x14ac:dyDescent="0.25">
      <c r="B545">
        <f>MONTH(Dates_Ref[[#This Row],[Start]])</f>
        <v>5</v>
      </c>
      <c r="C545" s="5">
        <f t="shared" si="9"/>
        <v>48701</v>
      </c>
      <c r="D545" s="2">
        <v>18</v>
      </c>
      <c r="E545">
        <v>9</v>
      </c>
      <c r="F545" s="1">
        <v>48719</v>
      </c>
      <c r="G545" s="5">
        <f>IF(Dates_Ref[[#This Row],[Pay QCH]]&lt;&gt;E544,Dates_Ref[[#This Row],[Start]]+18,"")</f>
        <v>48719</v>
      </c>
      <c r="H545">
        <f>WEEKDAY(Dates_Ref[[#This Row],[Start]],2)</f>
        <v>1</v>
      </c>
      <c r="I545">
        <f>WEEKNUM(Dates_Ref[[#This Row],[Start]],21)</f>
        <v>18</v>
      </c>
    </row>
    <row r="546" spans="2:9" x14ac:dyDescent="0.25">
      <c r="B546">
        <f>MONTH(Dates_Ref[[#This Row],[Start]])</f>
        <v>5</v>
      </c>
      <c r="C546" s="5">
        <f t="shared" si="9"/>
        <v>48708</v>
      </c>
      <c r="D546" s="2">
        <v>19</v>
      </c>
      <c r="E546">
        <v>9</v>
      </c>
      <c r="G546" s="5" t="str">
        <f>IF(Dates_Ref[[#This Row],[Pay QCH]]&lt;&gt;E545,Dates_Ref[[#This Row],[Start]]+18,"")</f>
        <v/>
      </c>
      <c r="H546">
        <f>WEEKDAY(Dates_Ref[[#This Row],[Start]],2)</f>
        <v>1</v>
      </c>
      <c r="I546">
        <f>WEEKNUM(Dates_Ref[[#This Row],[Start]],21)</f>
        <v>19</v>
      </c>
    </row>
    <row r="547" spans="2:9" x14ac:dyDescent="0.25">
      <c r="B547">
        <f>MONTH(Dates_Ref[[#This Row],[Start]])</f>
        <v>5</v>
      </c>
      <c r="C547" s="5">
        <f t="shared" si="9"/>
        <v>48715</v>
      </c>
      <c r="D547" s="2">
        <v>20</v>
      </c>
      <c r="E547">
        <v>10</v>
      </c>
      <c r="F547" s="1">
        <v>48733</v>
      </c>
      <c r="G547" s="5">
        <f>IF(Dates_Ref[[#This Row],[Pay QCH]]&lt;&gt;E546,Dates_Ref[[#This Row],[Start]]+18,"")</f>
        <v>48733</v>
      </c>
      <c r="H547">
        <f>WEEKDAY(Dates_Ref[[#This Row],[Start]],2)</f>
        <v>1</v>
      </c>
      <c r="I547">
        <f>WEEKNUM(Dates_Ref[[#This Row],[Start]],21)</f>
        <v>20</v>
      </c>
    </row>
    <row r="548" spans="2:9" x14ac:dyDescent="0.25">
      <c r="B548">
        <f>MONTH(Dates_Ref[[#This Row],[Start]])</f>
        <v>5</v>
      </c>
      <c r="C548" s="5">
        <f t="shared" si="9"/>
        <v>48722</v>
      </c>
      <c r="D548" s="2">
        <v>21</v>
      </c>
      <c r="E548">
        <v>10</v>
      </c>
      <c r="G548" s="5" t="str">
        <f>IF(Dates_Ref[[#This Row],[Pay QCH]]&lt;&gt;E547,Dates_Ref[[#This Row],[Start]]+18,"")</f>
        <v/>
      </c>
      <c r="H548">
        <f>WEEKDAY(Dates_Ref[[#This Row],[Start]],2)</f>
        <v>1</v>
      </c>
      <c r="I548">
        <f>WEEKNUM(Dates_Ref[[#This Row],[Start]],21)</f>
        <v>21</v>
      </c>
    </row>
    <row r="549" spans="2:9" x14ac:dyDescent="0.25">
      <c r="B549">
        <f>MONTH(Dates_Ref[[#This Row],[Start]])</f>
        <v>5</v>
      </c>
      <c r="C549" s="5">
        <f t="shared" si="9"/>
        <v>48729</v>
      </c>
      <c r="D549" s="2">
        <v>22</v>
      </c>
      <c r="E549">
        <v>11</v>
      </c>
      <c r="F549" s="1">
        <v>48747</v>
      </c>
      <c r="G549" s="5">
        <f>IF(Dates_Ref[[#This Row],[Pay QCH]]&lt;&gt;E548,Dates_Ref[[#This Row],[Start]]+18,"")</f>
        <v>48747</v>
      </c>
      <c r="H549">
        <f>WEEKDAY(Dates_Ref[[#This Row],[Start]],2)</f>
        <v>1</v>
      </c>
      <c r="I549">
        <f>WEEKNUM(Dates_Ref[[#This Row],[Start]],21)</f>
        <v>22</v>
      </c>
    </row>
    <row r="550" spans="2:9" x14ac:dyDescent="0.25">
      <c r="B550">
        <f>MONTH(Dates_Ref[[#This Row],[Start]])</f>
        <v>6</v>
      </c>
      <c r="C550" s="5">
        <f t="shared" si="9"/>
        <v>48736</v>
      </c>
      <c r="D550" s="2">
        <v>23</v>
      </c>
      <c r="E550">
        <v>11</v>
      </c>
      <c r="G550" s="5" t="str">
        <f>IF(Dates_Ref[[#This Row],[Pay QCH]]&lt;&gt;E549,Dates_Ref[[#This Row],[Start]]+18,"")</f>
        <v/>
      </c>
      <c r="H550">
        <f>WEEKDAY(Dates_Ref[[#This Row],[Start]],2)</f>
        <v>1</v>
      </c>
      <c r="I550">
        <f>WEEKNUM(Dates_Ref[[#This Row],[Start]],21)</f>
        <v>23</v>
      </c>
    </row>
    <row r="551" spans="2:9" x14ac:dyDescent="0.25">
      <c r="B551">
        <f>MONTH(Dates_Ref[[#This Row],[Start]])</f>
        <v>6</v>
      </c>
      <c r="C551" s="5">
        <f t="shared" si="9"/>
        <v>48743</v>
      </c>
      <c r="D551" s="2">
        <v>24</v>
      </c>
      <c r="E551">
        <v>12</v>
      </c>
      <c r="F551" s="1">
        <v>48761</v>
      </c>
      <c r="G551" s="5">
        <f>IF(Dates_Ref[[#This Row],[Pay QCH]]&lt;&gt;E550,Dates_Ref[[#This Row],[Start]]+18,"")</f>
        <v>48761</v>
      </c>
      <c r="H551">
        <f>WEEKDAY(Dates_Ref[[#This Row],[Start]],2)</f>
        <v>1</v>
      </c>
      <c r="I551">
        <f>WEEKNUM(Dates_Ref[[#This Row],[Start]],21)</f>
        <v>24</v>
      </c>
    </row>
    <row r="552" spans="2:9" x14ac:dyDescent="0.25">
      <c r="B552">
        <f>MONTH(Dates_Ref[[#This Row],[Start]])</f>
        <v>6</v>
      </c>
      <c r="C552" s="5">
        <f t="shared" si="9"/>
        <v>48750</v>
      </c>
      <c r="D552" s="2">
        <v>25</v>
      </c>
      <c r="E552">
        <v>12</v>
      </c>
      <c r="G552" s="5" t="str">
        <f>IF(Dates_Ref[[#This Row],[Pay QCH]]&lt;&gt;E551,Dates_Ref[[#This Row],[Start]]+18,"")</f>
        <v/>
      </c>
      <c r="H552">
        <f>WEEKDAY(Dates_Ref[[#This Row],[Start]],2)</f>
        <v>1</v>
      </c>
      <c r="I552">
        <f>WEEKNUM(Dates_Ref[[#This Row],[Start]],21)</f>
        <v>25</v>
      </c>
    </row>
    <row r="553" spans="2:9" x14ac:dyDescent="0.25">
      <c r="B553">
        <f>MONTH(Dates_Ref[[#This Row],[Start]])</f>
        <v>6</v>
      </c>
      <c r="C553" s="5">
        <f t="shared" si="9"/>
        <v>48757</v>
      </c>
      <c r="D553" s="2">
        <v>26</v>
      </c>
      <c r="E553">
        <v>13</v>
      </c>
      <c r="F553" s="1">
        <v>48775</v>
      </c>
      <c r="G553" s="5">
        <f>IF(Dates_Ref[[#This Row],[Pay QCH]]&lt;&gt;E552,Dates_Ref[[#This Row],[Start]]+18,"")</f>
        <v>48775</v>
      </c>
      <c r="H553">
        <f>WEEKDAY(Dates_Ref[[#This Row],[Start]],2)</f>
        <v>1</v>
      </c>
      <c r="I553">
        <f>WEEKNUM(Dates_Ref[[#This Row],[Start]],21)</f>
        <v>26</v>
      </c>
    </row>
    <row r="554" spans="2:9" x14ac:dyDescent="0.25">
      <c r="B554">
        <f>MONTH(Dates_Ref[[#This Row],[Start]])</f>
        <v>7</v>
      </c>
      <c r="C554" s="5">
        <f t="shared" si="9"/>
        <v>48764</v>
      </c>
      <c r="D554" s="2">
        <v>27</v>
      </c>
      <c r="E554">
        <v>13</v>
      </c>
      <c r="G554" s="5" t="str">
        <f>IF(Dates_Ref[[#This Row],[Pay QCH]]&lt;&gt;E553,Dates_Ref[[#This Row],[Start]]+18,"")</f>
        <v/>
      </c>
      <c r="H554">
        <f>WEEKDAY(Dates_Ref[[#This Row],[Start]],2)</f>
        <v>1</v>
      </c>
      <c r="I554">
        <f>WEEKNUM(Dates_Ref[[#This Row],[Start]],21)</f>
        <v>27</v>
      </c>
    </row>
    <row r="555" spans="2:9" x14ac:dyDescent="0.25">
      <c r="B555">
        <f>MONTH(Dates_Ref[[#This Row],[Start]])</f>
        <v>7</v>
      </c>
      <c r="C555" s="5">
        <f t="shared" si="9"/>
        <v>48771</v>
      </c>
      <c r="D555" s="2">
        <v>28</v>
      </c>
      <c r="E555">
        <v>14</v>
      </c>
      <c r="F555" s="1">
        <v>48789</v>
      </c>
      <c r="G555" s="5">
        <f>IF(Dates_Ref[[#This Row],[Pay QCH]]&lt;&gt;E554,Dates_Ref[[#This Row],[Start]]+18,"")</f>
        <v>48789</v>
      </c>
      <c r="H555">
        <f>WEEKDAY(Dates_Ref[[#This Row],[Start]],2)</f>
        <v>1</v>
      </c>
      <c r="I555">
        <f>WEEKNUM(Dates_Ref[[#This Row],[Start]],21)</f>
        <v>28</v>
      </c>
    </row>
    <row r="556" spans="2:9" x14ac:dyDescent="0.25">
      <c r="B556">
        <f>MONTH(Dates_Ref[[#This Row],[Start]])</f>
        <v>7</v>
      </c>
      <c r="C556" s="5">
        <f t="shared" si="9"/>
        <v>48778</v>
      </c>
      <c r="D556" s="2">
        <v>29</v>
      </c>
      <c r="E556">
        <v>14</v>
      </c>
      <c r="G556" s="5" t="str">
        <f>IF(Dates_Ref[[#This Row],[Pay QCH]]&lt;&gt;E555,Dates_Ref[[#This Row],[Start]]+18,"")</f>
        <v/>
      </c>
      <c r="H556">
        <f>WEEKDAY(Dates_Ref[[#This Row],[Start]],2)</f>
        <v>1</v>
      </c>
      <c r="I556">
        <f>WEEKNUM(Dates_Ref[[#This Row],[Start]],21)</f>
        <v>29</v>
      </c>
    </row>
    <row r="557" spans="2:9" x14ac:dyDescent="0.25">
      <c r="B557">
        <f>MONTH(Dates_Ref[[#This Row],[Start]])</f>
        <v>7</v>
      </c>
      <c r="C557" s="5">
        <f t="shared" si="9"/>
        <v>48785</v>
      </c>
      <c r="D557" s="2">
        <v>30</v>
      </c>
      <c r="E557">
        <v>15</v>
      </c>
      <c r="F557" s="1">
        <v>48803</v>
      </c>
      <c r="G557" s="5">
        <f>IF(Dates_Ref[[#This Row],[Pay QCH]]&lt;&gt;E556,Dates_Ref[[#This Row],[Start]]+18,"")</f>
        <v>48803</v>
      </c>
      <c r="H557">
        <f>WEEKDAY(Dates_Ref[[#This Row],[Start]],2)</f>
        <v>1</v>
      </c>
      <c r="I557">
        <f>WEEKNUM(Dates_Ref[[#This Row],[Start]],21)</f>
        <v>30</v>
      </c>
    </row>
    <row r="558" spans="2:9" x14ac:dyDescent="0.25">
      <c r="B558">
        <f>MONTH(Dates_Ref[[#This Row],[Start]])</f>
        <v>8</v>
      </c>
      <c r="C558" s="5">
        <f t="shared" si="9"/>
        <v>48792</v>
      </c>
      <c r="D558" s="2">
        <v>31</v>
      </c>
      <c r="E558">
        <v>15</v>
      </c>
      <c r="G558" s="5" t="str">
        <f>IF(Dates_Ref[[#This Row],[Pay QCH]]&lt;&gt;E557,Dates_Ref[[#This Row],[Start]]+18,"")</f>
        <v/>
      </c>
      <c r="H558">
        <f>WEEKDAY(Dates_Ref[[#This Row],[Start]],2)</f>
        <v>1</v>
      </c>
      <c r="I558">
        <f>WEEKNUM(Dates_Ref[[#This Row],[Start]],21)</f>
        <v>31</v>
      </c>
    </row>
    <row r="559" spans="2:9" x14ac:dyDescent="0.25">
      <c r="B559">
        <f>MONTH(Dates_Ref[[#This Row],[Start]])</f>
        <v>8</v>
      </c>
      <c r="C559" s="5">
        <f t="shared" si="9"/>
        <v>48799</v>
      </c>
      <c r="D559" s="2">
        <v>32</v>
      </c>
      <c r="E559">
        <v>16</v>
      </c>
      <c r="F559" s="1">
        <v>48817</v>
      </c>
      <c r="G559" s="5">
        <f>IF(Dates_Ref[[#This Row],[Pay QCH]]&lt;&gt;E558,Dates_Ref[[#This Row],[Start]]+18,"")</f>
        <v>48817</v>
      </c>
      <c r="H559">
        <f>WEEKDAY(Dates_Ref[[#This Row],[Start]],2)</f>
        <v>1</v>
      </c>
      <c r="I559">
        <f>WEEKNUM(Dates_Ref[[#This Row],[Start]],21)</f>
        <v>32</v>
      </c>
    </row>
    <row r="560" spans="2:9" x14ac:dyDescent="0.25">
      <c r="B560">
        <f>MONTH(Dates_Ref[[#This Row],[Start]])</f>
        <v>8</v>
      </c>
      <c r="C560" s="5">
        <f t="shared" si="9"/>
        <v>48806</v>
      </c>
      <c r="D560" s="2">
        <v>33</v>
      </c>
      <c r="E560">
        <v>16</v>
      </c>
      <c r="G560" s="5" t="str">
        <f>IF(Dates_Ref[[#This Row],[Pay QCH]]&lt;&gt;E559,Dates_Ref[[#This Row],[Start]]+18,"")</f>
        <v/>
      </c>
      <c r="H560">
        <f>WEEKDAY(Dates_Ref[[#This Row],[Start]],2)</f>
        <v>1</v>
      </c>
      <c r="I560">
        <f>WEEKNUM(Dates_Ref[[#This Row],[Start]],21)</f>
        <v>33</v>
      </c>
    </row>
    <row r="561" spans="2:9" x14ac:dyDescent="0.25">
      <c r="B561">
        <f>MONTH(Dates_Ref[[#This Row],[Start]])</f>
        <v>8</v>
      </c>
      <c r="C561" s="5">
        <f t="shared" si="9"/>
        <v>48813</v>
      </c>
      <c r="D561" s="2">
        <v>34</v>
      </c>
      <c r="E561">
        <v>17</v>
      </c>
      <c r="F561" s="1">
        <v>48831</v>
      </c>
      <c r="G561" s="5">
        <f>IF(Dates_Ref[[#This Row],[Pay QCH]]&lt;&gt;E560,Dates_Ref[[#This Row],[Start]]+18,"")</f>
        <v>48831</v>
      </c>
      <c r="H561">
        <f>WEEKDAY(Dates_Ref[[#This Row],[Start]],2)</f>
        <v>1</v>
      </c>
      <c r="I561">
        <f>WEEKNUM(Dates_Ref[[#This Row],[Start]],21)</f>
        <v>34</v>
      </c>
    </row>
    <row r="562" spans="2:9" x14ac:dyDescent="0.25">
      <c r="B562">
        <f>MONTH(Dates_Ref[[#This Row],[Start]])</f>
        <v>8</v>
      </c>
      <c r="C562" s="5">
        <f t="shared" si="9"/>
        <v>48820</v>
      </c>
      <c r="D562" s="2">
        <v>35</v>
      </c>
      <c r="E562">
        <v>17</v>
      </c>
      <c r="G562" s="5" t="str">
        <f>IF(Dates_Ref[[#This Row],[Pay QCH]]&lt;&gt;E561,Dates_Ref[[#This Row],[Start]]+18,"")</f>
        <v/>
      </c>
      <c r="H562">
        <f>WEEKDAY(Dates_Ref[[#This Row],[Start]],2)</f>
        <v>1</v>
      </c>
      <c r="I562">
        <f>WEEKNUM(Dates_Ref[[#This Row],[Start]],21)</f>
        <v>35</v>
      </c>
    </row>
    <row r="563" spans="2:9" x14ac:dyDescent="0.25">
      <c r="B563">
        <f>MONTH(Dates_Ref[[#This Row],[Start]])</f>
        <v>9</v>
      </c>
      <c r="C563" s="5">
        <f t="shared" si="9"/>
        <v>48827</v>
      </c>
      <c r="D563" s="2">
        <v>36</v>
      </c>
      <c r="E563">
        <v>18</v>
      </c>
      <c r="F563" s="1">
        <v>48845</v>
      </c>
      <c r="G563" s="5">
        <f>IF(Dates_Ref[[#This Row],[Pay QCH]]&lt;&gt;E562,Dates_Ref[[#This Row],[Start]]+18,"")</f>
        <v>48845</v>
      </c>
      <c r="H563">
        <f>WEEKDAY(Dates_Ref[[#This Row],[Start]],2)</f>
        <v>1</v>
      </c>
      <c r="I563">
        <f>WEEKNUM(Dates_Ref[[#This Row],[Start]],21)</f>
        <v>36</v>
      </c>
    </row>
    <row r="564" spans="2:9" x14ac:dyDescent="0.25">
      <c r="B564">
        <f>MONTH(Dates_Ref[[#This Row],[Start]])</f>
        <v>9</v>
      </c>
      <c r="C564" s="5">
        <f t="shared" si="9"/>
        <v>48834</v>
      </c>
      <c r="D564" s="2">
        <v>37</v>
      </c>
      <c r="E564">
        <v>18</v>
      </c>
      <c r="G564" s="5" t="str">
        <f>IF(Dates_Ref[[#This Row],[Pay QCH]]&lt;&gt;E563,Dates_Ref[[#This Row],[Start]]+18,"")</f>
        <v/>
      </c>
      <c r="H564">
        <f>WEEKDAY(Dates_Ref[[#This Row],[Start]],2)</f>
        <v>1</v>
      </c>
      <c r="I564">
        <f>WEEKNUM(Dates_Ref[[#This Row],[Start]],21)</f>
        <v>37</v>
      </c>
    </row>
    <row r="565" spans="2:9" x14ac:dyDescent="0.25">
      <c r="B565">
        <f>MONTH(Dates_Ref[[#This Row],[Start]])</f>
        <v>9</v>
      </c>
      <c r="C565" s="5">
        <f t="shared" si="9"/>
        <v>48841</v>
      </c>
      <c r="D565" s="2">
        <v>38</v>
      </c>
      <c r="E565">
        <v>19</v>
      </c>
      <c r="F565" s="1">
        <v>48859</v>
      </c>
      <c r="G565" s="5">
        <f>IF(Dates_Ref[[#This Row],[Pay QCH]]&lt;&gt;E564,Dates_Ref[[#This Row],[Start]]+18,"")</f>
        <v>48859</v>
      </c>
      <c r="H565">
        <f>WEEKDAY(Dates_Ref[[#This Row],[Start]],2)</f>
        <v>1</v>
      </c>
      <c r="I565">
        <f>WEEKNUM(Dates_Ref[[#This Row],[Start]],21)</f>
        <v>38</v>
      </c>
    </row>
    <row r="566" spans="2:9" x14ac:dyDescent="0.25">
      <c r="B566">
        <f>MONTH(Dates_Ref[[#This Row],[Start]])</f>
        <v>9</v>
      </c>
      <c r="C566" s="5">
        <f t="shared" si="9"/>
        <v>48848</v>
      </c>
      <c r="D566" s="2">
        <v>39</v>
      </c>
      <c r="E566">
        <v>19</v>
      </c>
      <c r="G566" s="5" t="str">
        <f>IF(Dates_Ref[[#This Row],[Pay QCH]]&lt;&gt;E565,Dates_Ref[[#This Row],[Start]]+18,"")</f>
        <v/>
      </c>
      <c r="H566">
        <f>WEEKDAY(Dates_Ref[[#This Row],[Start]],2)</f>
        <v>1</v>
      </c>
      <c r="I566">
        <f>WEEKNUM(Dates_Ref[[#This Row],[Start]],21)</f>
        <v>39</v>
      </c>
    </row>
    <row r="567" spans="2:9" x14ac:dyDescent="0.25">
      <c r="B567">
        <f>MONTH(Dates_Ref[[#This Row],[Start]])</f>
        <v>10</v>
      </c>
      <c r="C567" s="5">
        <f t="shared" si="9"/>
        <v>48855</v>
      </c>
      <c r="D567" s="2">
        <v>40</v>
      </c>
      <c r="E567">
        <v>20</v>
      </c>
      <c r="F567" s="1">
        <v>48873</v>
      </c>
      <c r="G567" s="5">
        <f>IF(Dates_Ref[[#This Row],[Pay QCH]]&lt;&gt;E566,Dates_Ref[[#This Row],[Start]]+18,"")</f>
        <v>48873</v>
      </c>
      <c r="H567">
        <f>WEEKDAY(Dates_Ref[[#This Row],[Start]],2)</f>
        <v>1</v>
      </c>
      <c r="I567">
        <f>WEEKNUM(Dates_Ref[[#This Row],[Start]],21)</f>
        <v>40</v>
      </c>
    </row>
    <row r="568" spans="2:9" x14ac:dyDescent="0.25">
      <c r="B568">
        <f>MONTH(Dates_Ref[[#This Row],[Start]])</f>
        <v>10</v>
      </c>
      <c r="C568" s="5">
        <f t="shared" si="9"/>
        <v>48862</v>
      </c>
      <c r="D568" s="2">
        <v>41</v>
      </c>
      <c r="E568">
        <v>20</v>
      </c>
      <c r="G568" s="5" t="str">
        <f>IF(Dates_Ref[[#This Row],[Pay QCH]]&lt;&gt;E567,Dates_Ref[[#This Row],[Start]]+18,"")</f>
        <v/>
      </c>
      <c r="H568">
        <f>WEEKDAY(Dates_Ref[[#This Row],[Start]],2)</f>
        <v>1</v>
      </c>
      <c r="I568">
        <f>WEEKNUM(Dates_Ref[[#This Row],[Start]],21)</f>
        <v>41</v>
      </c>
    </row>
    <row r="569" spans="2:9" x14ac:dyDescent="0.25">
      <c r="B569">
        <f>MONTH(Dates_Ref[[#This Row],[Start]])</f>
        <v>10</v>
      </c>
      <c r="C569" s="5">
        <f t="shared" si="9"/>
        <v>48869</v>
      </c>
      <c r="D569" s="2">
        <v>42</v>
      </c>
      <c r="E569">
        <v>21</v>
      </c>
      <c r="F569" s="1">
        <v>48887</v>
      </c>
      <c r="G569" s="5">
        <f>IF(Dates_Ref[[#This Row],[Pay QCH]]&lt;&gt;E568,Dates_Ref[[#This Row],[Start]]+18,"")</f>
        <v>48887</v>
      </c>
      <c r="H569">
        <f>WEEKDAY(Dates_Ref[[#This Row],[Start]],2)</f>
        <v>1</v>
      </c>
      <c r="I569">
        <f>WEEKNUM(Dates_Ref[[#This Row],[Start]],21)</f>
        <v>42</v>
      </c>
    </row>
    <row r="570" spans="2:9" x14ac:dyDescent="0.25">
      <c r="B570">
        <f>MONTH(Dates_Ref[[#This Row],[Start]])</f>
        <v>10</v>
      </c>
      <c r="C570" s="5">
        <f t="shared" si="9"/>
        <v>48876</v>
      </c>
      <c r="D570" s="2">
        <v>43</v>
      </c>
      <c r="E570">
        <v>21</v>
      </c>
      <c r="G570" s="5" t="str">
        <f>IF(Dates_Ref[[#This Row],[Pay QCH]]&lt;&gt;E569,Dates_Ref[[#This Row],[Start]]+18,"")</f>
        <v/>
      </c>
      <c r="H570">
        <f>WEEKDAY(Dates_Ref[[#This Row],[Start]],2)</f>
        <v>1</v>
      </c>
      <c r="I570">
        <f>WEEKNUM(Dates_Ref[[#This Row],[Start]],21)</f>
        <v>43</v>
      </c>
    </row>
    <row r="571" spans="2:9" x14ac:dyDescent="0.25">
      <c r="B571">
        <f>MONTH(Dates_Ref[[#This Row],[Start]])</f>
        <v>10</v>
      </c>
      <c r="C571" s="5">
        <f t="shared" si="9"/>
        <v>48883</v>
      </c>
      <c r="D571" s="2">
        <v>44</v>
      </c>
      <c r="E571">
        <v>22</v>
      </c>
      <c r="F571" s="1">
        <v>48901</v>
      </c>
      <c r="G571" s="5">
        <f>IF(Dates_Ref[[#This Row],[Pay QCH]]&lt;&gt;E570,Dates_Ref[[#This Row],[Start]]+18,"")</f>
        <v>48901</v>
      </c>
      <c r="H571">
        <f>WEEKDAY(Dates_Ref[[#This Row],[Start]],2)</f>
        <v>1</v>
      </c>
      <c r="I571">
        <f>WEEKNUM(Dates_Ref[[#This Row],[Start]],21)</f>
        <v>44</v>
      </c>
    </row>
    <row r="572" spans="2:9" x14ac:dyDescent="0.25">
      <c r="B572">
        <f>MONTH(Dates_Ref[[#This Row],[Start]])</f>
        <v>11</v>
      </c>
      <c r="C572" s="5">
        <f t="shared" si="9"/>
        <v>48890</v>
      </c>
      <c r="D572" s="2">
        <v>45</v>
      </c>
      <c r="E572">
        <v>22</v>
      </c>
      <c r="G572" s="5" t="str">
        <f>IF(Dates_Ref[[#This Row],[Pay QCH]]&lt;&gt;E571,Dates_Ref[[#This Row],[Start]]+18,"")</f>
        <v/>
      </c>
      <c r="H572">
        <f>WEEKDAY(Dates_Ref[[#This Row],[Start]],2)</f>
        <v>1</v>
      </c>
      <c r="I572">
        <f>WEEKNUM(Dates_Ref[[#This Row],[Start]],21)</f>
        <v>45</v>
      </c>
    </row>
    <row r="573" spans="2:9" x14ac:dyDescent="0.25">
      <c r="B573">
        <f>MONTH(Dates_Ref[[#This Row],[Start]])</f>
        <v>11</v>
      </c>
      <c r="C573" s="5">
        <f t="shared" si="9"/>
        <v>48897</v>
      </c>
      <c r="D573" s="2">
        <v>46</v>
      </c>
      <c r="E573">
        <v>23</v>
      </c>
      <c r="F573" s="1">
        <v>48915</v>
      </c>
      <c r="G573" s="5">
        <f>IF(Dates_Ref[[#This Row],[Pay QCH]]&lt;&gt;E572,Dates_Ref[[#This Row],[Start]]+18,"")</f>
        <v>48915</v>
      </c>
      <c r="H573">
        <f>WEEKDAY(Dates_Ref[[#This Row],[Start]],2)</f>
        <v>1</v>
      </c>
      <c r="I573">
        <f>WEEKNUM(Dates_Ref[[#This Row],[Start]],21)</f>
        <v>46</v>
      </c>
    </row>
    <row r="574" spans="2:9" x14ac:dyDescent="0.25">
      <c r="B574">
        <f>MONTH(Dates_Ref[[#This Row],[Start]])</f>
        <v>11</v>
      </c>
      <c r="C574" s="5">
        <f t="shared" si="9"/>
        <v>48904</v>
      </c>
      <c r="D574" s="2">
        <v>47</v>
      </c>
      <c r="E574">
        <v>23</v>
      </c>
      <c r="G574" s="5" t="str">
        <f>IF(Dates_Ref[[#This Row],[Pay QCH]]&lt;&gt;E573,Dates_Ref[[#This Row],[Start]]+18,"")</f>
        <v/>
      </c>
      <c r="H574">
        <f>WEEKDAY(Dates_Ref[[#This Row],[Start]],2)</f>
        <v>1</v>
      </c>
      <c r="I574">
        <f>WEEKNUM(Dates_Ref[[#This Row],[Start]],21)</f>
        <v>47</v>
      </c>
    </row>
    <row r="575" spans="2:9" x14ac:dyDescent="0.25">
      <c r="B575">
        <f>MONTH(Dates_Ref[[#This Row],[Start]])</f>
        <v>11</v>
      </c>
      <c r="C575" s="5">
        <f t="shared" si="9"/>
        <v>48911</v>
      </c>
      <c r="D575" s="2">
        <v>48</v>
      </c>
      <c r="E575">
        <v>24</v>
      </c>
      <c r="F575" s="1">
        <v>48929</v>
      </c>
      <c r="G575" s="5">
        <f>IF(Dates_Ref[[#This Row],[Pay QCH]]&lt;&gt;E574,Dates_Ref[[#This Row],[Start]]+18,"")</f>
        <v>48929</v>
      </c>
      <c r="H575">
        <f>WEEKDAY(Dates_Ref[[#This Row],[Start]],2)</f>
        <v>1</v>
      </c>
      <c r="I575">
        <f>WEEKNUM(Dates_Ref[[#This Row],[Start]],21)</f>
        <v>48</v>
      </c>
    </row>
    <row r="576" spans="2:9" x14ac:dyDescent="0.25">
      <c r="B576">
        <f>MONTH(Dates_Ref[[#This Row],[Start]])</f>
        <v>12</v>
      </c>
      <c r="C576" s="5">
        <f t="shared" si="9"/>
        <v>48918</v>
      </c>
      <c r="D576" s="2">
        <v>49</v>
      </c>
      <c r="E576">
        <v>24</v>
      </c>
      <c r="G576" s="5" t="str">
        <f>IF(Dates_Ref[[#This Row],[Pay QCH]]&lt;&gt;E575,Dates_Ref[[#This Row],[Start]]+18,"")</f>
        <v/>
      </c>
      <c r="H576">
        <f>WEEKDAY(Dates_Ref[[#This Row],[Start]],2)</f>
        <v>1</v>
      </c>
      <c r="I576">
        <f>WEEKNUM(Dates_Ref[[#This Row],[Start]],21)</f>
        <v>49</v>
      </c>
    </row>
    <row r="577" spans="2:9" x14ac:dyDescent="0.25">
      <c r="B577">
        <f>MONTH(Dates_Ref[[#This Row],[Start]])</f>
        <v>12</v>
      </c>
      <c r="C577" s="5">
        <f t="shared" si="9"/>
        <v>48925</v>
      </c>
      <c r="D577" s="2">
        <v>50</v>
      </c>
      <c r="E577">
        <v>25</v>
      </c>
      <c r="F577" s="1">
        <v>48943</v>
      </c>
      <c r="G577" s="5">
        <f>IF(Dates_Ref[[#This Row],[Pay QCH]]&lt;&gt;E576,Dates_Ref[[#This Row],[Start]]+18,"")</f>
        <v>48943</v>
      </c>
      <c r="H577">
        <f>WEEKDAY(Dates_Ref[[#This Row],[Start]],2)</f>
        <v>1</v>
      </c>
      <c r="I577">
        <f>WEEKNUM(Dates_Ref[[#This Row],[Start]],21)</f>
        <v>50</v>
      </c>
    </row>
    <row r="578" spans="2:9" x14ac:dyDescent="0.25">
      <c r="B578">
        <f>MONTH(Dates_Ref[[#This Row],[Start]])</f>
        <v>12</v>
      </c>
      <c r="C578" s="5">
        <f t="shared" si="9"/>
        <v>48932</v>
      </c>
      <c r="D578" s="2">
        <v>51</v>
      </c>
      <c r="E578">
        <v>25</v>
      </c>
      <c r="G578" s="5" t="str">
        <f>IF(Dates_Ref[[#This Row],[Pay QCH]]&lt;&gt;E577,Dates_Ref[[#This Row],[Start]]+18,"")</f>
        <v/>
      </c>
      <c r="H578">
        <f>WEEKDAY(Dates_Ref[[#This Row],[Start]],2)</f>
        <v>1</v>
      </c>
      <c r="I578">
        <f>WEEKNUM(Dates_Ref[[#This Row],[Start]],21)</f>
        <v>51</v>
      </c>
    </row>
    <row r="579" spans="2:9" x14ac:dyDescent="0.25">
      <c r="B579">
        <f>MONTH(Dates_Ref[[#This Row],[Start]])</f>
        <v>12</v>
      </c>
      <c r="C579" s="5">
        <f t="shared" si="9"/>
        <v>48939</v>
      </c>
      <c r="D579" s="2">
        <v>52</v>
      </c>
      <c r="E579">
        <v>26</v>
      </c>
      <c r="F579" s="1">
        <v>48957</v>
      </c>
      <c r="G579" s="5">
        <f>IF(Dates_Ref[[#This Row],[Pay QCH]]&lt;&gt;E578,Dates_Ref[[#This Row],[Start]]+18,"")</f>
        <v>48957</v>
      </c>
      <c r="H579">
        <f>WEEKDAY(Dates_Ref[[#This Row],[Start]],2)</f>
        <v>1</v>
      </c>
      <c r="I579">
        <f>WEEKNUM(Dates_Ref[[#This Row],[Start]],21)</f>
        <v>52</v>
      </c>
    </row>
    <row r="580" spans="2:9" x14ac:dyDescent="0.25">
      <c r="B580">
        <f>MONTH(Dates_Ref[[#This Row],[Start]])</f>
        <v>1</v>
      </c>
      <c r="C580" s="5">
        <f t="shared" si="9"/>
        <v>48946</v>
      </c>
      <c r="D580" s="2">
        <v>1</v>
      </c>
      <c r="E580">
        <v>26</v>
      </c>
      <c r="G580" s="5" t="str">
        <f>IF(Dates_Ref[[#This Row],[Pay QCH]]&lt;&gt;E579,Dates_Ref[[#This Row],[Start]]+18,"")</f>
        <v/>
      </c>
      <c r="H580">
        <f>WEEKDAY(Dates_Ref[[#This Row],[Start]],2)</f>
        <v>1</v>
      </c>
      <c r="I580">
        <f>WEEKNUM(Dates_Ref[[#This Row],[Start]],21)</f>
        <v>1</v>
      </c>
    </row>
    <row r="581" spans="2:9" x14ac:dyDescent="0.25">
      <c r="B581">
        <f>MONTH(Dates_Ref[[#This Row],[Start]])</f>
        <v>1</v>
      </c>
      <c r="C581" s="5">
        <f t="shared" si="9"/>
        <v>48953</v>
      </c>
      <c r="D581" s="2">
        <v>2</v>
      </c>
      <c r="E581">
        <v>1</v>
      </c>
      <c r="F581" s="1">
        <v>48971</v>
      </c>
      <c r="G581" s="5">
        <f>IF(Dates_Ref[[#This Row],[Pay QCH]]&lt;&gt;E580,Dates_Ref[[#This Row],[Start]]+18,"")</f>
        <v>48971</v>
      </c>
      <c r="H581">
        <f>WEEKDAY(Dates_Ref[[#This Row],[Start]],2)</f>
        <v>1</v>
      </c>
      <c r="I581">
        <f>WEEKNUM(Dates_Ref[[#This Row],[Start]],21)</f>
        <v>2</v>
      </c>
    </row>
    <row r="582" spans="2:9" x14ac:dyDescent="0.25">
      <c r="B582">
        <f>MONTH(Dates_Ref[[#This Row],[Start]])</f>
        <v>1</v>
      </c>
      <c r="C582" s="5">
        <f t="shared" si="9"/>
        <v>48960</v>
      </c>
      <c r="D582" s="2">
        <v>3</v>
      </c>
      <c r="E582">
        <v>1</v>
      </c>
      <c r="G582" s="5" t="str">
        <f>IF(Dates_Ref[[#This Row],[Pay QCH]]&lt;&gt;E581,Dates_Ref[[#This Row],[Start]]+18,"")</f>
        <v/>
      </c>
      <c r="H582">
        <f>WEEKDAY(Dates_Ref[[#This Row],[Start]],2)</f>
        <v>1</v>
      </c>
      <c r="I582">
        <f>WEEKNUM(Dates_Ref[[#This Row],[Start]],21)</f>
        <v>3</v>
      </c>
    </row>
    <row r="583" spans="2:9" x14ac:dyDescent="0.25">
      <c r="B583">
        <f>MONTH(Dates_Ref[[#This Row],[Start]])</f>
        <v>1</v>
      </c>
      <c r="C583" s="5">
        <f t="shared" ref="C583:C646" si="10">C582+7</f>
        <v>48967</v>
      </c>
      <c r="D583" s="2">
        <v>4</v>
      </c>
      <c r="E583">
        <v>2</v>
      </c>
      <c r="F583" s="1">
        <v>48985</v>
      </c>
      <c r="G583" s="5">
        <f>IF(Dates_Ref[[#This Row],[Pay QCH]]&lt;&gt;E582,Dates_Ref[[#This Row],[Start]]+18,"")</f>
        <v>48985</v>
      </c>
      <c r="H583">
        <f>WEEKDAY(Dates_Ref[[#This Row],[Start]],2)</f>
        <v>1</v>
      </c>
      <c r="I583">
        <f>WEEKNUM(Dates_Ref[[#This Row],[Start]],21)</f>
        <v>4</v>
      </c>
    </row>
    <row r="584" spans="2:9" x14ac:dyDescent="0.25">
      <c r="B584">
        <f>MONTH(Dates_Ref[[#This Row],[Start]])</f>
        <v>1</v>
      </c>
      <c r="C584" s="5">
        <f t="shared" si="10"/>
        <v>48974</v>
      </c>
      <c r="D584" s="2">
        <v>5</v>
      </c>
      <c r="E584">
        <v>2</v>
      </c>
      <c r="G584" s="5" t="str">
        <f>IF(Dates_Ref[[#This Row],[Pay QCH]]&lt;&gt;E583,Dates_Ref[[#This Row],[Start]]+18,"")</f>
        <v/>
      </c>
      <c r="H584">
        <f>WEEKDAY(Dates_Ref[[#This Row],[Start]],2)</f>
        <v>1</v>
      </c>
      <c r="I584">
        <f>WEEKNUM(Dates_Ref[[#This Row],[Start]],21)</f>
        <v>5</v>
      </c>
    </row>
    <row r="585" spans="2:9" x14ac:dyDescent="0.25">
      <c r="B585">
        <f>MONTH(Dates_Ref[[#This Row],[Start]])</f>
        <v>2</v>
      </c>
      <c r="C585" s="5">
        <f t="shared" si="10"/>
        <v>48981</v>
      </c>
      <c r="D585" s="2">
        <v>6</v>
      </c>
      <c r="E585">
        <v>3</v>
      </c>
      <c r="F585" s="1">
        <v>48999</v>
      </c>
      <c r="G585" s="5">
        <f>IF(Dates_Ref[[#This Row],[Pay QCH]]&lt;&gt;E584,Dates_Ref[[#This Row],[Start]]+18,"")</f>
        <v>48999</v>
      </c>
      <c r="H585">
        <f>WEEKDAY(Dates_Ref[[#This Row],[Start]],2)</f>
        <v>1</v>
      </c>
      <c r="I585">
        <f>WEEKNUM(Dates_Ref[[#This Row],[Start]],21)</f>
        <v>6</v>
      </c>
    </row>
    <row r="586" spans="2:9" x14ac:dyDescent="0.25">
      <c r="B586">
        <f>MONTH(Dates_Ref[[#This Row],[Start]])</f>
        <v>2</v>
      </c>
      <c r="C586" s="5">
        <f t="shared" si="10"/>
        <v>48988</v>
      </c>
      <c r="D586" s="2">
        <v>7</v>
      </c>
      <c r="E586">
        <v>3</v>
      </c>
      <c r="G586" s="5" t="str">
        <f>IF(Dates_Ref[[#This Row],[Pay QCH]]&lt;&gt;E585,Dates_Ref[[#This Row],[Start]]+18,"")</f>
        <v/>
      </c>
      <c r="H586">
        <f>WEEKDAY(Dates_Ref[[#This Row],[Start]],2)</f>
        <v>1</v>
      </c>
      <c r="I586">
        <f>WEEKNUM(Dates_Ref[[#This Row],[Start]],21)</f>
        <v>7</v>
      </c>
    </row>
    <row r="587" spans="2:9" x14ac:dyDescent="0.25">
      <c r="B587">
        <f>MONTH(Dates_Ref[[#This Row],[Start]])</f>
        <v>2</v>
      </c>
      <c r="C587" s="5">
        <f t="shared" si="10"/>
        <v>48995</v>
      </c>
      <c r="D587" s="2">
        <v>8</v>
      </c>
      <c r="E587">
        <v>4</v>
      </c>
      <c r="F587" s="1">
        <v>49013</v>
      </c>
      <c r="G587" s="5">
        <f>IF(Dates_Ref[[#This Row],[Pay QCH]]&lt;&gt;E586,Dates_Ref[[#This Row],[Start]]+18,"")</f>
        <v>49013</v>
      </c>
      <c r="H587">
        <f>WEEKDAY(Dates_Ref[[#This Row],[Start]],2)</f>
        <v>1</v>
      </c>
      <c r="I587">
        <f>WEEKNUM(Dates_Ref[[#This Row],[Start]],21)</f>
        <v>8</v>
      </c>
    </row>
    <row r="588" spans="2:9" x14ac:dyDescent="0.25">
      <c r="B588">
        <f>MONTH(Dates_Ref[[#This Row],[Start]])</f>
        <v>2</v>
      </c>
      <c r="C588" s="5">
        <f t="shared" si="10"/>
        <v>49002</v>
      </c>
      <c r="D588" s="2">
        <v>9</v>
      </c>
      <c r="E588">
        <v>4</v>
      </c>
      <c r="G588" s="5" t="str">
        <f>IF(Dates_Ref[[#This Row],[Pay QCH]]&lt;&gt;E587,Dates_Ref[[#This Row],[Start]]+18,"")</f>
        <v/>
      </c>
      <c r="H588">
        <f>WEEKDAY(Dates_Ref[[#This Row],[Start]],2)</f>
        <v>1</v>
      </c>
      <c r="I588">
        <f>WEEKNUM(Dates_Ref[[#This Row],[Start]],21)</f>
        <v>9</v>
      </c>
    </row>
    <row r="589" spans="2:9" x14ac:dyDescent="0.25">
      <c r="B589">
        <f>MONTH(Dates_Ref[[#This Row],[Start]])</f>
        <v>3</v>
      </c>
      <c r="C589" s="5">
        <f t="shared" si="10"/>
        <v>49009</v>
      </c>
      <c r="D589" s="2">
        <v>10</v>
      </c>
      <c r="E589">
        <v>5</v>
      </c>
      <c r="F589" s="1">
        <v>49027</v>
      </c>
      <c r="G589" s="5">
        <f>IF(Dates_Ref[[#This Row],[Pay QCH]]&lt;&gt;E588,Dates_Ref[[#This Row],[Start]]+18,"")</f>
        <v>49027</v>
      </c>
      <c r="H589">
        <f>WEEKDAY(Dates_Ref[[#This Row],[Start]],2)</f>
        <v>1</v>
      </c>
      <c r="I589">
        <f>WEEKNUM(Dates_Ref[[#This Row],[Start]],21)</f>
        <v>10</v>
      </c>
    </row>
    <row r="590" spans="2:9" x14ac:dyDescent="0.25">
      <c r="B590">
        <f>MONTH(Dates_Ref[[#This Row],[Start]])</f>
        <v>3</v>
      </c>
      <c r="C590" s="5">
        <f t="shared" si="10"/>
        <v>49016</v>
      </c>
      <c r="D590" s="2">
        <v>11</v>
      </c>
      <c r="E590">
        <v>5</v>
      </c>
      <c r="G590" s="5" t="str">
        <f>IF(Dates_Ref[[#This Row],[Pay QCH]]&lt;&gt;E589,Dates_Ref[[#This Row],[Start]]+18,"")</f>
        <v/>
      </c>
      <c r="H590">
        <f>WEEKDAY(Dates_Ref[[#This Row],[Start]],2)</f>
        <v>1</v>
      </c>
      <c r="I590">
        <f>WEEKNUM(Dates_Ref[[#This Row],[Start]],21)</f>
        <v>11</v>
      </c>
    </row>
    <row r="591" spans="2:9" x14ac:dyDescent="0.25">
      <c r="B591">
        <f>MONTH(Dates_Ref[[#This Row],[Start]])</f>
        <v>3</v>
      </c>
      <c r="C591" s="5">
        <f t="shared" si="10"/>
        <v>49023</v>
      </c>
      <c r="D591" s="2">
        <v>12</v>
      </c>
      <c r="E591">
        <v>6</v>
      </c>
      <c r="F591" s="1">
        <v>49041</v>
      </c>
      <c r="G591" s="5">
        <f>IF(Dates_Ref[[#This Row],[Pay QCH]]&lt;&gt;E590,Dates_Ref[[#This Row],[Start]]+18,"")</f>
        <v>49041</v>
      </c>
      <c r="H591">
        <f>WEEKDAY(Dates_Ref[[#This Row],[Start]],2)</f>
        <v>1</v>
      </c>
      <c r="I591">
        <f>WEEKNUM(Dates_Ref[[#This Row],[Start]],21)</f>
        <v>12</v>
      </c>
    </row>
    <row r="592" spans="2:9" x14ac:dyDescent="0.25">
      <c r="B592">
        <f>MONTH(Dates_Ref[[#This Row],[Start]])</f>
        <v>3</v>
      </c>
      <c r="C592" s="5">
        <f t="shared" si="10"/>
        <v>49030</v>
      </c>
      <c r="D592" s="2">
        <v>13</v>
      </c>
      <c r="E592">
        <v>6</v>
      </c>
      <c r="G592" s="5" t="str">
        <f>IF(Dates_Ref[[#This Row],[Pay QCH]]&lt;&gt;E591,Dates_Ref[[#This Row],[Start]]+18,"")</f>
        <v/>
      </c>
      <c r="H592">
        <f>WEEKDAY(Dates_Ref[[#This Row],[Start]],2)</f>
        <v>1</v>
      </c>
      <c r="I592">
        <f>WEEKNUM(Dates_Ref[[#This Row],[Start]],21)</f>
        <v>13</v>
      </c>
    </row>
    <row r="593" spans="2:9" x14ac:dyDescent="0.25">
      <c r="B593">
        <f>MONTH(Dates_Ref[[#This Row],[Start]])</f>
        <v>4</v>
      </c>
      <c r="C593" s="5">
        <f t="shared" si="10"/>
        <v>49037</v>
      </c>
      <c r="D593" s="2">
        <v>14</v>
      </c>
      <c r="E593">
        <v>7</v>
      </c>
      <c r="F593" s="1">
        <v>49055</v>
      </c>
      <c r="G593" s="5">
        <f>IF(Dates_Ref[[#This Row],[Pay QCH]]&lt;&gt;E592,Dates_Ref[[#This Row],[Start]]+18,"")</f>
        <v>49055</v>
      </c>
      <c r="H593">
        <f>WEEKDAY(Dates_Ref[[#This Row],[Start]],2)</f>
        <v>1</v>
      </c>
      <c r="I593">
        <f>WEEKNUM(Dates_Ref[[#This Row],[Start]],21)</f>
        <v>14</v>
      </c>
    </row>
    <row r="594" spans="2:9" x14ac:dyDescent="0.25">
      <c r="B594">
        <f>MONTH(Dates_Ref[[#This Row],[Start]])</f>
        <v>4</v>
      </c>
      <c r="C594" s="5">
        <f t="shared" si="10"/>
        <v>49044</v>
      </c>
      <c r="D594" s="2">
        <v>15</v>
      </c>
      <c r="E594">
        <v>7</v>
      </c>
      <c r="G594" s="5" t="str">
        <f>IF(Dates_Ref[[#This Row],[Pay QCH]]&lt;&gt;E593,Dates_Ref[[#This Row],[Start]]+18,"")</f>
        <v/>
      </c>
      <c r="H594">
        <f>WEEKDAY(Dates_Ref[[#This Row],[Start]],2)</f>
        <v>1</v>
      </c>
      <c r="I594">
        <f>WEEKNUM(Dates_Ref[[#This Row],[Start]],21)</f>
        <v>15</v>
      </c>
    </row>
    <row r="595" spans="2:9" x14ac:dyDescent="0.25">
      <c r="B595">
        <f>MONTH(Dates_Ref[[#This Row],[Start]])</f>
        <v>4</v>
      </c>
      <c r="C595" s="5">
        <f t="shared" si="10"/>
        <v>49051</v>
      </c>
      <c r="D595" s="2">
        <v>16</v>
      </c>
      <c r="E595">
        <v>8</v>
      </c>
      <c r="F595" s="1">
        <v>49069</v>
      </c>
      <c r="G595" s="5">
        <f>IF(Dates_Ref[[#This Row],[Pay QCH]]&lt;&gt;E594,Dates_Ref[[#This Row],[Start]]+18,"")</f>
        <v>49069</v>
      </c>
      <c r="H595">
        <f>WEEKDAY(Dates_Ref[[#This Row],[Start]],2)</f>
        <v>1</v>
      </c>
      <c r="I595">
        <f>WEEKNUM(Dates_Ref[[#This Row],[Start]],21)</f>
        <v>16</v>
      </c>
    </row>
    <row r="596" spans="2:9" x14ac:dyDescent="0.25">
      <c r="B596">
        <f>MONTH(Dates_Ref[[#This Row],[Start]])</f>
        <v>4</v>
      </c>
      <c r="C596" s="5">
        <f t="shared" si="10"/>
        <v>49058</v>
      </c>
      <c r="D596" s="2">
        <v>17</v>
      </c>
      <c r="E596">
        <v>8</v>
      </c>
      <c r="G596" s="5" t="str">
        <f>IF(Dates_Ref[[#This Row],[Pay QCH]]&lt;&gt;E595,Dates_Ref[[#This Row],[Start]]+18,"")</f>
        <v/>
      </c>
      <c r="H596">
        <f>WEEKDAY(Dates_Ref[[#This Row],[Start]],2)</f>
        <v>1</v>
      </c>
      <c r="I596">
        <f>WEEKNUM(Dates_Ref[[#This Row],[Start]],21)</f>
        <v>17</v>
      </c>
    </row>
    <row r="597" spans="2:9" x14ac:dyDescent="0.25">
      <c r="B597">
        <f>MONTH(Dates_Ref[[#This Row],[Start]])</f>
        <v>5</v>
      </c>
      <c r="C597" s="5">
        <f t="shared" si="10"/>
        <v>49065</v>
      </c>
      <c r="D597" s="2">
        <v>18</v>
      </c>
      <c r="E597">
        <v>9</v>
      </c>
      <c r="F597" s="1">
        <v>49083</v>
      </c>
      <c r="G597" s="5">
        <f>IF(Dates_Ref[[#This Row],[Pay QCH]]&lt;&gt;E596,Dates_Ref[[#This Row],[Start]]+18,"")</f>
        <v>49083</v>
      </c>
      <c r="H597">
        <f>WEEKDAY(Dates_Ref[[#This Row],[Start]],2)</f>
        <v>1</v>
      </c>
      <c r="I597">
        <f>WEEKNUM(Dates_Ref[[#This Row],[Start]],21)</f>
        <v>18</v>
      </c>
    </row>
    <row r="598" spans="2:9" x14ac:dyDescent="0.25">
      <c r="B598">
        <f>MONTH(Dates_Ref[[#This Row],[Start]])</f>
        <v>5</v>
      </c>
      <c r="C598" s="5">
        <f t="shared" si="10"/>
        <v>49072</v>
      </c>
      <c r="D598" s="2">
        <v>19</v>
      </c>
      <c r="E598">
        <v>9</v>
      </c>
      <c r="G598" s="5" t="str">
        <f>IF(Dates_Ref[[#This Row],[Pay QCH]]&lt;&gt;E597,Dates_Ref[[#This Row],[Start]]+18,"")</f>
        <v/>
      </c>
      <c r="H598">
        <f>WEEKDAY(Dates_Ref[[#This Row],[Start]],2)</f>
        <v>1</v>
      </c>
      <c r="I598">
        <f>WEEKNUM(Dates_Ref[[#This Row],[Start]],21)</f>
        <v>19</v>
      </c>
    </row>
    <row r="599" spans="2:9" x14ac:dyDescent="0.25">
      <c r="B599">
        <f>MONTH(Dates_Ref[[#This Row],[Start]])</f>
        <v>5</v>
      </c>
      <c r="C599" s="5">
        <f t="shared" si="10"/>
        <v>49079</v>
      </c>
      <c r="D599" s="2">
        <v>20</v>
      </c>
      <c r="E599">
        <v>10</v>
      </c>
      <c r="F599" s="1">
        <v>49097</v>
      </c>
      <c r="G599" s="5">
        <f>IF(Dates_Ref[[#This Row],[Pay QCH]]&lt;&gt;E598,Dates_Ref[[#This Row],[Start]]+18,"")</f>
        <v>49097</v>
      </c>
      <c r="H599">
        <f>WEEKDAY(Dates_Ref[[#This Row],[Start]],2)</f>
        <v>1</v>
      </c>
      <c r="I599">
        <f>WEEKNUM(Dates_Ref[[#This Row],[Start]],21)</f>
        <v>20</v>
      </c>
    </row>
    <row r="600" spans="2:9" x14ac:dyDescent="0.25">
      <c r="B600">
        <f>MONTH(Dates_Ref[[#This Row],[Start]])</f>
        <v>5</v>
      </c>
      <c r="C600" s="5">
        <f t="shared" si="10"/>
        <v>49086</v>
      </c>
      <c r="D600" s="2">
        <v>21</v>
      </c>
      <c r="E600">
        <v>10</v>
      </c>
      <c r="G600" s="5" t="str">
        <f>IF(Dates_Ref[[#This Row],[Pay QCH]]&lt;&gt;E599,Dates_Ref[[#This Row],[Start]]+18,"")</f>
        <v/>
      </c>
      <c r="H600">
        <f>WEEKDAY(Dates_Ref[[#This Row],[Start]],2)</f>
        <v>1</v>
      </c>
      <c r="I600">
        <f>WEEKNUM(Dates_Ref[[#This Row],[Start]],21)</f>
        <v>21</v>
      </c>
    </row>
    <row r="601" spans="2:9" x14ac:dyDescent="0.25">
      <c r="B601">
        <f>MONTH(Dates_Ref[[#This Row],[Start]])</f>
        <v>5</v>
      </c>
      <c r="C601" s="5">
        <f t="shared" si="10"/>
        <v>49093</v>
      </c>
      <c r="D601" s="2">
        <v>22</v>
      </c>
      <c r="E601">
        <v>11</v>
      </c>
      <c r="F601" s="1">
        <v>49111</v>
      </c>
      <c r="G601" s="5">
        <f>IF(Dates_Ref[[#This Row],[Pay QCH]]&lt;&gt;E600,Dates_Ref[[#This Row],[Start]]+18,"")</f>
        <v>49111</v>
      </c>
      <c r="H601">
        <f>WEEKDAY(Dates_Ref[[#This Row],[Start]],2)</f>
        <v>1</v>
      </c>
      <c r="I601">
        <f>WEEKNUM(Dates_Ref[[#This Row],[Start]],21)</f>
        <v>22</v>
      </c>
    </row>
    <row r="602" spans="2:9" x14ac:dyDescent="0.25">
      <c r="B602">
        <f>MONTH(Dates_Ref[[#This Row],[Start]])</f>
        <v>6</v>
      </c>
      <c r="C602" s="5">
        <f t="shared" si="10"/>
        <v>49100</v>
      </c>
      <c r="D602" s="2">
        <v>23</v>
      </c>
      <c r="E602">
        <v>11</v>
      </c>
      <c r="G602" s="5" t="str">
        <f>IF(Dates_Ref[[#This Row],[Pay QCH]]&lt;&gt;E601,Dates_Ref[[#This Row],[Start]]+18,"")</f>
        <v/>
      </c>
      <c r="H602">
        <f>WEEKDAY(Dates_Ref[[#This Row],[Start]],2)</f>
        <v>1</v>
      </c>
      <c r="I602">
        <f>WEEKNUM(Dates_Ref[[#This Row],[Start]],21)</f>
        <v>23</v>
      </c>
    </row>
    <row r="603" spans="2:9" x14ac:dyDescent="0.25">
      <c r="B603">
        <f>MONTH(Dates_Ref[[#This Row],[Start]])</f>
        <v>6</v>
      </c>
      <c r="C603" s="5">
        <f t="shared" si="10"/>
        <v>49107</v>
      </c>
      <c r="D603" s="2">
        <v>24</v>
      </c>
      <c r="E603">
        <v>12</v>
      </c>
      <c r="F603" s="1">
        <v>49125</v>
      </c>
      <c r="G603" s="5">
        <f>IF(Dates_Ref[[#This Row],[Pay QCH]]&lt;&gt;E602,Dates_Ref[[#This Row],[Start]]+18,"")</f>
        <v>49125</v>
      </c>
      <c r="H603">
        <f>WEEKDAY(Dates_Ref[[#This Row],[Start]],2)</f>
        <v>1</v>
      </c>
      <c r="I603">
        <f>WEEKNUM(Dates_Ref[[#This Row],[Start]],21)</f>
        <v>24</v>
      </c>
    </row>
    <row r="604" spans="2:9" x14ac:dyDescent="0.25">
      <c r="B604">
        <f>MONTH(Dates_Ref[[#This Row],[Start]])</f>
        <v>6</v>
      </c>
      <c r="C604" s="5">
        <f t="shared" si="10"/>
        <v>49114</v>
      </c>
      <c r="D604" s="2">
        <v>25</v>
      </c>
      <c r="E604">
        <v>12</v>
      </c>
      <c r="G604" s="5" t="str">
        <f>IF(Dates_Ref[[#This Row],[Pay QCH]]&lt;&gt;E603,Dates_Ref[[#This Row],[Start]]+18,"")</f>
        <v/>
      </c>
      <c r="H604">
        <f>WEEKDAY(Dates_Ref[[#This Row],[Start]],2)</f>
        <v>1</v>
      </c>
      <c r="I604">
        <f>WEEKNUM(Dates_Ref[[#This Row],[Start]],21)</f>
        <v>25</v>
      </c>
    </row>
    <row r="605" spans="2:9" x14ac:dyDescent="0.25">
      <c r="B605">
        <f>MONTH(Dates_Ref[[#This Row],[Start]])</f>
        <v>6</v>
      </c>
      <c r="C605" s="5">
        <f t="shared" si="10"/>
        <v>49121</v>
      </c>
      <c r="D605" s="2">
        <v>26</v>
      </c>
      <c r="E605">
        <v>13</v>
      </c>
      <c r="F605" s="1">
        <v>49139</v>
      </c>
      <c r="G605" s="5">
        <f>IF(Dates_Ref[[#This Row],[Pay QCH]]&lt;&gt;E604,Dates_Ref[[#This Row],[Start]]+18,"")</f>
        <v>49139</v>
      </c>
      <c r="H605">
        <f>WEEKDAY(Dates_Ref[[#This Row],[Start]],2)</f>
        <v>1</v>
      </c>
      <c r="I605">
        <f>WEEKNUM(Dates_Ref[[#This Row],[Start]],21)</f>
        <v>26</v>
      </c>
    </row>
    <row r="606" spans="2:9" x14ac:dyDescent="0.25">
      <c r="B606">
        <f>MONTH(Dates_Ref[[#This Row],[Start]])</f>
        <v>7</v>
      </c>
      <c r="C606" s="5">
        <f t="shared" si="10"/>
        <v>49128</v>
      </c>
      <c r="D606" s="2">
        <v>27</v>
      </c>
      <c r="E606">
        <v>13</v>
      </c>
      <c r="G606" s="5" t="str">
        <f>IF(Dates_Ref[[#This Row],[Pay QCH]]&lt;&gt;E605,Dates_Ref[[#This Row],[Start]]+18,"")</f>
        <v/>
      </c>
      <c r="H606">
        <f>WEEKDAY(Dates_Ref[[#This Row],[Start]],2)</f>
        <v>1</v>
      </c>
      <c r="I606">
        <f>WEEKNUM(Dates_Ref[[#This Row],[Start]],21)</f>
        <v>27</v>
      </c>
    </row>
    <row r="607" spans="2:9" x14ac:dyDescent="0.25">
      <c r="B607">
        <f>MONTH(Dates_Ref[[#This Row],[Start]])</f>
        <v>7</v>
      </c>
      <c r="C607" s="5">
        <f t="shared" si="10"/>
        <v>49135</v>
      </c>
      <c r="D607" s="2">
        <v>28</v>
      </c>
      <c r="E607">
        <v>14</v>
      </c>
      <c r="F607" s="1">
        <v>49153</v>
      </c>
      <c r="G607" s="5">
        <f>IF(Dates_Ref[[#This Row],[Pay QCH]]&lt;&gt;E606,Dates_Ref[[#This Row],[Start]]+18,"")</f>
        <v>49153</v>
      </c>
      <c r="H607">
        <f>WEEKDAY(Dates_Ref[[#This Row],[Start]],2)</f>
        <v>1</v>
      </c>
      <c r="I607">
        <f>WEEKNUM(Dates_Ref[[#This Row],[Start]],21)</f>
        <v>28</v>
      </c>
    </row>
    <row r="608" spans="2:9" x14ac:dyDescent="0.25">
      <c r="B608">
        <f>MONTH(Dates_Ref[[#This Row],[Start]])</f>
        <v>7</v>
      </c>
      <c r="C608" s="5">
        <f t="shared" si="10"/>
        <v>49142</v>
      </c>
      <c r="D608" s="2">
        <v>29</v>
      </c>
      <c r="E608">
        <v>14</v>
      </c>
      <c r="G608" s="5" t="str">
        <f>IF(Dates_Ref[[#This Row],[Pay QCH]]&lt;&gt;E607,Dates_Ref[[#This Row],[Start]]+18,"")</f>
        <v/>
      </c>
      <c r="H608">
        <f>WEEKDAY(Dates_Ref[[#This Row],[Start]],2)</f>
        <v>1</v>
      </c>
      <c r="I608">
        <f>WEEKNUM(Dates_Ref[[#This Row],[Start]],21)</f>
        <v>29</v>
      </c>
    </row>
    <row r="609" spans="2:9" x14ac:dyDescent="0.25">
      <c r="B609">
        <f>MONTH(Dates_Ref[[#This Row],[Start]])</f>
        <v>7</v>
      </c>
      <c r="C609" s="5">
        <f t="shared" si="10"/>
        <v>49149</v>
      </c>
      <c r="D609" s="2">
        <v>30</v>
      </c>
      <c r="E609">
        <v>15</v>
      </c>
      <c r="F609" s="1">
        <v>49167</v>
      </c>
      <c r="G609" s="5">
        <f>IF(Dates_Ref[[#This Row],[Pay QCH]]&lt;&gt;E608,Dates_Ref[[#This Row],[Start]]+18,"")</f>
        <v>49167</v>
      </c>
      <c r="H609">
        <f>WEEKDAY(Dates_Ref[[#This Row],[Start]],2)</f>
        <v>1</v>
      </c>
      <c r="I609">
        <f>WEEKNUM(Dates_Ref[[#This Row],[Start]],21)</f>
        <v>30</v>
      </c>
    </row>
    <row r="610" spans="2:9" x14ac:dyDescent="0.25">
      <c r="B610">
        <f>MONTH(Dates_Ref[[#This Row],[Start]])</f>
        <v>7</v>
      </c>
      <c r="C610" s="5">
        <f t="shared" si="10"/>
        <v>49156</v>
      </c>
      <c r="D610" s="2">
        <v>31</v>
      </c>
      <c r="E610">
        <v>15</v>
      </c>
      <c r="G610" s="5" t="str">
        <f>IF(Dates_Ref[[#This Row],[Pay QCH]]&lt;&gt;E609,Dates_Ref[[#This Row],[Start]]+18,"")</f>
        <v/>
      </c>
      <c r="H610">
        <f>WEEKDAY(Dates_Ref[[#This Row],[Start]],2)</f>
        <v>1</v>
      </c>
      <c r="I610">
        <f>WEEKNUM(Dates_Ref[[#This Row],[Start]],21)</f>
        <v>31</v>
      </c>
    </row>
    <row r="611" spans="2:9" x14ac:dyDescent="0.25">
      <c r="B611">
        <f>MONTH(Dates_Ref[[#This Row],[Start]])</f>
        <v>8</v>
      </c>
      <c r="C611" s="5">
        <f t="shared" si="10"/>
        <v>49163</v>
      </c>
      <c r="D611" s="2">
        <v>32</v>
      </c>
      <c r="E611">
        <v>16</v>
      </c>
      <c r="F611" s="1">
        <v>49181</v>
      </c>
      <c r="G611" s="5">
        <f>IF(Dates_Ref[[#This Row],[Pay QCH]]&lt;&gt;E610,Dates_Ref[[#This Row],[Start]]+18,"")</f>
        <v>49181</v>
      </c>
      <c r="H611">
        <f>WEEKDAY(Dates_Ref[[#This Row],[Start]],2)</f>
        <v>1</v>
      </c>
      <c r="I611">
        <f>WEEKNUM(Dates_Ref[[#This Row],[Start]],21)</f>
        <v>32</v>
      </c>
    </row>
    <row r="612" spans="2:9" x14ac:dyDescent="0.25">
      <c r="B612">
        <f>MONTH(Dates_Ref[[#This Row],[Start]])</f>
        <v>8</v>
      </c>
      <c r="C612" s="5">
        <f t="shared" si="10"/>
        <v>49170</v>
      </c>
      <c r="D612" s="2">
        <v>33</v>
      </c>
      <c r="E612">
        <v>16</v>
      </c>
      <c r="G612" s="5" t="str">
        <f>IF(Dates_Ref[[#This Row],[Pay QCH]]&lt;&gt;E611,Dates_Ref[[#This Row],[Start]]+18,"")</f>
        <v/>
      </c>
      <c r="H612">
        <f>WEEKDAY(Dates_Ref[[#This Row],[Start]],2)</f>
        <v>1</v>
      </c>
      <c r="I612">
        <f>WEEKNUM(Dates_Ref[[#This Row],[Start]],21)</f>
        <v>33</v>
      </c>
    </row>
    <row r="613" spans="2:9" x14ac:dyDescent="0.25">
      <c r="B613">
        <f>MONTH(Dates_Ref[[#This Row],[Start]])</f>
        <v>8</v>
      </c>
      <c r="C613" s="5">
        <f t="shared" si="10"/>
        <v>49177</v>
      </c>
      <c r="D613" s="2">
        <v>34</v>
      </c>
      <c r="E613">
        <v>17</v>
      </c>
      <c r="F613" s="1">
        <v>49195</v>
      </c>
      <c r="G613" s="5">
        <f>IF(Dates_Ref[[#This Row],[Pay QCH]]&lt;&gt;E612,Dates_Ref[[#This Row],[Start]]+18,"")</f>
        <v>49195</v>
      </c>
      <c r="H613">
        <f>WEEKDAY(Dates_Ref[[#This Row],[Start]],2)</f>
        <v>1</v>
      </c>
      <c r="I613">
        <f>WEEKNUM(Dates_Ref[[#This Row],[Start]],21)</f>
        <v>34</v>
      </c>
    </row>
    <row r="614" spans="2:9" x14ac:dyDescent="0.25">
      <c r="B614">
        <f>MONTH(Dates_Ref[[#This Row],[Start]])</f>
        <v>8</v>
      </c>
      <c r="C614" s="5">
        <f t="shared" si="10"/>
        <v>49184</v>
      </c>
      <c r="D614" s="2">
        <v>35</v>
      </c>
      <c r="E614">
        <v>17</v>
      </c>
      <c r="G614" s="5" t="str">
        <f>IF(Dates_Ref[[#This Row],[Pay QCH]]&lt;&gt;E613,Dates_Ref[[#This Row],[Start]]+18,"")</f>
        <v/>
      </c>
      <c r="H614">
        <f>WEEKDAY(Dates_Ref[[#This Row],[Start]],2)</f>
        <v>1</v>
      </c>
      <c r="I614">
        <f>WEEKNUM(Dates_Ref[[#This Row],[Start]],21)</f>
        <v>35</v>
      </c>
    </row>
    <row r="615" spans="2:9" x14ac:dyDescent="0.25">
      <c r="B615">
        <f>MONTH(Dates_Ref[[#This Row],[Start]])</f>
        <v>9</v>
      </c>
      <c r="C615" s="5">
        <f t="shared" si="10"/>
        <v>49191</v>
      </c>
      <c r="D615" s="2">
        <v>36</v>
      </c>
      <c r="E615">
        <v>18</v>
      </c>
      <c r="F615" s="1">
        <v>49209</v>
      </c>
      <c r="G615" s="5">
        <f>IF(Dates_Ref[[#This Row],[Pay QCH]]&lt;&gt;E614,Dates_Ref[[#This Row],[Start]]+18,"")</f>
        <v>49209</v>
      </c>
      <c r="H615">
        <f>WEEKDAY(Dates_Ref[[#This Row],[Start]],2)</f>
        <v>1</v>
      </c>
      <c r="I615">
        <f>WEEKNUM(Dates_Ref[[#This Row],[Start]],21)</f>
        <v>36</v>
      </c>
    </row>
    <row r="616" spans="2:9" x14ac:dyDescent="0.25">
      <c r="B616">
        <f>MONTH(Dates_Ref[[#This Row],[Start]])</f>
        <v>9</v>
      </c>
      <c r="C616" s="5">
        <f t="shared" si="10"/>
        <v>49198</v>
      </c>
      <c r="D616" s="2">
        <v>37</v>
      </c>
      <c r="E616">
        <v>18</v>
      </c>
      <c r="G616" s="5" t="str">
        <f>IF(Dates_Ref[[#This Row],[Pay QCH]]&lt;&gt;E615,Dates_Ref[[#This Row],[Start]]+18,"")</f>
        <v/>
      </c>
      <c r="H616">
        <f>WEEKDAY(Dates_Ref[[#This Row],[Start]],2)</f>
        <v>1</v>
      </c>
      <c r="I616">
        <f>WEEKNUM(Dates_Ref[[#This Row],[Start]],21)</f>
        <v>37</v>
      </c>
    </row>
    <row r="617" spans="2:9" x14ac:dyDescent="0.25">
      <c r="B617">
        <f>MONTH(Dates_Ref[[#This Row],[Start]])</f>
        <v>9</v>
      </c>
      <c r="C617" s="5">
        <f t="shared" si="10"/>
        <v>49205</v>
      </c>
      <c r="D617" s="2">
        <v>38</v>
      </c>
      <c r="E617">
        <v>19</v>
      </c>
      <c r="F617" s="1">
        <v>49223</v>
      </c>
      <c r="G617" s="5">
        <f>IF(Dates_Ref[[#This Row],[Pay QCH]]&lt;&gt;E616,Dates_Ref[[#This Row],[Start]]+18,"")</f>
        <v>49223</v>
      </c>
      <c r="H617">
        <f>WEEKDAY(Dates_Ref[[#This Row],[Start]],2)</f>
        <v>1</v>
      </c>
      <c r="I617">
        <f>WEEKNUM(Dates_Ref[[#This Row],[Start]],21)</f>
        <v>38</v>
      </c>
    </row>
    <row r="618" spans="2:9" x14ac:dyDescent="0.25">
      <c r="B618">
        <f>MONTH(Dates_Ref[[#This Row],[Start]])</f>
        <v>9</v>
      </c>
      <c r="C618" s="5">
        <f t="shared" si="10"/>
        <v>49212</v>
      </c>
      <c r="D618" s="2">
        <v>39</v>
      </c>
      <c r="E618">
        <v>19</v>
      </c>
      <c r="G618" s="5" t="str">
        <f>IF(Dates_Ref[[#This Row],[Pay QCH]]&lt;&gt;E617,Dates_Ref[[#This Row],[Start]]+18,"")</f>
        <v/>
      </c>
      <c r="H618">
        <f>WEEKDAY(Dates_Ref[[#This Row],[Start]],2)</f>
        <v>1</v>
      </c>
      <c r="I618">
        <f>WEEKNUM(Dates_Ref[[#This Row],[Start]],21)</f>
        <v>39</v>
      </c>
    </row>
    <row r="619" spans="2:9" x14ac:dyDescent="0.25">
      <c r="B619">
        <f>MONTH(Dates_Ref[[#This Row],[Start]])</f>
        <v>10</v>
      </c>
      <c r="C619" s="5">
        <f t="shared" si="10"/>
        <v>49219</v>
      </c>
      <c r="D619" s="2">
        <v>40</v>
      </c>
      <c r="E619">
        <v>20</v>
      </c>
      <c r="F619" s="1">
        <v>49237</v>
      </c>
      <c r="G619" s="5">
        <f>IF(Dates_Ref[[#This Row],[Pay QCH]]&lt;&gt;E618,Dates_Ref[[#This Row],[Start]]+18,"")</f>
        <v>49237</v>
      </c>
      <c r="H619">
        <f>WEEKDAY(Dates_Ref[[#This Row],[Start]],2)</f>
        <v>1</v>
      </c>
      <c r="I619">
        <f>WEEKNUM(Dates_Ref[[#This Row],[Start]],21)</f>
        <v>40</v>
      </c>
    </row>
    <row r="620" spans="2:9" x14ac:dyDescent="0.25">
      <c r="B620">
        <f>MONTH(Dates_Ref[[#This Row],[Start]])</f>
        <v>10</v>
      </c>
      <c r="C620" s="5">
        <f t="shared" si="10"/>
        <v>49226</v>
      </c>
      <c r="D620" s="2">
        <v>41</v>
      </c>
      <c r="E620">
        <v>20</v>
      </c>
      <c r="G620" s="5" t="str">
        <f>IF(Dates_Ref[[#This Row],[Pay QCH]]&lt;&gt;E619,Dates_Ref[[#This Row],[Start]]+18,"")</f>
        <v/>
      </c>
      <c r="H620">
        <f>WEEKDAY(Dates_Ref[[#This Row],[Start]],2)</f>
        <v>1</v>
      </c>
      <c r="I620">
        <f>WEEKNUM(Dates_Ref[[#This Row],[Start]],21)</f>
        <v>41</v>
      </c>
    </row>
    <row r="621" spans="2:9" x14ac:dyDescent="0.25">
      <c r="B621">
        <f>MONTH(Dates_Ref[[#This Row],[Start]])</f>
        <v>10</v>
      </c>
      <c r="C621" s="5">
        <f t="shared" si="10"/>
        <v>49233</v>
      </c>
      <c r="D621" s="2">
        <v>42</v>
      </c>
      <c r="E621">
        <v>21</v>
      </c>
      <c r="F621" s="1">
        <v>49251</v>
      </c>
      <c r="G621" s="5">
        <f>IF(Dates_Ref[[#This Row],[Pay QCH]]&lt;&gt;E620,Dates_Ref[[#This Row],[Start]]+18,"")</f>
        <v>49251</v>
      </c>
      <c r="H621">
        <f>WEEKDAY(Dates_Ref[[#This Row],[Start]],2)</f>
        <v>1</v>
      </c>
      <c r="I621">
        <f>WEEKNUM(Dates_Ref[[#This Row],[Start]],21)</f>
        <v>42</v>
      </c>
    </row>
    <row r="622" spans="2:9" x14ac:dyDescent="0.25">
      <c r="B622">
        <f>MONTH(Dates_Ref[[#This Row],[Start]])</f>
        <v>10</v>
      </c>
      <c r="C622" s="5">
        <f t="shared" si="10"/>
        <v>49240</v>
      </c>
      <c r="D622" s="2">
        <v>43</v>
      </c>
      <c r="E622">
        <v>21</v>
      </c>
      <c r="G622" s="5" t="str">
        <f>IF(Dates_Ref[[#This Row],[Pay QCH]]&lt;&gt;E621,Dates_Ref[[#This Row],[Start]]+18,"")</f>
        <v/>
      </c>
      <c r="H622">
        <f>WEEKDAY(Dates_Ref[[#This Row],[Start]],2)</f>
        <v>1</v>
      </c>
      <c r="I622">
        <f>WEEKNUM(Dates_Ref[[#This Row],[Start]],21)</f>
        <v>43</v>
      </c>
    </row>
    <row r="623" spans="2:9" x14ac:dyDescent="0.25">
      <c r="B623">
        <f>MONTH(Dates_Ref[[#This Row],[Start]])</f>
        <v>10</v>
      </c>
      <c r="C623" s="5">
        <f t="shared" si="10"/>
        <v>49247</v>
      </c>
      <c r="D623" s="2">
        <v>44</v>
      </c>
      <c r="E623">
        <v>22</v>
      </c>
      <c r="F623" s="1">
        <v>49265</v>
      </c>
      <c r="G623" s="5">
        <f>IF(Dates_Ref[[#This Row],[Pay QCH]]&lt;&gt;E622,Dates_Ref[[#This Row],[Start]]+18,"")</f>
        <v>49265</v>
      </c>
      <c r="H623">
        <f>WEEKDAY(Dates_Ref[[#This Row],[Start]],2)</f>
        <v>1</v>
      </c>
      <c r="I623">
        <f>WEEKNUM(Dates_Ref[[#This Row],[Start]],21)</f>
        <v>44</v>
      </c>
    </row>
    <row r="624" spans="2:9" x14ac:dyDescent="0.25">
      <c r="B624">
        <f>MONTH(Dates_Ref[[#This Row],[Start]])</f>
        <v>11</v>
      </c>
      <c r="C624" s="5">
        <f t="shared" si="10"/>
        <v>49254</v>
      </c>
      <c r="D624" s="2">
        <v>45</v>
      </c>
      <c r="E624">
        <v>22</v>
      </c>
      <c r="G624" s="5" t="str">
        <f>IF(Dates_Ref[[#This Row],[Pay QCH]]&lt;&gt;E623,Dates_Ref[[#This Row],[Start]]+18,"")</f>
        <v/>
      </c>
      <c r="H624">
        <f>WEEKDAY(Dates_Ref[[#This Row],[Start]],2)</f>
        <v>1</v>
      </c>
      <c r="I624">
        <f>WEEKNUM(Dates_Ref[[#This Row],[Start]],21)</f>
        <v>45</v>
      </c>
    </row>
    <row r="625" spans="2:9" x14ac:dyDescent="0.25">
      <c r="B625">
        <f>MONTH(Dates_Ref[[#This Row],[Start]])</f>
        <v>11</v>
      </c>
      <c r="C625" s="5">
        <f t="shared" si="10"/>
        <v>49261</v>
      </c>
      <c r="D625" s="2">
        <v>46</v>
      </c>
      <c r="E625">
        <v>23</v>
      </c>
      <c r="F625" s="1">
        <v>49279</v>
      </c>
      <c r="G625" s="5">
        <f>IF(Dates_Ref[[#This Row],[Pay QCH]]&lt;&gt;E624,Dates_Ref[[#This Row],[Start]]+18,"")</f>
        <v>49279</v>
      </c>
      <c r="H625">
        <f>WEEKDAY(Dates_Ref[[#This Row],[Start]],2)</f>
        <v>1</v>
      </c>
      <c r="I625">
        <f>WEEKNUM(Dates_Ref[[#This Row],[Start]],21)</f>
        <v>46</v>
      </c>
    </row>
    <row r="626" spans="2:9" x14ac:dyDescent="0.25">
      <c r="B626">
        <f>MONTH(Dates_Ref[[#This Row],[Start]])</f>
        <v>11</v>
      </c>
      <c r="C626" s="5">
        <f t="shared" si="10"/>
        <v>49268</v>
      </c>
      <c r="D626" s="2">
        <v>47</v>
      </c>
      <c r="E626">
        <v>23</v>
      </c>
      <c r="G626" s="5" t="str">
        <f>IF(Dates_Ref[[#This Row],[Pay QCH]]&lt;&gt;E625,Dates_Ref[[#This Row],[Start]]+18,"")</f>
        <v/>
      </c>
      <c r="H626">
        <f>WEEKDAY(Dates_Ref[[#This Row],[Start]],2)</f>
        <v>1</v>
      </c>
      <c r="I626">
        <f>WEEKNUM(Dates_Ref[[#This Row],[Start]],21)</f>
        <v>47</v>
      </c>
    </row>
    <row r="627" spans="2:9" x14ac:dyDescent="0.25">
      <c r="B627">
        <f>MONTH(Dates_Ref[[#This Row],[Start]])</f>
        <v>11</v>
      </c>
      <c r="C627" s="5">
        <f t="shared" si="10"/>
        <v>49275</v>
      </c>
      <c r="D627" s="2">
        <v>48</v>
      </c>
      <c r="E627">
        <v>24</v>
      </c>
      <c r="F627" s="1">
        <v>49293</v>
      </c>
      <c r="G627" s="5">
        <f>IF(Dates_Ref[[#This Row],[Pay QCH]]&lt;&gt;E626,Dates_Ref[[#This Row],[Start]]+18,"")</f>
        <v>49293</v>
      </c>
      <c r="H627">
        <f>WEEKDAY(Dates_Ref[[#This Row],[Start]],2)</f>
        <v>1</v>
      </c>
      <c r="I627">
        <f>WEEKNUM(Dates_Ref[[#This Row],[Start]],21)</f>
        <v>48</v>
      </c>
    </row>
    <row r="628" spans="2:9" x14ac:dyDescent="0.25">
      <c r="B628">
        <f>MONTH(Dates_Ref[[#This Row],[Start]])</f>
        <v>12</v>
      </c>
      <c r="C628" s="5">
        <f t="shared" si="10"/>
        <v>49282</v>
      </c>
      <c r="D628" s="2">
        <v>49</v>
      </c>
      <c r="E628">
        <v>24</v>
      </c>
      <c r="G628" s="5" t="str">
        <f>IF(Dates_Ref[[#This Row],[Pay QCH]]&lt;&gt;E627,Dates_Ref[[#This Row],[Start]]+18,"")</f>
        <v/>
      </c>
      <c r="H628">
        <f>WEEKDAY(Dates_Ref[[#This Row],[Start]],2)</f>
        <v>1</v>
      </c>
      <c r="I628">
        <f>WEEKNUM(Dates_Ref[[#This Row],[Start]],21)</f>
        <v>49</v>
      </c>
    </row>
    <row r="629" spans="2:9" x14ac:dyDescent="0.25">
      <c r="B629">
        <f>MONTH(Dates_Ref[[#This Row],[Start]])</f>
        <v>12</v>
      </c>
      <c r="C629" s="5">
        <f t="shared" si="10"/>
        <v>49289</v>
      </c>
      <c r="D629" s="2">
        <v>50</v>
      </c>
      <c r="E629">
        <v>25</v>
      </c>
      <c r="F629" s="1">
        <v>49307</v>
      </c>
      <c r="G629" s="5">
        <f>IF(Dates_Ref[[#This Row],[Pay QCH]]&lt;&gt;E628,Dates_Ref[[#This Row],[Start]]+18,"")</f>
        <v>49307</v>
      </c>
      <c r="H629">
        <f>WEEKDAY(Dates_Ref[[#This Row],[Start]],2)</f>
        <v>1</v>
      </c>
      <c r="I629">
        <f>WEEKNUM(Dates_Ref[[#This Row],[Start]],21)</f>
        <v>50</v>
      </c>
    </row>
    <row r="630" spans="2:9" x14ac:dyDescent="0.25">
      <c r="B630">
        <f>MONTH(Dates_Ref[[#This Row],[Start]])</f>
        <v>12</v>
      </c>
      <c r="C630" s="5">
        <f t="shared" si="10"/>
        <v>49296</v>
      </c>
      <c r="D630" s="2">
        <v>51</v>
      </c>
      <c r="E630">
        <v>25</v>
      </c>
      <c r="G630" s="5" t="str">
        <f>IF(Dates_Ref[[#This Row],[Pay QCH]]&lt;&gt;E629,Dates_Ref[[#This Row],[Start]]+18,"")</f>
        <v/>
      </c>
      <c r="H630">
        <f>WEEKDAY(Dates_Ref[[#This Row],[Start]],2)</f>
        <v>1</v>
      </c>
      <c r="I630">
        <f>WEEKNUM(Dates_Ref[[#This Row],[Start]],21)</f>
        <v>51</v>
      </c>
    </row>
    <row r="631" spans="2:9" x14ac:dyDescent="0.25">
      <c r="B631">
        <f>MONTH(Dates_Ref[[#This Row],[Start]])</f>
        <v>12</v>
      </c>
      <c r="C631" s="5">
        <f t="shared" si="10"/>
        <v>49303</v>
      </c>
      <c r="D631" s="2">
        <v>52</v>
      </c>
      <c r="E631">
        <v>26</v>
      </c>
      <c r="F631" s="1">
        <v>49321</v>
      </c>
      <c r="G631" s="5">
        <f>IF(Dates_Ref[[#This Row],[Pay QCH]]&lt;&gt;E630,Dates_Ref[[#This Row],[Start]]+18,"")</f>
        <v>49321</v>
      </c>
      <c r="H631">
        <f>WEEKDAY(Dates_Ref[[#This Row],[Start]],2)</f>
        <v>1</v>
      </c>
      <c r="I631">
        <f>WEEKNUM(Dates_Ref[[#This Row],[Start]],21)</f>
        <v>52</v>
      </c>
    </row>
    <row r="632" spans="2:9" x14ac:dyDescent="0.25">
      <c r="B632">
        <f>MONTH(Dates_Ref[[#This Row],[Start]])</f>
        <v>1</v>
      </c>
      <c r="C632" s="5">
        <f t="shared" si="10"/>
        <v>49310</v>
      </c>
      <c r="D632" s="2">
        <v>1</v>
      </c>
      <c r="E632">
        <v>26</v>
      </c>
      <c r="G632" s="5" t="str">
        <f>IF(Dates_Ref[[#This Row],[Pay QCH]]&lt;&gt;E631,Dates_Ref[[#This Row],[Start]]+18,"")</f>
        <v/>
      </c>
      <c r="H632">
        <f>WEEKDAY(Dates_Ref[[#This Row],[Start]],2)</f>
        <v>1</v>
      </c>
      <c r="I632">
        <f>WEEKNUM(Dates_Ref[[#This Row],[Start]],21)</f>
        <v>1</v>
      </c>
    </row>
    <row r="633" spans="2:9" x14ac:dyDescent="0.25">
      <c r="B633">
        <f>MONTH(Dates_Ref[[#This Row],[Start]])</f>
        <v>1</v>
      </c>
      <c r="C633" s="5">
        <f t="shared" si="10"/>
        <v>49317</v>
      </c>
      <c r="D633" s="2">
        <v>2</v>
      </c>
      <c r="E633">
        <v>1</v>
      </c>
      <c r="F633" s="1">
        <v>49335</v>
      </c>
      <c r="G633" s="5">
        <f>IF(Dates_Ref[[#This Row],[Pay QCH]]&lt;&gt;E632,Dates_Ref[[#This Row],[Start]]+18,"")</f>
        <v>49335</v>
      </c>
      <c r="H633">
        <f>WEEKDAY(Dates_Ref[[#This Row],[Start]],2)</f>
        <v>1</v>
      </c>
      <c r="I633">
        <f>WEEKNUM(Dates_Ref[[#This Row],[Start]],21)</f>
        <v>2</v>
      </c>
    </row>
    <row r="634" spans="2:9" x14ac:dyDescent="0.25">
      <c r="B634">
        <f>MONTH(Dates_Ref[[#This Row],[Start]])</f>
        <v>1</v>
      </c>
      <c r="C634" s="5">
        <f t="shared" si="10"/>
        <v>49324</v>
      </c>
      <c r="D634" s="2">
        <v>3</v>
      </c>
      <c r="E634">
        <v>1</v>
      </c>
      <c r="G634" s="5" t="str">
        <f>IF(Dates_Ref[[#This Row],[Pay QCH]]&lt;&gt;E633,Dates_Ref[[#This Row],[Start]]+18,"")</f>
        <v/>
      </c>
      <c r="H634">
        <f>WEEKDAY(Dates_Ref[[#This Row],[Start]],2)</f>
        <v>1</v>
      </c>
      <c r="I634">
        <f>WEEKNUM(Dates_Ref[[#This Row],[Start]],21)</f>
        <v>3</v>
      </c>
    </row>
    <row r="635" spans="2:9" x14ac:dyDescent="0.25">
      <c r="B635">
        <f>MONTH(Dates_Ref[[#This Row],[Start]])</f>
        <v>1</v>
      </c>
      <c r="C635" s="5">
        <f t="shared" si="10"/>
        <v>49331</v>
      </c>
      <c r="D635" s="2">
        <v>4</v>
      </c>
      <c r="E635">
        <v>2</v>
      </c>
      <c r="F635" s="1">
        <v>49349</v>
      </c>
      <c r="G635" s="5">
        <f>IF(Dates_Ref[[#This Row],[Pay QCH]]&lt;&gt;E634,Dates_Ref[[#This Row],[Start]]+18,"")</f>
        <v>49349</v>
      </c>
      <c r="H635">
        <f>WEEKDAY(Dates_Ref[[#This Row],[Start]],2)</f>
        <v>1</v>
      </c>
      <c r="I635">
        <f>WEEKNUM(Dates_Ref[[#This Row],[Start]],21)</f>
        <v>4</v>
      </c>
    </row>
    <row r="636" spans="2:9" x14ac:dyDescent="0.25">
      <c r="B636">
        <f>MONTH(Dates_Ref[[#This Row],[Start]])</f>
        <v>1</v>
      </c>
      <c r="C636" s="5">
        <f t="shared" si="10"/>
        <v>49338</v>
      </c>
      <c r="D636" s="2">
        <v>5</v>
      </c>
      <c r="E636">
        <v>2</v>
      </c>
      <c r="G636" s="5" t="str">
        <f>IF(Dates_Ref[[#This Row],[Pay QCH]]&lt;&gt;E635,Dates_Ref[[#This Row],[Start]]+18,"")</f>
        <v/>
      </c>
      <c r="H636">
        <f>WEEKDAY(Dates_Ref[[#This Row],[Start]],2)</f>
        <v>1</v>
      </c>
      <c r="I636">
        <f>WEEKNUM(Dates_Ref[[#This Row],[Start]],21)</f>
        <v>5</v>
      </c>
    </row>
    <row r="637" spans="2:9" x14ac:dyDescent="0.25">
      <c r="B637">
        <f>MONTH(Dates_Ref[[#This Row],[Start]])</f>
        <v>2</v>
      </c>
      <c r="C637" s="5">
        <f t="shared" si="10"/>
        <v>49345</v>
      </c>
      <c r="D637" s="2">
        <v>6</v>
      </c>
      <c r="E637">
        <v>3</v>
      </c>
      <c r="F637" s="1">
        <v>49363</v>
      </c>
      <c r="G637" s="5">
        <f>IF(Dates_Ref[[#This Row],[Pay QCH]]&lt;&gt;E636,Dates_Ref[[#This Row],[Start]]+18,"")</f>
        <v>49363</v>
      </c>
      <c r="H637">
        <f>WEEKDAY(Dates_Ref[[#This Row],[Start]],2)</f>
        <v>1</v>
      </c>
      <c r="I637">
        <f>WEEKNUM(Dates_Ref[[#This Row],[Start]],21)</f>
        <v>6</v>
      </c>
    </row>
    <row r="638" spans="2:9" x14ac:dyDescent="0.25">
      <c r="B638">
        <f>MONTH(Dates_Ref[[#This Row],[Start]])</f>
        <v>2</v>
      </c>
      <c r="C638" s="5">
        <f t="shared" si="10"/>
        <v>49352</v>
      </c>
      <c r="D638" s="2">
        <v>7</v>
      </c>
      <c r="E638">
        <v>3</v>
      </c>
      <c r="G638" s="5" t="str">
        <f>IF(Dates_Ref[[#This Row],[Pay QCH]]&lt;&gt;E637,Dates_Ref[[#This Row],[Start]]+18,"")</f>
        <v/>
      </c>
      <c r="H638">
        <f>WEEKDAY(Dates_Ref[[#This Row],[Start]],2)</f>
        <v>1</v>
      </c>
      <c r="I638">
        <f>WEEKNUM(Dates_Ref[[#This Row],[Start]],21)</f>
        <v>7</v>
      </c>
    </row>
    <row r="639" spans="2:9" x14ac:dyDescent="0.25">
      <c r="B639">
        <f>MONTH(Dates_Ref[[#This Row],[Start]])</f>
        <v>2</v>
      </c>
      <c r="C639" s="5">
        <f t="shared" si="10"/>
        <v>49359</v>
      </c>
      <c r="D639" s="2">
        <v>8</v>
      </c>
      <c r="E639">
        <v>4</v>
      </c>
      <c r="F639" s="1">
        <v>49377</v>
      </c>
      <c r="G639" s="5">
        <f>IF(Dates_Ref[[#This Row],[Pay QCH]]&lt;&gt;E638,Dates_Ref[[#This Row],[Start]]+18,"")</f>
        <v>49377</v>
      </c>
      <c r="H639">
        <f>WEEKDAY(Dates_Ref[[#This Row],[Start]],2)</f>
        <v>1</v>
      </c>
      <c r="I639">
        <f>WEEKNUM(Dates_Ref[[#This Row],[Start]],21)</f>
        <v>8</v>
      </c>
    </row>
    <row r="640" spans="2:9" x14ac:dyDescent="0.25">
      <c r="B640">
        <f>MONTH(Dates_Ref[[#This Row],[Start]])</f>
        <v>2</v>
      </c>
      <c r="C640" s="5">
        <f t="shared" si="10"/>
        <v>49366</v>
      </c>
      <c r="D640" s="2">
        <v>9</v>
      </c>
      <c r="E640">
        <v>4</v>
      </c>
      <c r="G640" s="5" t="str">
        <f>IF(Dates_Ref[[#This Row],[Pay QCH]]&lt;&gt;E639,Dates_Ref[[#This Row],[Start]]+18,"")</f>
        <v/>
      </c>
      <c r="H640">
        <f>WEEKDAY(Dates_Ref[[#This Row],[Start]],2)</f>
        <v>1</v>
      </c>
      <c r="I640">
        <f>WEEKNUM(Dates_Ref[[#This Row],[Start]],21)</f>
        <v>9</v>
      </c>
    </row>
    <row r="641" spans="2:9" x14ac:dyDescent="0.25">
      <c r="B641">
        <f>MONTH(Dates_Ref[[#This Row],[Start]])</f>
        <v>3</v>
      </c>
      <c r="C641" s="5">
        <f t="shared" si="10"/>
        <v>49373</v>
      </c>
      <c r="D641" s="2">
        <v>10</v>
      </c>
      <c r="E641">
        <v>5</v>
      </c>
      <c r="F641" s="1">
        <v>49391</v>
      </c>
      <c r="G641" s="5">
        <f>IF(Dates_Ref[[#This Row],[Pay QCH]]&lt;&gt;E640,Dates_Ref[[#This Row],[Start]]+18,"")</f>
        <v>49391</v>
      </c>
      <c r="H641">
        <f>WEEKDAY(Dates_Ref[[#This Row],[Start]],2)</f>
        <v>1</v>
      </c>
      <c r="I641">
        <f>WEEKNUM(Dates_Ref[[#This Row],[Start]],21)</f>
        <v>10</v>
      </c>
    </row>
    <row r="642" spans="2:9" x14ac:dyDescent="0.25">
      <c r="B642">
        <f>MONTH(Dates_Ref[[#This Row],[Start]])</f>
        <v>3</v>
      </c>
      <c r="C642" s="5">
        <f t="shared" si="10"/>
        <v>49380</v>
      </c>
      <c r="D642" s="2">
        <v>11</v>
      </c>
      <c r="E642">
        <v>5</v>
      </c>
      <c r="G642" s="5" t="str">
        <f>IF(Dates_Ref[[#This Row],[Pay QCH]]&lt;&gt;E641,Dates_Ref[[#This Row],[Start]]+18,"")</f>
        <v/>
      </c>
      <c r="H642">
        <f>WEEKDAY(Dates_Ref[[#This Row],[Start]],2)</f>
        <v>1</v>
      </c>
      <c r="I642">
        <f>WEEKNUM(Dates_Ref[[#This Row],[Start]],21)</f>
        <v>11</v>
      </c>
    </row>
    <row r="643" spans="2:9" x14ac:dyDescent="0.25">
      <c r="B643">
        <f>MONTH(Dates_Ref[[#This Row],[Start]])</f>
        <v>3</v>
      </c>
      <c r="C643" s="5">
        <f t="shared" si="10"/>
        <v>49387</v>
      </c>
      <c r="D643" s="2">
        <v>12</v>
      </c>
      <c r="E643">
        <v>6</v>
      </c>
      <c r="F643" s="1">
        <v>49405</v>
      </c>
      <c r="G643" s="5">
        <f>IF(Dates_Ref[[#This Row],[Pay QCH]]&lt;&gt;E642,Dates_Ref[[#This Row],[Start]]+18,"")</f>
        <v>49405</v>
      </c>
      <c r="H643">
        <f>WEEKDAY(Dates_Ref[[#This Row],[Start]],2)</f>
        <v>1</v>
      </c>
      <c r="I643">
        <f>WEEKNUM(Dates_Ref[[#This Row],[Start]],21)</f>
        <v>12</v>
      </c>
    </row>
    <row r="644" spans="2:9" x14ac:dyDescent="0.25">
      <c r="B644">
        <f>MONTH(Dates_Ref[[#This Row],[Start]])</f>
        <v>3</v>
      </c>
      <c r="C644" s="5">
        <f t="shared" si="10"/>
        <v>49394</v>
      </c>
      <c r="D644" s="2">
        <v>13</v>
      </c>
      <c r="E644">
        <v>6</v>
      </c>
      <c r="G644" s="5" t="str">
        <f>IF(Dates_Ref[[#This Row],[Pay QCH]]&lt;&gt;E643,Dates_Ref[[#This Row],[Start]]+18,"")</f>
        <v/>
      </c>
      <c r="H644">
        <f>WEEKDAY(Dates_Ref[[#This Row],[Start]],2)</f>
        <v>1</v>
      </c>
      <c r="I644">
        <f>WEEKNUM(Dates_Ref[[#This Row],[Start]],21)</f>
        <v>13</v>
      </c>
    </row>
    <row r="645" spans="2:9" x14ac:dyDescent="0.25">
      <c r="B645">
        <f>MONTH(Dates_Ref[[#This Row],[Start]])</f>
        <v>4</v>
      </c>
      <c r="C645" s="5">
        <f t="shared" si="10"/>
        <v>49401</v>
      </c>
      <c r="D645" s="2">
        <v>14</v>
      </c>
      <c r="E645">
        <v>7</v>
      </c>
      <c r="F645" s="1">
        <v>49419</v>
      </c>
      <c r="G645" s="5">
        <f>IF(Dates_Ref[[#This Row],[Pay QCH]]&lt;&gt;E644,Dates_Ref[[#This Row],[Start]]+18,"")</f>
        <v>49419</v>
      </c>
      <c r="H645">
        <f>WEEKDAY(Dates_Ref[[#This Row],[Start]],2)</f>
        <v>1</v>
      </c>
      <c r="I645">
        <f>WEEKNUM(Dates_Ref[[#This Row],[Start]],21)</f>
        <v>14</v>
      </c>
    </row>
    <row r="646" spans="2:9" x14ac:dyDescent="0.25">
      <c r="B646">
        <f>MONTH(Dates_Ref[[#This Row],[Start]])</f>
        <v>4</v>
      </c>
      <c r="C646" s="5">
        <f t="shared" si="10"/>
        <v>49408</v>
      </c>
      <c r="D646" s="2">
        <v>15</v>
      </c>
      <c r="E646">
        <v>7</v>
      </c>
      <c r="G646" s="5" t="str">
        <f>IF(Dates_Ref[[#This Row],[Pay QCH]]&lt;&gt;E645,Dates_Ref[[#This Row],[Start]]+18,"")</f>
        <v/>
      </c>
      <c r="H646">
        <f>WEEKDAY(Dates_Ref[[#This Row],[Start]],2)</f>
        <v>1</v>
      </c>
      <c r="I646">
        <f>WEEKNUM(Dates_Ref[[#This Row],[Start]],21)</f>
        <v>15</v>
      </c>
    </row>
    <row r="647" spans="2:9" x14ac:dyDescent="0.25">
      <c r="B647">
        <f>MONTH(Dates_Ref[[#This Row],[Start]])</f>
        <v>4</v>
      </c>
      <c r="C647" s="5">
        <f t="shared" ref="C647:C710" si="11">C646+7</f>
        <v>49415</v>
      </c>
      <c r="D647" s="2">
        <v>16</v>
      </c>
      <c r="E647">
        <v>8</v>
      </c>
      <c r="F647" s="1">
        <v>49433</v>
      </c>
      <c r="G647" s="5">
        <f>IF(Dates_Ref[[#This Row],[Pay QCH]]&lt;&gt;E646,Dates_Ref[[#This Row],[Start]]+18,"")</f>
        <v>49433</v>
      </c>
      <c r="H647">
        <f>WEEKDAY(Dates_Ref[[#This Row],[Start]],2)</f>
        <v>1</v>
      </c>
      <c r="I647">
        <f>WEEKNUM(Dates_Ref[[#This Row],[Start]],21)</f>
        <v>16</v>
      </c>
    </row>
    <row r="648" spans="2:9" x14ac:dyDescent="0.25">
      <c r="B648">
        <f>MONTH(Dates_Ref[[#This Row],[Start]])</f>
        <v>4</v>
      </c>
      <c r="C648" s="5">
        <f t="shared" si="11"/>
        <v>49422</v>
      </c>
      <c r="D648" s="2">
        <v>17</v>
      </c>
      <c r="E648">
        <v>8</v>
      </c>
      <c r="G648" s="5" t="str">
        <f>IF(Dates_Ref[[#This Row],[Pay QCH]]&lt;&gt;E647,Dates_Ref[[#This Row],[Start]]+18,"")</f>
        <v/>
      </c>
      <c r="H648">
        <f>WEEKDAY(Dates_Ref[[#This Row],[Start]],2)</f>
        <v>1</v>
      </c>
      <c r="I648">
        <f>WEEKNUM(Dates_Ref[[#This Row],[Start]],21)</f>
        <v>17</v>
      </c>
    </row>
    <row r="649" spans="2:9" x14ac:dyDescent="0.25">
      <c r="B649">
        <f>MONTH(Dates_Ref[[#This Row],[Start]])</f>
        <v>4</v>
      </c>
      <c r="C649" s="5">
        <f t="shared" si="11"/>
        <v>49429</v>
      </c>
      <c r="D649" s="2">
        <v>18</v>
      </c>
      <c r="E649">
        <v>9</v>
      </c>
      <c r="F649" s="1">
        <v>49447</v>
      </c>
      <c r="G649" s="5">
        <f>IF(Dates_Ref[[#This Row],[Pay QCH]]&lt;&gt;E648,Dates_Ref[[#This Row],[Start]]+18,"")</f>
        <v>49447</v>
      </c>
      <c r="H649">
        <f>WEEKDAY(Dates_Ref[[#This Row],[Start]],2)</f>
        <v>1</v>
      </c>
      <c r="I649">
        <f>WEEKNUM(Dates_Ref[[#This Row],[Start]],21)</f>
        <v>18</v>
      </c>
    </row>
    <row r="650" spans="2:9" x14ac:dyDescent="0.25">
      <c r="B650">
        <f>MONTH(Dates_Ref[[#This Row],[Start]])</f>
        <v>5</v>
      </c>
      <c r="C650" s="5">
        <f t="shared" si="11"/>
        <v>49436</v>
      </c>
      <c r="D650" s="2">
        <v>19</v>
      </c>
      <c r="E650">
        <v>9</v>
      </c>
      <c r="G650" s="5" t="str">
        <f>IF(Dates_Ref[[#This Row],[Pay QCH]]&lt;&gt;E649,Dates_Ref[[#This Row],[Start]]+18,"")</f>
        <v/>
      </c>
      <c r="H650">
        <f>WEEKDAY(Dates_Ref[[#This Row],[Start]],2)</f>
        <v>1</v>
      </c>
      <c r="I650">
        <f>WEEKNUM(Dates_Ref[[#This Row],[Start]],21)</f>
        <v>19</v>
      </c>
    </row>
    <row r="651" spans="2:9" x14ac:dyDescent="0.25">
      <c r="B651">
        <f>MONTH(Dates_Ref[[#This Row],[Start]])</f>
        <v>5</v>
      </c>
      <c r="C651" s="5">
        <f t="shared" si="11"/>
        <v>49443</v>
      </c>
      <c r="D651" s="2">
        <v>20</v>
      </c>
      <c r="E651">
        <v>10</v>
      </c>
      <c r="F651" s="1">
        <v>49461</v>
      </c>
      <c r="G651" s="5">
        <f>IF(Dates_Ref[[#This Row],[Pay QCH]]&lt;&gt;E650,Dates_Ref[[#This Row],[Start]]+18,"")</f>
        <v>49461</v>
      </c>
      <c r="H651">
        <f>WEEKDAY(Dates_Ref[[#This Row],[Start]],2)</f>
        <v>1</v>
      </c>
      <c r="I651">
        <f>WEEKNUM(Dates_Ref[[#This Row],[Start]],21)</f>
        <v>20</v>
      </c>
    </row>
    <row r="652" spans="2:9" x14ac:dyDescent="0.25">
      <c r="B652">
        <f>MONTH(Dates_Ref[[#This Row],[Start]])</f>
        <v>5</v>
      </c>
      <c r="C652" s="5">
        <f t="shared" si="11"/>
        <v>49450</v>
      </c>
      <c r="D652" s="2">
        <v>21</v>
      </c>
      <c r="E652">
        <v>10</v>
      </c>
      <c r="G652" s="5" t="str">
        <f>IF(Dates_Ref[[#This Row],[Pay QCH]]&lt;&gt;E651,Dates_Ref[[#This Row],[Start]]+18,"")</f>
        <v/>
      </c>
      <c r="H652">
        <f>WEEKDAY(Dates_Ref[[#This Row],[Start]],2)</f>
        <v>1</v>
      </c>
      <c r="I652">
        <f>WEEKNUM(Dates_Ref[[#This Row],[Start]],21)</f>
        <v>21</v>
      </c>
    </row>
    <row r="653" spans="2:9" x14ac:dyDescent="0.25">
      <c r="B653">
        <f>MONTH(Dates_Ref[[#This Row],[Start]])</f>
        <v>5</v>
      </c>
      <c r="C653" s="5">
        <f t="shared" si="11"/>
        <v>49457</v>
      </c>
      <c r="D653" s="2">
        <v>22</v>
      </c>
      <c r="E653">
        <v>11</v>
      </c>
      <c r="F653" s="1">
        <v>49475</v>
      </c>
      <c r="G653" s="5">
        <f>IF(Dates_Ref[[#This Row],[Pay QCH]]&lt;&gt;E652,Dates_Ref[[#This Row],[Start]]+18,"")</f>
        <v>49475</v>
      </c>
      <c r="H653">
        <f>WEEKDAY(Dates_Ref[[#This Row],[Start]],2)</f>
        <v>1</v>
      </c>
      <c r="I653">
        <f>WEEKNUM(Dates_Ref[[#This Row],[Start]],21)</f>
        <v>22</v>
      </c>
    </row>
    <row r="654" spans="2:9" x14ac:dyDescent="0.25">
      <c r="B654">
        <f>MONTH(Dates_Ref[[#This Row],[Start]])</f>
        <v>6</v>
      </c>
      <c r="C654" s="5">
        <f t="shared" si="11"/>
        <v>49464</v>
      </c>
      <c r="D654" s="2">
        <v>23</v>
      </c>
      <c r="E654">
        <v>11</v>
      </c>
      <c r="G654" s="5" t="str">
        <f>IF(Dates_Ref[[#This Row],[Pay QCH]]&lt;&gt;E653,Dates_Ref[[#This Row],[Start]]+18,"")</f>
        <v/>
      </c>
      <c r="H654">
        <f>WEEKDAY(Dates_Ref[[#This Row],[Start]],2)</f>
        <v>1</v>
      </c>
      <c r="I654">
        <f>WEEKNUM(Dates_Ref[[#This Row],[Start]],21)</f>
        <v>23</v>
      </c>
    </row>
    <row r="655" spans="2:9" x14ac:dyDescent="0.25">
      <c r="B655">
        <f>MONTH(Dates_Ref[[#This Row],[Start]])</f>
        <v>6</v>
      </c>
      <c r="C655" s="5">
        <f t="shared" si="11"/>
        <v>49471</v>
      </c>
      <c r="D655" s="2">
        <v>24</v>
      </c>
      <c r="E655">
        <v>12</v>
      </c>
      <c r="F655" s="1">
        <v>49489</v>
      </c>
      <c r="G655" s="5">
        <f>IF(Dates_Ref[[#This Row],[Pay QCH]]&lt;&gt;E654,Dates_Ref[[#This Row],[Start]]+18,"")</f>
        <v>49489</v>
      </c>
      <c r="H655">
        <f>WEEKDAY(Dates_Ref[[#This Row],[Start]],2)</f>
        <v>1</v>
      </c>
      <c r="I655">
        <f>WEEKNUM(Dates_Ref[[#This Row],[Start]],21)</f>
        <v>24</v>
      </c>
    </row>
    <row r="656" spans="2:9" x14ac:dyDescent="0.25">
      <c r="B656">
        <f>MONTH(Dates_Ref[[#This Row],[Start]])</f>
        <v>6</v>
      </c>
      <c r="C656" s="5">
        <f t="shared" si="11"/>
        <v>49478</v>
      </c>
      <c r="D656" s="2">
        <v>25</v>
      </c>
      <c r="E656">
        <v>12</v>
      </c>
      <c r="G656" s="5" t="str">
        <f>IF(Dates_Ref[[#This Row],[Pay QCH]]&lt;&gt;E655,Dates_Ref[[#This Row],[Start]]+18,"")</f>
        <v/>
      </c>
      <c r="H656">
        <f>WEEKDAY(Dates_Ref[[#This Row],[Start]],2)</f>
        <v>1</v>
      </c>
      <c r="I656">
        <f>WEEKNUM(Dates_Ref[[#This Row],[Start]],21)</f>
        <v>25</v>
      </c>
    </row>
    <row r="657" spans="2:9" x14ac:dyDescent="0.25">
      <c r="B657">
        <f>MONTH(Dates_Ref[[#This Row],[Start]])</f>
        <v>6</v>
      </c>
      <c r="C657" s="5">
        <f t="shared" si="11"/>
        <v>49485</v>
      </c>
      <c r="D657" s="2">
        <v>26</v>
      </c>
      <c r="E657">
        <v>13</v>
      </c>
      <c r="F657" s="1">
        <v>49503</v>
      </c>
      <c r="G657" s="5">
        <f>IF(Dates_Ref[[#This Row],[Pay QCH]]&lt;&gt;E656,Dates_Ref[[#This Row],[Start]]+18,"")</f>
        <v>49503</v>
      </c>
      <c r="H657">
        <f>WEEKDAY(Dates_Ref[[#This Row],[Start]],2)</f>
        <v>1</v>
      </c>
      <c r="I657">
        <f>WEEKNUM(Dates_Ref[[#This Row],[Start]],21)</f>
        <v>26</v>
      </c>
    </row>
    <row r="658" spans="2:9" x14ac:dyDescent="0.25">
      <c r="B658">
        <f>MONTH(Dates_Ref[[#This Row],[Start]])</f>
        <v>7</v>
      </c>
      <c r="C658" s="5">
        <f t="shared" si="11"/>
        <v>49492</v>
      </c>
      <c r="D658" s="2">
        <v>27</v>
      </c>
      <c r="E658">
        <v>13</v>
      </c>
      <c r="G658" s="5" t="str">
        <f>IF(Dates_Ref[[#This Row],[Pay QCH]]&lt;&gt;E657,Dates_Ref[[#This Row],[Start]]+18,"")</f>
        <v/>
      </c>
      <c r="H658">
        <f>WEEKDAY(Dates_Ref[[#This Row],[Start]],2)</f>
        <v>1</v>
      </c>
      <c r="I658">
        <f>WEEKNUM(Dates_Ref[[#This Row],[Start]],21)</f>
        <v>27</v>
      </c>
    </row>
    <row r="659" spans="2:9" x14ac:dyDescent="0.25">
      <c r="B659">
        <f>MONTH(Dates_Ref[[#This Row],[Start]])</f>
        <v>7</v>
      </c>
      <c r="C659" s="5">
        <f t="shared" si="11"/>
        <v>49499</v>
      </c>
      <c r="D659" s="2">
        <v>28</v>
      </c>
      <c r="E659">
        <v>14</v>
      </c>
      <c r="F659" s="1">
        <v>49517</v>
      </c>
      <c r="G659" s="5">
        <f>IF(Dates_Ref[[#This Row],[Pay QCH]]&lt;&gt;E658,Dates_Ref[[#This Row],[Start]]+18,"")</f>
        <v>49517</v>
      </c>
      <c r="H659">
        <f>WEEKDAY(Dates_Ref[[#This Row],[Start]],2)</f>
        <v>1</v>
      </c>
      <c r="I659">
        <f>WEEKNUM(Dates_Ref[[#This Row],[Start]],21)</f>
        <v>28</v>
      </c>
    </row>
    <row r="660" spans="2:9" x14ac:dyDescent="0.25">
      <c r="B660">
        <f>MONTH(Dates_Ref[[#This Row],[Start]])</f>
        <v>7</v>
      </c>
      <c r="C660" s="5">
        <f t="shared" si="11"/>
        <v>49506</v>
      </c>
      <c r="D660" s="2">
        <v>29</v>
      </c>
      <c r="E660">
        <v>14</v>
      </c>
      <c r="G660" s="5" t="str">
        <f>IF(Dates_Ref[[#This Row],[Pay QCH]]&lt;&gt;E659,Dates_Ref[[#This Row],[Start]]+18,"")</f>
        <v/>
      </c>
      <c r="H660">
        <f>WEEKDAY(Dates_Ref[[#This Row],[Start]],2)</f>
        <v>1</v>
      </c>
      <c r="I660">
        <f>WEEKNUM(Dates_Ref[[#This Row],[Start]],21)</f>
        <v>29</v>
      </c>
    </row>
    <row r="661" spans="2:9" x14ac:dyDescent="0.25">
      <c r="B661">
        <f>MONTH(Dates_Ref[[#This Row],[Start]])</f>
        <v>7</v>
      </c>
      <c r="C661" s="5">
        <f t="shared" si="11"/>
        <v>49513</v>
      </c>
      <c r="D661" s="2">
        <v>30</v>
      </c>
      <c r="E661">
        <v>15</v>
      </c>
      <c r="F661" s="1">
        <v>49531</v>
      </c>
      <c r="G661" s="5">
        <f>IF(Dates_Ref[[#This Row],[Pay QCH]]&lt;&gt;E660,Dates_Ref[[#This Row],[Start]]+18,"")</f>
        <v>49531</v>
      </c>
      <c r="H661">
        <f>WEEKDAY(Dates_Ref[[#This Row],[Start]],2)</f>
        <v>1</v>
      </c>
      <c r="I661">
        <f>WEEKNUM(Dates_Ref[[#This Row],[Start]],21)</f>
        <v>30</v>
      </c>
    </row>
    <row r="662" spans="2:9" x14ac:dyDescent="0.25">
      <c r="B662">
        <f>MONTH(Dates_Ref[[#This Row],[Start]])</f>
        <v>7</v>
      </c>
      <c r="C662" s="5">
        <f t="shared" si="11"/>
        <v>49520</v>
      </c>
      <c r="D662" s="2">
        <v>31</v>
      </c>
      <c r="E662">
        <v>15</v>
      </c>
      <c r="G662" s="5" t="str">
        <f>IF(Dates_Ref[[#This Row],[Pay QCH]]&lt;&gt;E661,Dates_Ref[[#This Row],[Start]]+18,"")</f>
        <v/>
      </c>
      <c r="H662">
        <f>WEEKDAY(Dates_Ref[[#This Row],[Start]],2)</f>
        <v>1</v>
      </c>
      <c r="I662">
        <f>WEEKNUM(Dates_Ref[[#This Row],[Start]],21)</f>
        <v>31</v>
      </c>
    </row>
    <row r="663" spans="2:9" x14ac:dyDescent="0.25">
      <c r="B663">
        <f>MONTH(Dates_Ref[[#This Row],[Start]])</f>
        <v>8</v>
      </c>
      <c r="C663" s="5">
        <f t="shared" si="11"/>
        <v>49527</v>
      </c>
      <c r="D663" s="2">
        <v>32</v>
      </c>
      <c r="E663">
        <v>16</v>
      </c>
      <c r="F663" s="1">
        <v>49545</v>
      </c>
      <c r="G663" s="5">
        <f>IF(Dates_Ref[[#This Row],[Pay QCH]]&lt;&gt;E662,Dates_Ref[[#This Row],[Start]]+18,"")</f>
        <v>49545</v>
      </c>
      <c r="H663">
        <f>WEEKDAY(Dates_Ref[[#This Row],[Start]],2)</f>
        <v>1</v>
      </c>
      <c r="I663">
        <f>WEEKNUM(Dates_Ref[[#This Row],[Start]],21)</f>
        <v>32</v>
      </c>
    </row>
    <row r="664" spans="2:9" x14ac:dyDescent="0.25">
      <c r="B664">
        <f>MONTH(Dates_Ref[[#This Row],[Start]])</f>
        <v>8</v>
      </c>
      <c r="C664" s="5">
        <f t="shared" si="11"/>
        <v>49534</v>
      </c>
      <c r="D664" s="2">
        <v>33</v>
      </c>
      <c r="E664">
        <v>16</v>
      </c>
      <c r="G664" s="5" t="str">
        <f>IF(Dates_Ref[[#This Row],[Pay QCH]]&lt;&gt;E663,Dates_Ref[[#This Row],[Start]]+18,"")</f>
        <v/>
      </c>
      <c r="H664">
        <f>WEEKDAY(Dates_Ref[[#This Row],[Start]],2)</f>
        <v>1</v>
      </c>
      <c r="I664">
        <f>WEEKNUM(Dates_Ref[[#This Row],[Start]],21)</f>
        <v>33</v>
      </c>
    </row>
    <row r="665" spans="2:9" x14ac:dyDescent="0.25">
      <c r="B665">
        <f>MONTH(Dates_Ref[[#This Row],[Start]])</f>
        <v>8</v>
      </c>
      <c r="C665" s="5">
        <f t="shared" si="11"/>
        <v>49541</v>
      </c>
      <c r="D665" s="2">
        <v>34</v>
      </c>
      <c r="E665">
        <v>17</v>
      </c>
      <c r="F665" s="1">
        <v>49559</v>
      </c>
      <c r="G665" s="5">
        <f>IF(Dates_Ref[[#This Row],[Pay QCH]]&lt;&gt;E664,Dates_Ref[[#This Row],[Start]]+18,"")</f>
        <v>49559</v>
      </c>
      <c r="H665">
        <f>WEEKDAY(Dates_Ref[[#This Row],[Start]],2)</f>
        <v>1</v>
      </c>
      <c r="I665">
        <f>WEEKNUM(Dates_Ref[[#This Row],[Start]],21)</f>
        <v>34</v>
      </c>
    </row>
    <row r="666" spans="2:9" x14ac:dyDescent="0.25">
      <c r="B666">
        <f>MONTH(Dates_Ref[[#This Row],[Start]])</f>
        <v>8</v>
      </c>
      <c r="C666" s="5">
        <f t="shared" si="11"/>
        <v>49548</v>
      </c>
      <c r="D666" s="2">
        <v>35</v>
      </c>
      <c r="E666">
        <v>17</v>
      </c>
      <c r="G666" s="5" t="str">
        <f>IF(Dates_Ref[[#This Row],[Pay QCH]]&lt;&gt;E665,Dates_Ref[[#This Row],[Start]]+18,"")</f>
        <v/>
      </c>
      <c r="H666">
        <f>WEEKDAY(Dates_Ref[[#This Row],[Start]],2)</f>
        <v>1</v>
      </c>
      <c r="I666">
        <f>WEEKNUM(Dates_Ref[[#This Row],[Start]],21)</f>
        <v>35</v>
      </c>
    </row>
    <row r="667" spans="2:9" x14ac:dyDescent="0.25">
      <c r="B667">
        <f>MONTH(Dates_Ref[[#This Row],[Start]])</f>
        <v>9</v>
      </c>
      <c r="C667" s="5">
        <f t="shared" si="11"/>
        <v>49555</v>
      </c>
      <c r="D667" s="2">
        <v>36</v>
      </c>
      <c r="E667">
        <v>18</v>
      </c>
      <c r="F667" s="1">
        <v>49573</v>
      </c>
      <c r="G667" s="5">
        <f>IF(Dates_Ref[[#This Row],[Pay QCH]]&lt;&gt;E666,Dates_Ref[[#This Row],[Start]]+18,"")</f>
        <v>49573</v>
      </c>
      <c r="H667">
        <f>WEEKDAY(Dates_Ref[[#This Row],[Start]],2)</f>
        <v>1</v>
      </c>
      <c r="I667">
        <f>WEEKNUM(Dates_Ref[[#This Row],[Start]],21)</f>
        <v>36</v>
      </c>
    </row>
    <row r="668" spans="2:9" x14ac:dyDescent="0.25">
      <c r="B668">
        <f>MONTH(Dates_Ref[[#This Row],[Start]])</f>
        <v>9</v>
      </c>
      <c r="C668" s="5">
        <f t="shared" si="11"/>
        <v>49562</v>
      </c>
      <c r="D668" s="2">
        <v>37</v>
      </c>
      <c r="E668">
        <v>18</v>
      </c>
      <c r="G668" s="5" t="str">
        <f>IF(Dates_Ref[[#This Row],[Pay QCH]]&lt;&gt;E667,Dates_Ref[[#This Row],[Start]]+18,"")</f>
        <v/>
      </c>
      <c r="H668">
        <f>WEEKDAY(Dates_Ref[[#This Row],[Start]],2)</f>
        <v>1</v>
      </c>
      <c r="I668">
        <f>WEEKNUM(Dates_Ref[[#This Row],[Start]],21)</f>
        <v>37</v>
      </c>
    </row>
    <row r="669" spans="2:9" x14ac:dyDescent="0.25">
      <c r="B669">
        <f>MONTH(Dates_Ref[[#This Row],[Start]])</f>
        <v>9</v>
      </c>
      <c r="C669" s="5">
        <f t="shared" si="11"/>
        <v>49569</v>
      </c>
      <c r="D669" s="2">
        <v>38</v>
      </c>
      <c r="E669">
        <v>19</v>
      </c>
      <c r="F669" s="1">
        <v>49587</v>
      </c>
      <c r="G669" s="5">
        <f>IF(Dates_Ref[[#This Row],[Pay QCH]]&lt;&gt;E668,Dates_Ref[[#This Row],[Start]]+18,"")</f>
        <v>49587</v>
      </c>
      <c r="H669">
        <f>WEEKDAY(Dates_Ref[[#This Row],[Start]],2)</f>
        <v>1</v>
      </c>
      <c r="I669">
        <f>WEEKNUM(Dates_Ref[[#This Row],[Start]],21)</f>
        <v>38</v>
      </c>
    </row>
    <row r="670" spans="2:9" x14ac:dyDescent="0.25">
      <c r="B670">
        <f>MONTH(Dates_Ref[[#This Row],[Start]])</f>
        <v>9</v>
      </c>
      <c r="C670" s="5">
        <f t="shared" si="11"/>
        <v>49576</v>
      </c>
      <c r="D670" s="2">
        <v>39</v>
      </c>
      <c r="E670">
        <v>19</v>
      </c>
      <c r="G670" s="5" t="str">
        <f>IF(Dates_Ref[[#This Row],[Pay QCH]]&lt;&gt;E669,Dates_Ref[[#This Row],[Start]]+18,"")</f>
        <v/>
      </c>
      <c r="H670">
        <f>WEEKDAY(Dates_Ref[[#This Row],[Start]],2)</f>
        <v>1</v>
      </c>
      <c r="I670">
        <f>WEEKNUM(Dates_Ref[[#This Row],[Start]],21)</f>
        <v>39</v>
      </c>
    </row>
    <row r="671" spans="2:9" x14ac:dyDescent="0.25">
      <c r="B671">
        <f>MONTH(Dates_Ref[[#This Row],[Start]])</f>
        <v>10</v>
      </c>
      <c r="C671" s="5">
        <f t="shared" si="11"/>
        <v>49583</v>
      </c>
      <c r="D671" s="2">
        <v>40</v>
      </c>
      <c r="E671">
        <v>20</v>
      </c>
      <c r="F671" s="1">
        <v>49601</v>
      </c>
      <c r="G671" s="5">
        <f>IF(Dates_Ref[[#This Row],[Pay QCH]]&lt;&gt;E670,Dates_Ref[[#This Row],[Start]]+18,"")</f>
        <v>49601</v>
      </c>
      <c r="H671">
        <f>WEEKDAY(Dates_Ref[[#This Row],[Start]],2)</f>
        <v>1</v>
      </c>
      <c r="I671">
        <f>WEEKNUM(Dates_Ref[[#This Row],[Start]],21)</f>
        <v>40</v>
      </c>
    </row>
    <row r="672" spans="2:9" x14ac:dyDescent="0.25">
      <c r="B672">
        <f>MONTH(Dates_Ref[[#This Row],[Start]])</f>
        <v>10</v>
      </c>
      <c r="C672" s="5">
        <f t="shared" si="11"/>
        <v>49590</v>
      </c>
      <c r="D672" s="2">
        <v>41</v>
      </c>
      <c r="E672">
        <v>20</v>
      </c>
      <c r="G672" s="5" t="str">
        <f>IF(Dates_Ref[[#This Row],[Pay QCH]]&lt;&gt;E671,Dates_Ref[[#This Row],[Start]]+18,"")</f>
        <v/>
      </c>
      <c r="H672">
        <f>WEEKDAY(Dates_Ref[[#This Row],[Start]],2)</f>
        <v>1</v>
      </c>
      <c r="I672">
        <f>WEEKNUM(Dates_Ref[[#This Row],[Start]],21)</f>
        <v>41</v>
      </c>
    </row>
    <row r="673" spans="2:9" x14ac:dyDescent="0.25">
      <c r="B673">
        <f>MONTH(Dates_Ref[[#This Row],[Start]])</f>
        <v>10</v>
      </c>
      <c r="C673" s="5">
        <f t="shared" si="11"/>
        <v>49597</v>
      </c>
      <c r="D673" s="2">
        <v>42</v>
      </c>
      <c r="E673">
        <v>21</v>
      </c>
      <c r="F673" s="1">
        <v>49615</v>
      </c>
      <c r="G673" s="5">
        <f>IF(Dates_Ref[[#This Row],[Pay QCH]]&lt;&gt;E672,Dates_Ref[[#This Row],[Start]]+18,"")</f>
        <v>49615</v>
      </c>
      <c r="H673">
        <f>WEEKDAY(Dates_Ref[[#This Row],[Start]],2)</f>
        <v>1</v>
      </c>
      <c r="I673">
        <f>WEEKNUM(Dates_Ref[[#This Row],[Start]],21)</f>
        <v>42</v>
      </c>
    </row>
    <row r="674" spans="2:9" x14ac:dyDescent="0.25">
      <c r="B674">
        <f>MONTH(Dates_Ref[[#This Row],[Start]])</f>
        <v>10</v>
      </c>
      <c r="C674" s="5">
        <f t="shared" si="11"/>
        <v>49604</v>
      </c>
      <c r="D674" s="2">
        <v>43</v>
      </c>
      <c r="E674">
        <v>21</v>
      </c>
      <c r="G674" s="5" t="str">
        <f>IF(Dates_Ref[[#This Row],[Pay QCH]]&lt;&gt;E673,Dates_Ref[[#This Row],[Start]]+18,"")</f>
        <v/>
      </c>
      <c r="H674">
        <f>WEEKDAY(Dates_Ref[[#This Row],[Start]],2)</f>
        <v>1</v>
      </c>
      <c r="I674">
        <f>WEEKNUM(Dates_Ref[[#This Row],[Start]],21)</f>
        <v>43</v>
      </c>
    </row>
    <row r="675" spans="2:9" x14ac:dyDescent="0.25">
      <c r="B675">
        <f>MONTH(Dates_Ref[[#This Row],[Start]])</f>
        <v>10</v>
      </c>
      <c r="C675" s="5">
        <f t="shared" si="11"/>
        <v>49611</v>
      </c>
      <c r="D675" s="2">
        <v>44</v>
      </c>
      <c r="E675">
        <v>22</v>
      </c>
      <c r="F675" s="1">
        <v>49629</v>
      </c>
      <c r="G675" s="5">
        <f>IF(Dates_Ref[[#This Row],[Pay QCH]]&lt;&gt;E674,Dates_Ref[[#This Row],[Start]]+18,"")</f>
        <v>49629</v>
      </c>
      <c r="H675">
        <f>WEEKDAY(Dates_Ref[[#This Row],[Start]],2)</f>
        <v>1</v>
      </c>
      <c r="I675">
        <f>WEEKNUM(Dates_Ref[[#This Row],[Start]],21)</f>
        <v>44</v>
      </c>
    </row>
    <row r="676" spans="2:9" x14ac:dyDescent="0.25">
      <c r="B676">
        <f>MONTH(Dates_Ref[[#This Row],[Start]])</f>
        <v>11</v>
      </c>
      <c r="C676" s="5">
        <f t="shared" si="11"/>
        <v>49618</v>
      </c>
      <c r="D676" s="2">
        <v>45</v>
      </c>
      <c r="E676">
        <v>22</v>
      </c>
      <c r="G676" s="5" t="str">
        <f>IF(Dates_Ref[[#This Row],[Pay QCH]]&lt;&gt;E675,Dates_Ref[[#This Row],[Start]]+18,"")</f>
        <v/>
      </c>
      <c r="H676">
        <f>WEEKDAY(Dates_Ref[[#This Row],[Start]],2)</f>
        <v>1</v>
      </c>
      <c r="I676">
        <f>WEEKNUM(Dates_Ref[[#This Row],[Start]],21)</f>
        <v>45</v>
      </c>
    </row>
    <row r="677" spans="2:9" x14ac:dyDescent="0.25">
      <c r="B677">
        <f>MONTH(Dates_Ref[[#This Row],[Start]])</f>
        <v>11</v>
      </c>
      <c r="C677" s="5">
        <f t="shared" si="11"/>
        <v>49625</v>
      </c>
      <c r="D677" s="2">
        <v>46</v>
      </c>
      <c r="E677">
        <v>23</v>
      </c>
      <c r="F677" s="1">
        <v>49643</v>
      </c>
      <c r="G677" s="5">
        <f>IF(Dates_Ref[[#This Row],[Pay QCH]]&lt;&gt;E676,Dates_Ref[[#This Row],[Start]]+18,"")</f>
        <v>49643</v>
      </c>
      <c r="H677">
        <f>WEEKDAY(Dates_Ref[[#This Row],[Start]],2)</f>
        <v>1</v>
      </c>
      <c r="I677">
        <f>WEEKNUM(Dates_Ref[[#This Row],[Start]],21)</f>
        <v>46</v>
      </c>
    </row>
    <row r="678" spans="2:9" x14ac:dyDescent="0.25">
      <c r="B678">
        <f>MONTH(Dates_Ref[[#This Row],[Start]])</f>
        <v>11</v>
      </c>
      <c r="C678" s="5">
        <f t="shared" si="11"/>
        <v>49632</v>
      </c>
      <c r="D678" s="2">
        <v>47</v>
      </c>
      <c r="E678">
        <v>23</v>
      </c>
      <c r="G678" s="5" t="str">
        <f>IF(Dates_Ref[[#This Row],[Pay QCH]]&lt;&gt;E677,Dates_Ref[[#This Row],[Start]]+18,"")</f>
        <v/>
      </c>
      <c r="H678">
        <f>WEEKDAY(Dates_Ref[[#This Row],[Start]],2)</f>
        <v>1</v>
      </c>
      <c r="I678">
        <f>WEEKNUM(Dates_Ref[[#This Row],[Start]],21)</f>
        <v>47</v>
      </c>
    </row>
    <row r="679" spans="2:9" x14ac:dyDescent="0.25">
      <c r="B679">
        <f>MONTH(Dates_Ref[[#This Row],[Start]])</f>
        <v>11</v>
      </c>
      <c r="C679" s="5">
        <f t="shared" si="11"/>
        <v>49639</v>
      </c>
      <c r="D679" s="2">
        <v>48</v>
      </c>
      <c r="E679">
        <v>24</v>
      </c>
      <c r="F679" s="1">
        <v>49657</v>
      </c>
      <c r="G679" s="5">
        <f>IF(Dates_Ref[[#This Row],[Pay QCH]]&lt;&gt;E678,Dates_Ref[[#This Row],[Start]]+18,"")</f>
        <v>49657</v>
      </c>
      <c r="H679">
        <f>WEEKDAY(Dates_Ref[[#This Row],[Start]],2)</f>
        <v>1</v>
      </c>
      <c r="I679">
        <f>WEEKNUM(Dates_Ref[[#This Row],[Start]],21)</f>
        <v>48</v>
      </c>
    </row>
    <row r="680" spans="2:9" x14ac:dyDescent="0.25">
      <c r="B680">
        <f>MONTH(Dates_Ref[[#This Row],[Start]])</f>
        <v>12</v>
      </c>
      <c r="C680" s="5">
        <f t="shared" si="11"/>
        <v>49646</v>
      </c>
      <c r="D680" s="2">
        <v>49</v>
      </c>
      <c r="E680">
        <v>24</v>
      </c>
      <c r="G680" s="5" t="str">
        <f>IF(Dates_Ref[[#This Row],[Pay QCH]]&lt;&gt;E679,Dates_Ref[[#This Row],[Start]]+18,"")</f>
        <v/>
      </c>
      <c r="H680">
        <f>WEEKDAY(Dates_Ref[[#This Row],[Start]],2)</f>
        <v>1</v>
      </c>
      <c r="I680">
        <f>WEEKNUM(Dates_Ref[[#This Row],[Start]],21)</f>
        <v>49</v>
      </c>
    </row>
    <row r="681" spans="2:9" x14ac:dyDescent="0.25">
      <c r="B681">
        <f>MONTH(Dates_Ref[[#This Row],[Start]])</f>
        <v>12</v>
      </c>
      <c r="C681" s="5">
        <f t="shared" si="11"/>
        <v>49653</v>
      </c>
      <c r="D681" s="2">
        <v>50</v>
      </c>
      <c r="E681">
        <v>25</v>
      </c>
      <c r="F681" s="1">
        <v>49671</v>
      </c>
      <c r="G681" s="5">
        <f>IF(Dates_Ref[[#This Row],[Pay QCH]]&lt;&gt;E680,Dates_Ref[[#This Row],[Start]]+18,"")</f>
        <v>49671</v>
      </c>
      <c r="H681">
        <f>WEEKDAY(Dates_Ref[[#This Row],[Start]],2)</f>
        <v>1</v>
      </c>
      <c r="I681">
        <f>WEEKNUM(Dates_Ref[[#This Row],[Start]],21)</f>
        <v>50</v>
      </c>
    </row>
    <row r="682" spans="2:9" x14ac:dyDescent="0.25">
      <c r="B682">
        <f>MONTH(Dates_Ref[[#This Row],[Start]])</f>
        <v>12</v>
      </c>
      <c r="C682" s="5">
        <f t="shared" si="11"/>
        <v>49660</v>
      </c>
      <c r="D682" s="2">
        <v>51</v>
      </c>
      <c r="E682">
        <v>25</v>
      </c>
      <c r="G682" s="5" t="str">
        <f>IF(Dates_Ref[[#This Row],[Pay QCH]]&lt;&gt;E681,Dates_Ref[[#This Row],[Start]]+18,"")</f>
        <v/>
      </c>
      <c r="H682">
        <f>WEEKDAY(Dates_Ref[[#This Row],[Start]],2)</f>
        <v>1</v>
      </c>
      <c r="I682">
        <f>WEEKNUM(Dates_Ref[[#This Row],[Start]],21)</f>
        <v>51</v>
      </c>
    </row>
    <row r="683" spans="2:9" x14ac:dyDescent="0.25">
      <c r="B683">
        <f>MONTH(Dates_Ref[[#This Row],[Start]])</f>
        <v>12</v>
      </c>
      <c r="C683" s="5">
        <f t="shared" si="11"/>
        <v>49667</v>
      </c>
      <c r="D683" s="2">
        <v>52</v>
      </c>
      <c r="E683">
        <v>26</v>
      </c>
      <c r="F683" s="1">
        <v>49685</v>
      </c>
      <c r="G683" s="5">
        <f>IF(Dates_Ref[[#This Row],[Pay QCH]]&lt;&gt;E682,Dates_Ref[[#This Row],[Start]]+18,"")</f>
        <v>49685</v>
      </c>
      <c r="H683">
        <f>WEEKDAY(Dates_Ref[[#This Row],[Start]],2)</f>
        <v>1</v>
      </c>
      <c r="I683">
        <f>WEEKNUM(Dates_Ref[[#This Row],[Start]],21)</f>
        <v>52</v>
      </c>
    </row>
    <row r="684" spans="2:9" x14ac:dyDescent="0.25">
      <c r="B684">
        <f>MONTH(Dates_Ref[[#This Row],[Start]])</f>
        <v>12</v>
      </c>
      <c r="C684" s="5">
        <f t="shared" si="11"/>
        <v>49674</v>
      </c>
      <c r="D684" s="2">
        <v>1</v>
      </c>
      <c r="E684">
        <v>26</v>
      </c>
      <c r="G684" s="5" t="str">
        <f>IF(Dates_Ref[[#This Row],[Pay QCH]]&lt;&gt;E683,Dates_Ref[[#This Row],[Start]]+18,"")</f>
        <v/>
      </c>
      <c r="H684">
        <f>WEEKDAY(Dates_Ref[[#This Row],[Start]],2)</f>
        <v>1</v>
      </c>
      <c r="I684">
        <f>WEEKNUM(Dates_Ref[[#This Row],[Start]],21)</f>
        <v>1</v>
      </c>
    </row>
    <row r="685" spans="2:9" x14ac:dyDescent="0.25">
      <c r="B685">
        <f>MONTH(Dates_Ref[[#This Row],[Start]])</f>
        <v>1</v>
      </c>
      <c r="C685" s="5">
        <f t="shared" si="11"/>
        <v>49681</v>
      </c>
      <c r="D685" s="2"/>
      <c r="G685" s="5">
        <f>IF(Dates_Ref[[#This Row],[Pay QCH]]&lt;&gt;E684,Dates_Ref[[#This Row],[Start]]+18,"")</f>
        <v>49699</v>
      </c>
      <c r="H685">
        <f>WEEKDAY(Dates_Ref[[#This Row],[Start]],2)</f>
        <v>1</v>
      </c>
      <c r="I685">
        <f>WEEKNUM(Dates_Ref[[#This Row],[Start]],21)</f>
        <v>2</v>
      </c>
    </row>
    <row r="686" spans="2:9" x14ac:dyDescent="0.25">
      <c r="B686">
        <f>MONTH(Dates_Ref[[#This Row],[Start]])</f>
        <v>1</v>
      </c>
      <c r="C686" s="5">
        <f t="shared" si="11"/>
        <v>49688</v>
      </c>
      <c r="D686" s="2"/>
      <c r="G686" s="5" t="str">
        <f>IF(Dates_Ref[[#This Row],[Pay QCH]]&lt;&gt;E685,Dates_Ref[[#This Row],[Start]]+18,"")</f>
        <v/>
      </c>
      <c r="H686">
        <f>WEEKDAY(Dates_Ref[[#This Row],[Start]],2)</f>
        <v>1</v>
      </c>
      <c r="I686">
        <f>WEEKNUM(Dates_Ref[[#This Row],[Start]],21)</f>
        <v>3</v>
      </c>
    </row>
    <row r="687" spans="2:9" x14ac:dyDescent="0.25">
      <c r="B687">
        <f>MONTH(Dates_Ref[[#This Row],[Start]])</f>
        <v>1</v>
      </c>
      <c r="C687" s="5">
        <f t="shared" si="11"/>
        <v>49695</v>
      </c>
      <c r="D687" s="2"/>
      <c r="G687" s="5" t="str">
        <f>IF(Dates_Ref[[#This Row],[Pay QCH]]&lt;&gt;E686,Dates_Ref[[#This Row],[Start]]+18,"")</f>
        <v/>
      </c>
      <c r="H687">
        <f>WEEKDAY(Dates_Ref[[#This Row],[Start]],2)</f>
        <v>1</v>
      </c>
      <c r="I687">
        <f>WEEKNUM(Dates_Ref[[#This Row],[Start]],21)</f>
        <v>4</v>
      </c>
    </row>
    <row r="688" spans="2:9" x14ac:dyDescent="0.25">
      <c r="B688">
        <f>MONTH(Dates_Ref[[#This Row],[Start]])</f>
        <v>1</v>
      </c>
      <c r="C688" s="5">
        <f t="shared" si="11"/>
        <v>49702</v>
      </c>
      <c r="D688" s="2"/>
      <c r="G688" s="5" t="str">
        <f>IF(Dates_Ref[[#This Row],[Pay QCH]]&lt;&gt;E687,Dates_Ref[[#This Row],[Start]]+18,"")</f>
        <v/>
      </c>
      <c r="H688">
        <f>WEEKDAY(Dates_Ref[[#This Row],[Start]],2)</f>
        <v>1</v>
      </c>
      <c r="I688">
        <f>WEEKNUM(Dates_Ref[[#This Row],[Start]],21)</f>
        <v>5</v>
      </c>
    </row>
    <row r="689" spans="2:9" x14ac:dyDescent="0.25">
      <c r="B689">
        <f>MONTH(Dates_Ref[[#This Row],[Start]])</f>
        <v>2</v>
      </c>
      <c r="C689" s="5">
        <f t="shared" si="11"/>
        <v>49709</v>
      </c>
      <c r="D689" s="2"/>
      <c r="G689" s="5" t="str">
        <f>IF(Dates_Ref[[#This Row],[Pay QCH]]&lt;&gt;E688,Dates_Ref[[#This Row],[Start]]+18,"")</f>
        <v/>
      </c>
      <c r="H689">
        <f>WEEKDAY(Dates_Ref[[#This Row],[Start]],2)</f>
        <v>1</v>
      </c>
      <c r="I689">
        <f>WEEKNUM(Dates_Ref[[#This Row],[Start]],21)</f>
        <v>6</v>
      </c>
    </row>
    <row r="690" spans="2:9" x14ac:dyDescent="0.25">
      <c r="B690">
        <f>MONTH(Dates_Ref[[#This Row],[Start]])</f>
        <v>2</v>
      </c>
      <c r="C690" s="5">
        <f t="shared" si="11"/>
        <v>49716</v>
      </c>
      <c r="D690" s="2"/>
      <c r="G690" s="5" t="str">
        <f>IF(Dates_Ref[[#This Row],[Pay QCH]]&lt;&gt;E689,Dates_Ref[[#This Row],[Start]]+18,"")</f>
        <v/>
      </c>
      <c r="H690">
        <f>WEEKDAY(Dates_Ref[[#This Row],[Start]],2)</f>
        <v>1</v>
      </c>
      <c r="I690">
        <f>WEEKNUM(Dates_Ref[[#This Row],[Start]],21)</f>
        <v>7</v>
      </c>
    </row>
    <row r="691" spans="2:9" x14ac:dyDescent="0.25">
      <c r="B691">
        <f>MONTH(Dates_Ref[[#This Row],[Start]])</f>
        <v>2</v>
      </c>
      <c r="C691" s="5">
        <f t="shared" si="11"/>
        <v>49723</v>
      </c>
      <c r="D691" s="2"/>
      <c r="G691" s="5" t="str">
        <f>IF(Dates_Ref[[#This Row],[Pay QCH]]&lt;&gt;E690,Dates_Ref[[#This Row],[Start]]+18,"")</f>
        <v/>
      </c>
      <c r="H691">
        <f>WEEKDAY(Dates_Ref[[#This Row],[Start]],2)</f>
        <v>1</v>
      </c>
      <c r="I691">
        <f>WEEKNUM(Dates_Ref[[#This Row],[Start]],21)</f>
        <v>8</v>
      </c>
    </row>
    <row r="692" spans="2:9" x14ac:dyDescent="0.25">
      <c r="B692">
        <f>MONTH(Dates_Ref[[#This Row],[Start]])</f>
        <v>2</v>
      </c>
      <c r="C692" s="5">
        <f t="shared" si="11"/>
        <v>49730</v>
      </c>
      <c r="D692" s="2"/>
      <c r="G692" s="5" t="str">
        <f>IF(Dates_Ref[[#This Row],[Pay QCH]]&lt;&gt;E691,Dates_Ref[[#This Row],[Start]]+18,"")</f>
        <v/>
      </c>
      <c r="H692">
        <f>WEEKDAY(Dates_Ref[[#This Row],[Start]],2)</f>
        <v>1</v>
      </c>
      <c r="I692">
        <f>WEEKNUM(Dates_Ref[[#This Row],[Start]],21)</f>
        <v>9</v>
      </c>
    </row>
    <row r="693" spans="2:9" x14ac:dyDescent="0.25">
      <c r="B693">
        <f>MONTH(Dates_Ref[[#This Row],[Start]])</f>
        <v>3</v>
      </c>
      <c r="C693" s="5">
        <f t="shared" si="11"/>
        <v>49737</v>
      </c>
      <c r="D693" s="2"/>
      <c r="G693" s="5" t="str">
        <f>IF(Dates_Ref[[#This Row],[Pay QCH]]&lt;&gt;E692,Dates_Ref[[#This Row],[Start]]+18,"")</f>
        <v/>
      </c>
      <c r="H693">
        <f>WEEKDAY(Dates_Ref[[#This Row],[Start]],2)</f>
        <v>1</v>
      </c>
      <c r="I693">
        <f>WEEKNUM(Dates_Ref[[#This Row],[Start]],21)</f>
        <v>10</v>
      </c>
    </row>
    <row r="694" spans="2:9" x14ac:dyDescent="0.25">
      <c r="B694">
        <f>MONTH(Dates_Ref[[#This Row],[Start]])</f>
        <v>3</v>
      </c>
      <c r="C694" s="5">
        <f t="shared" si="11"/>
        <v>49744</v>
      </c>
      <c r="D694" s="2"/>
      <c r="G694" s="5" t="str">
        <f>IF(Dates_Ref[[#This Row],[Pay QCH]]&lt;&gt;E693,Dates_Ref[[#This Row],[Start]]+18,"")</f>
        <v/>
      </c>
      <c r="H694">
        <f>WEEKDAY(Dates_Ref[[#This Row],[Start]],2)</f>
        <v>1</v>
      </c>
      <c r="I694">
        <f>WEEKNUM(Dates_Ref[[#This Row],[Start]],21)</f>
        <v>11</v>
      </c>
    </row>
    <row r="695" spans="2:9" x14ac:dyDescent="0.25">
      <c r="B695">
        <f>MONTH(Dates_Ref[[#This Row],[Start]])</f>
        <v>3</v>
      </c>
      <c r="C695" s="5">
        <f t="shared" si="11"/>
        <v>49751</v>
      </c>
      <c r="D695" s="2"/>
      <c r="G695" s="5" t="str">
        <f>IF(Dates_Ref[[#This Row],[Pay QCH]]&lt;&gt;E694,Dates_Ref[[#This Row],[Start]]+18,"")</f>
        <v/>
      </c>
      <c r="H695">
        <f>WEEKDAY(Dates_Ref[[#This Row],[Start]],2)</f>
        <v>1</v>
      </c>
      <c r="I695">
        <f>WEEKNUM(Dates_Ref[[#This Row],[Start]],21)</f>
        <v>12</v>
      </c>
    </row>
    <row r="696" spans="2:9" x14ac:dyDescent="0.25">
      <c r="B696">
        <f>MONTH(Dates_Ref[[#This Row],[Start]])</f>
        <v>3</v>
      </c>
      <c r="C696" s="5">
        <f t="shared" si="11"/>
        <v>49758</v>
      </c>
      <c r="D696" s="2"/>
      <c r="G696" s="5" t="str">
        <f>IF(Dates_Ref[[#This Row],[Pay QCH]]&lt;&gt;E695,Dates_Ref[[#This Row],[Start]]+18,"")</f>
        <v/>
      </c>
      <c r="H696">
        <f>WEEKDAY(Dates_Ref[[#This Row],[Start]],2)</f>
        <v>1</v>
      </c>
      <c r="I696">
        <f>WEEKNUM(Dates_Ref[[#This Row],[Start]],21)</f>
        <v>13</v>
      </c>
    </row>
    <row r="697" spans="2:9" x14ac:dyDescent="0.25">
      <c r="B697">
        <f>MONTH(Dates_Ref[[#This Row],[Start]])</f>
        <v>3</v>
      </c>
      <c r="C697" s="5">
        <f t="shared" si="11"/>
        <v>49765</v>
      </c>
      <c r="D697" s="2"/>
      <c r="G697" s="5" t="str">
        <f>IF(Dates_Ref[[#This Row],[Pay QCH]]&lt;&gt;E696,Dates_Ref[[#This Row],[Start]]+18,"")</f>
        <v/>
      </c>
      <c r="H697">
        <f>WEEKDAY(Dates_Ref[[#This Row],[Start]],2)</f>
        <v>1</v>
      </c>
      <c r="I697">
        <f>WEEKNUM(Dates_Ref[[#This Row],[Start]],21)</f>
        <v>14</v>
      </c>
    </row>
    <row r="698" spans="2:9" x14ac:dyDescent="0.25">
      <c r="B698">
        <f>MONTH(Dates_Ref[[#This Row],[Start]])</f>
        <v>4</v>
      </c>
      <c r="C698" s="5">
        <f t="shared" si="11"/>
        <v>49772</v>
      </c>
      <c r="D698" s="2"/>
      <c r="G698" s="5" t="str">
        <f>IF(Dates_Ref[[#This Row],[Pay QCH]]&lt;&gt;E697,Dates_Ref[[#This Row],[Start]]+18,"")</f>
        <v/>
      </c>
      <c r="H698">
        <f>WEEKDAY(Dates_Ref[[#This Row],[Start]],2)</f>
        <v>1</v>
      </c>
      <c r="I698">
        <f>WEEKNUM(Dates_Ref[[#This Row],[Start]],21)</f>
        <v>15</v>
      </c>
    </row>
    <row r="699" spans="2:9" x14ac:dyDescent="0.25">
      <c r="B699">
        <f>MONTH(Dates_Ref[[#This Row],[Start]])</f>
        <v>4</v>
      </c>
      <c r="C699" s="5">
        <f t="shared" si="11"/>
        <v>49779</v>
      </c>
      <c r="D699" s="2"/>
      <c r="G699" s="5" t="str">
        <f>IF(Dates_Ref[[#This Row],[Pay QCH]]&lt;&gt;E698,Dates_Ref[[#This Row],[Start]]+18,"")</f>
        <v/>
      </c>
      <c r="H699">
        <f>WEEKDAY(Dates_Ref[[#This Row],[Start]],2)</f>
        <v>1</v>
      </c>
      <c r="I699">
        <f>WEEKNUM(Dates_Ref[[#This Row],[Start]],21)</f>
        <v>16</v>
      </c>
    </row>
    <row r="700" spans="2:9" x14ac:dyDescent="0.25">
      <c r="B700">
        <f>MONTH(Dates_Ref[[#This Row],[Start]])</f>
        <v>4</v>
      </c>
      <c r="C700" s="5">
        <f t="shared" si="11"/>
        <v>49786</v>
      </c>
      <c r="D700" s="2"/>
      <c r="G700" s="5" t="str">
        <f>IF(Dates_Ref[[#This Row],[Pay QCH]]&lt;&gt;E699,Dates_Ref[[#This Row],[Start]]+18,"")</f>
        <v/>
      </c>
      <c r="H700">
        <f>WEEKDAY(Dates_Ref[[#This Row],[Start]],2)</f>
        <v>1</v>
      </c>
      <c r="I700">
        <f>WEEKNUM(Dates_Ref[[#This Row],[Start]],21)</f>
        <v>17</v>
      </c>
    </row>
    <row r="701" spans="2:9" x14ac:dyDescent="0.25">
      <c r="B701">
        <f>MONTH(Dates_Ref[[#This Row],[Start]])</f>
        <v>4</v>
      </c>
      <c r="C701" s="5">
        <f t="shared" si="11"/>
        <v>49793</v>
      </c>
      <c r="D701" s="2"/>
      <c r="G701" s="5" t="str">
        <f>IF(Dates_Ref[[#This Row],[Pay QCH]]&lt;&gt;E700,Dates_Ref[[#This Row],[Start]]+18,"")</f>
        <v/>
      </c>
      <c r="H701">
        <f>WEEKDAY(Dates_Ref[[#This Row],[Start]],2)</f>
        <v>1</v>
      </c>
      <c r="I701">
        <f>WEEKNUM(Dates_Ref[[#This Row],[Start]],21)</f>
        <v>18</v>
      </c>
    </row>
    <row r="702" spans="2:9" x14ac:dyDescent="0.25">
      <c r="B702">
        <f>MONTH(Dates_Ref[[#This Row],[Start]])</f>
        <v>5</v>
      </c>
      <c r="C702" s="5">
        <f t="shared" si="11"/>
        <v>49800</v>
      </c>
      <c r="D702" s="2"/>
      <c r="G702" s="5" t="str">
        <f>IF(Dates_Ref[[#This Row],[Pay QCH]]&lt;&gt;E701,Dates_Ref[[#This Row],[Start]]+18,"")</f>
        <v/>
      </c>
      <c r="H702">
        <f>WEEKDAY(Dates_Ref[[#This Row],[Start]],2)</f>
        <v>1</v>
      </c>
      <c r="I702">
        <f>WEEKNUM(Dates_Ref[[#This Row],[Start]],21)</f>
        <v>19</v>
      </c>
    </row>
    <row r="703" spans="2:9" x14ac:dyDescent="0.25">
      <c r="B703">
        <f>MONTH(Dates_Ref[[#This Row],[Start]])</f>
        <v>5</v>
      </c>
      <c r="C703" s="5">
        <f t="shared" si="11"/>
        <v>49807</v>
      </c>
      <c r="D703" s="2"/>
      <c r="G703" s="5" t="str">
        <f>IF(Dates_Ref[[#This Row],[Pay QCH]]&lt;&gt;E702,Dates_Ref[[#This Row],[Start]]+18,"")</f>
        <v/>
      </c>
      <c r="H703">
        <f>WEEKDAY(Dates_Ref[[#This Row],[Start]],2)</f>
        <v>1</v>
      </c>
      <c r="I703">
        <f>WEEKNUM(Dates_Ref[[#This Row],[Start]],21)</f>
        <v>20</v>
      </c>
    </row>
    <row r="704" spans="2:9" x14ac:dyDescent="0.25">
      <c r="B704">
        <f>MONTH(Dates_Ref[[#This Row],[Start]])</f>
        <v>5</v>
      </c>
      <c r="C704" s="5">
        <f t="shared" si="11"/>
        <v>49814</v>
      </c>
      <c r="D704" s="2"/>
      <c r="G704" s="5" t="str">
        <f>IF(Dates_Ref[[#This Row],[Pay QCH]]&lt;&gt;E703,Dates_Ref[[#This Row],[Start]]+18,"")</f>
        <v/>
      </c>
      <c r="H704">
        <f>WEEKDAY(Dates_Ref[[#This Row],[Start]],2)</f>
        <v>1</v>
      </c>
      <c r="I704">
        <f>WEEKNUM(Dates_Ref[[#This Row],[Start]],21)</f>
        <v>21</v>
      </c>
    </row>
    <row r="705" spans="2:9" x14ac:dyDescent="0.25">
      <c r="B705">
        <f>MONTH(Dates_Ref[[#This Row],[Start]])</f>
        <v>5</v>
      </c>
      <c r="C705" s="5">
        <f t="shared" si="11"/>
        <v>49821</v>
      </c>
      <c r="D705" s="2"/>
      <c r="G705" s="5" t="str">
        <f>IF(Dates_Ref[[#This Row],[Pay QCH]]&lt;&gt;E704,Dates_Ref[[#This Row],[Start]]+18,"")</f>
        <v/>
      </c>
      <c r="H705">
        <f>WEEKDAY(Dates_Ref[[#This Row],[Start]],2)</f>
        <v>1</v>
      </c>
      <c r="I705">
        <f>WEEKNUM(Dates_Ref[[#This Row],[Start]],21)</f>
        <v>22</v>
      </c>
    </row>
    <row r="706" spans="2:9" x14ac:dyDescent="0.25">
      <c r="B706">
        <f>MONTH(Dates_Ref[[#This Row],[Start]])</f>
        <v>6</v>
      </c>
      <c r="C706" s="5">
        <f t="shared" si="11"/>
        <v>49828</v>
      </c>
      <c r="D706" s="2"/>
      <c r="G706" s="5" t="str">
        <f>IF(Dates_Ref[[#This Row],[Pay QCH]]&lt;&gt;E705,Dates_Ref[[#This Row],[Start]]+18,"")</f>
        <v/>
      </c>
      <c r="H706">
        <f>WEEKDAY(Dates_Ref[[#This Row],[Start]],2)</f>
        <v>1</v>
      </c>
      <c r="I706">
        <f>WEEKNUM(Dates_Ref[[#This Row],[Start]],21)</f>
        <v>23</v>
      </c>
    </row>
    <row r="707" spans="2:9" x14ac:dyDescent="0.25">
      <c r="B707">
        <f>MONTH(Dates_Ref[[#This Row],[Start]])</f>
        <v>6</v>
      </c>
      <c r="C707" s="5">
        <f t="shared" si="11"/>
        <v>49835</v>
      </c>
      <c r="D707" s="2"/>
      <c r="G707" s="5" t="str">
        <f>IF(Dates_Ref[[#This Row],[Pay QCH]]&lt;&gt;E706,Dates_Ref[[#This Row],[Start]]+18,"")</f>
        <v/>
      </c>
      <c r="H707">
        <f>WEEKDAY(Dates_Ref[[#This Row],[Start]],2)</f>
        <v>1</v>
      </c>
      <c r="I707">
        <f>WEEKNUM(Dates_Ref[[#This Row],[Start]],21)</f>
        <v>24</v>
      </c>
    </row>
    <row r="708" spans="2:9" x14ac:dyDescent="0.25">
      <c r="B708">
        <f>MONTH(Dates_Ref[[#This Row],[Start]])</f>
        <v>6</v>
      </c>
      <c r="C708" s="5">
        <f t="shared" si="11"/>
        <v>49842</v>
      </c>
      <c r="D708" s="2"/>
      <c r="G708" s="5" t="str">
        <f>IF(Dates_Ref[[#This Row],[Pay QCH]]&lt;&gt;E707,Dates_Ref[[#This Row],[Start]]+18,"")</f>
        <v/>
      </c>
      <c r="H708">
        <f>WEEKDAY(Dates_Ref[[#This Row],[Start]],2)</f>
        <v>1</v>
      </c>
      <c r="I708">
        <f>WEEKNUM(Dates_Ref[[#This Row],[Start]],21)</f>
        <v>25</v>
      </c>
    </row>
    <row r="709" spans="2:9" x14ac:dyDescent="0.25">
      <c r="B709">
        <f>MONTH(Dates_Ref[[#This Row],[Start]])</f>
        <v>6</v>
      </c>
      <c r="C709" s="5">
        <f t="shared" si="11"/>
        <v>49849</v>
      </c>
      <c r="D709" s="2"/>
      <c r="G709" s="5" t="str">
        <f>IF(Dates_Ref[[#This Row],[Pay QCH]]&lt;&gt;E708,Dates_Ref[[#This Row],[Start]]+18,"")</f>
        <v/>
      </c>
      <c r="H709">
        <f>WEEKDAY(Dates_Ref[[#This Row],[Start]],2)</f>
        <v>1</v>
      </c>
      <c r="I709">
        <f>WEEKNUM(Dates_Ref[[#This Row],[Start]],21)</f>
        <v>26</v>
      </c>
    </row>
    <row r="710" spans="2:9" x14ac:dyDescent="0.25">
      <c r="B710">
        <f>MONTH(Dates_Ref[[#This Row],[Start]])</f>
        <v>6</v>
      </c>
      <c r="C710" s="5">
        <f t="shared" si="11"/>
        <v>49856</v>
      </c>
      <c r="D710" s="2"/>
      <c r="G710" s="5" t="str">
        <f>IF(Dates_Ref[[#This Row],[Pay QCH]]&lt;&gt;E709,Dates_Ref[[#This Row],[Start]]+18,"")</f>
        <v/>
      </c>
      <c r="H710">
        <f>WEEKDAY(Dates_Ref[[#This Row],[Start]],2)</f>
        <v>1</v>
      </c>
      <c r="I710">
        <f>WEEKNUM(Dates_Ref[[#This Row],[Start]],21)</f>
        <v>27</v>
      </c>
    </row>
    <row r="711" spans="2:9" x14ac:dyDescent="0.25">
      <c r="B711">
        <f>MONTH(Dates_Ref[[#This Row],[Start]])</f>
        <v>7</v>
      </c>
      <c r="C711" s="5">
        <f t="shared" ref="C711:C774" si="12">C710+7</f>
        <v>49863</v>
      </c>
      <c r="D711" s="2"/>
      <c r="G711" s="5" t="str">
        <f>IF(Dates_Ref[[#This Row],[Pay QCH]]&lt;&gt;E710,Dates_Ref[[#This Row],[Start]]+18,"")</f>
        <v/>
      </c>
      <c r="H711">
        <f>WEEKDAY(Dates_Ref[[#This Row],[Start]],2)</f>
        <v>1</v>
      </c>
      <c r="I711">
        <f>WEEKNUM(Dates_Ref[[#This Row],[Start]],21)</f>
        <v>28</v>
      </c>
    </row>
    <row r="712" spans="2:9" x14ac:dyDescent="0.25">
      <c r="B712">
        <f>MONTH(Dates_Ref[[#This Row],[Start]])</f>
        <v>7</v>
      </c>
      <c r="C712" s="5">
        <f t="shared" si="12"/>
        <v>49870</v>
      </c>
      <c r="D712" s="2"/>
      <c r="G712" s="5" t="str">
        <f>IF(Dates_Ref[[#This Row],[Pay QCH]]&lt;&gt;E711,Dates_Ref[[#This Row],[Start]]+18,"")</f>
        <v/>
      </c>
      <c r="H712">
        <f>WEEKDAY(Dates_Ref[[#This Row],[Start]],2)</f>
        <v>1</v>
      </c>
      <c r="I712">
        <f>WEEKNUM(Dates_Ref[[#This Row],[Start]],21)</f>
        <v>29</v>
      </c>
    </row>
    <row r="713" spans="2:9" x14ac:dyDescent="0.25">
      <c r="B713">
        <f>MONTH(Dates_Ref[[#This Row],[Start]])</f>
        <v>7</v>
      </c>
      <c r="C713" s="5">
        <f t="shared" si="12"/>
        <v>49877</v>
      </c>
      <c r="D713" s="2"/>
      <c r="G713" s="5" t="str">
        <f>IF(Dates_Ref[[#This Row],[Pay QCH]]&lt;&gt;E712,Dates_Ref[[#This Row],[Start]]+18,"")</f>
        <v/>
      </c>
      <c r="H713">
        <f>WEEKDAY(Dates_Ref[[#This Row],[Start]],2)</f>
        <v>1</v>
      </c>
      <c r="I713">
        <f>WEEKNUM(Dates_Ref[[#This Row],[Start]],21)</f>
        <v>30</v>
      </c>
    </row>
    <row r="714" spans="2:9" x14ac:dyDescent="0.25">
      <c r="B714">
        <f>MONTH(Dates_Ref[[#This Row],[Start]])</f>
        <v>7</v>
      </c>
      <c r="C714" s="5">
        <f t="shared" si="12"/>
        <v>49884</v>
      </c>
      <c r="D714" s="2"/>
      <c r="G714" s="5" t="str">
        <f>IF(Dates_Ref[[#This Row],[Pay QCH]]&lt;&gt;E713,Dates_Ref[[#This Row],[Start]]+18,"")</f>
        <v/>
      </c>
      <c r="H714">
        <f>WEEKDAY(Dates_Ref[[#This Row],[Start]],2)</f>
        <v>1</v>
      </c>
      <c r="I714">
        <f>WEEKNUM(Dates_Ref[[#This Row],[Start]],21)</f>
        <v>31</v>
      </c>
    </row>
    <row r="715" spans="2:9" x14ac:dyDescent="0.25">
      <c r="B715">
        <f>MONTH(Dates_Ref[[#This Row],[Start]])</f>
        <v>8</v>
      </c>
      <c r="C715" s="5">
        <f t="shared" si="12"/>
        <v>49891</v>
      </c>
      <c r="D715" s="2"/>
      <c r="G715" s="5" t="str">
        <f>IF(Dates_Ref[[#This Row],[Pay QCH]]&lt;&gt;E714,Dates_Ref[[#This Row],[Start]]+18,"")</f>
        <v/>
      </c>
      <c r="H715">
        <f>WEEKDAY(Dates_Ref[[#This Row],[Start]],2)</f>
        <v>1</v>
      </c>
      <c r="I715">
        <f>WEEKNUM(Dates_Ref[[#This Row],[Start]],21)</f>
        <v>32</v>
      </c>
    </row>
    <row r="716" spans="2:9" x14ac:dyDescent="0.25">
      <c r="B716">
        <f>MONTH(Dates_Ref[[#This Row],[Start]])</f>
        <v>8</v>
      </c>
      <c r="C716" s="5">
        <f t="shared" si="12"/>
        <v>49898</v>
      </c>
      <c r="D716" s="2"/>
      <c r="G716" s="5" t="str">
        <f>IF(Dates_Ref[[#This Row],[Pay QCH]]&lt;&gt;E715,Dates_Ref[[#This Row],[Start]]+18,"")</f>
        <v/>
      </c>
      <c r="H716">
        <f>WEEKDAY(Dates_Ref[[#This Row],[Start]],2)</f>
        <v>1</v>
      </c>
      <c r="I716">
        <f>WEEKNUM(Dates_Ref[[#This Row],[Start]],21)</f>
        <v>33</v>
      </c>
    </row>
    <row r="717" spans="2:9" x14ac:dyDescent="0.25">
      <c r="B717">
        <f>MONTH(Dates_Ref[[#This Row],[Start]])</f>
        <v>8</v>
      </c>
      <c r="C717" s="5">
        <f t="shared" si="12"/>
        <v>49905</v>
      </c>
      <c r="D717" s="2"/>
      <c r="G717" s="5" t="str">
        <f>IF(Dates_Ref[[#This Row],[Pay QCH]]&lt;&gt;E716,Dates_Ref[[#This Row],[Start]]+18,"")</f>
        <v/>
      </c>
      <c r="H717">
        <f>WEEKDAY(Dates_Ref[[#This Row],[Start]],2)</f>
        <v>1</v>
      </c>
      <c r="I717">
        <f>WEEKNUM(Dates_Ref[[#This Row],[Start]],21)</f>
        <v>34</v>
      </c>
    </row>
    <row r="718" spans="2:9" x14ac:dyDescent="0.25">
      <c r="B718">
        <f>MONTH(Dates_Ref[[#This Row],[Start]])</f>
        <v>8</v>
      </c>
      <c r="C718" s="5">
        <f t="shared" si="12"/>
        <v>49912</v>
      </c>
      <c r="D718" s="2"/>
      <c r="G718" s="5" t="str">
        <f>IF(Dates_Ref[[#This Row],[Pay QCH]]&lt;&gt;E717,Dates_Ref[[#This Row],[Start]]+18,"")</f>
        <v/>
      </c>
      <c r="H718">
        <f>WEEKDAY(Dates_Ref[[#This Row],[Start]],2)</f>
        <v>1</v>
      </c>
      <c r="I718">
        <f>WEEKNUM(Dates_Ref[[#This Row],[Start]],21)</f>
        <v>35</v>
      </c>
    </row>
    <row r="719" spans="2:9" x14ac:dyDescent="0.25">
      <c r="B719">
        <f>MONTH(Dates_Ref[[#This Row],[Start]])</f>
        <v>9</v>
      </c>
      <c r="C719" s="5">
        <f t="shared" si="12"/>
        <v>49919</v>
      </c>
      <c r="D719" s="2"/>
      <c r="G719" s="5" t="str">
        <f>IF(Dates_Ref[[#This Row],[Pay QCH]]&lt;&gt;E718,Dates_Ref[[#This Row],[Start]]+18,"")</f>
        <v/>
      </c>
      <c r="H719">
        <f>WEEKDAY(Dates_Ref[[#This Row],[Start]],2)</f>
        <v>1</v>
      </c>
      <c r="I719">
        <f>WEEKNUM(Dates_Ref[[#This Row],[Start]],21)</f>
        <v>36</v>
      </c>
    </row>
    <row r="720" spans="2:9" x14ac:dyDescent="0.25">
      <c r="B720">
        <f>MONTH(Dates_Ref[[#This Row],[Start]])</f>
        <v>9</v>
      </c>
      <c r="C720" s="5">
        <f t="shared" si="12"/>
        <v>49926</v>
      </c>
      <c r="D720" s="2"/>
      <c r="G720" s="5" t="str">
        <f>IF(Dates_Ref[[#This Row],[Pay QCH]]&lt;&gt;E719,Dates_Ref[[#This Row],[Start]]+18,"")</f>
        <v/>
      </c>
      <c r="H720">
        <f>WEEKDAY(Dates_Ref[[#This Row],[Start]],2)</f>
        <v>1</v>
      </c>
      <c r="I720">
        <f>WEEKNUM(Dates_Ref[[#This Row],[Start]],21)</f>
        <v>37</v>
      </c>
    </row>
    <row r="721" spans="2:9" x14ac:dyDescent="0.25">
      <c r="B721">
        <f>MONTH(Dates_Ref[[#This Row],[Start]])</f>
        <v>9</v>
      </c>
      <c r="C721" s="5">
        <f t="shared" si="12"/>
        <v>49933</v>
      </c>
      <c r="D721" s="2"/>
      <c r="G721" s="5" t="str">
        <f>IF(Dates_Ref[[#This Row],[Pay QCH]]&lt;&gt;E720,Dates_Ref[[#This Row],[Start]]+18,"")</f>
        <v/>
      </c>
      <c r="H721">
        <f>WEEKDAY(Dates_Ref[[#This Row],[Start]],2)</f>
        <v>1</v>
      </c>
      <c r="I721">
        <f>WEEKNUM(Dates_Ref[[#This Row],[Start]],21)</f>
        <v>38</v>
      </c>
    </row>
    <row r="722" spans="2:9" x14ac:dyDescent="0.25">
      <c r="B722">
        <f>MONTH(Dates_Ref[[#This Row],[Start]])</f>
        <v>9</v>
      </c>
      <c r="C722" s="5">
        <f t="shared" si="12"/>
        <v>49940</v>
      </c>
      <c r="D722" s="2"/>
      <c r="G722" s="5" t="str">
        <f>IF(Dates_Ref[[#This Row],[Pay QCH]]&lt;&gt;E721,Dates_Ref[[#This Row],[Start]]+18,"")</f>
        <v/>
      </c>
      <c r="H722">
        <f>WEEKDAY(Dates_Ref[[#This Row],[Start]],2)</f>
        <v>1</v>
      </c>
      <c r="I722">
        <f>WEEKNUM(Dates_Ref[[#This Row],[Start]],21)</f>
        <v>39</v>
      </c>
    </row>
    <row r="723" spans="2:9" x14ac:dyDescent="0.25">
      <c r="B723">
        <f>MONTH(Dates_Ref[[#This Row],[Start]])</f>
        <v>9</v>
      </c>
      <c r="C723" s="5">
        <f t="shared" si="12"/>
        <v>49947</v>
      </c>
      <c r="D723" s="2"/>
      <c r="G723" s="5" t="str">
        <f>IF(Dates_Ref[[#This Row],[Pay QCH]]&lt;&gt;E722,Dates_Ref[[#This Row],[Start]]+18,"")</f>
        <v/>
      </c>
      <c r="H723">
        <f>WEEKDAY(Dates_Ref[[#This Row],[Start]],2)</f>
        <v>1</v>
      </c>
      <c r="I723">
        <f>WEEKNUM(Dates_Ref[[#This Row],[Start]],21)</f>
        <v>40</v>
      </c>
    </row>
    <row r="724" spans="2:9" x14ac:dyDescent="0.25">
      <c r="B724">
        <f>MONTH(Dates_Ref[[#This Row],[Start]])</f>
        <v>10</v>
      </c>
      <c r="C724" s="5">
        <f t="shared" si="12"/>
        <v>49954</v>
      </c>
      <c r="D724" s="2"/>
      <c r="G724" s="5" t="str">
        <f>IF(Dates_Ref[[#This Row],[Pay QCH]]&lt;&gt;E723,Dates_Ref[[#This Row],[Start]]+18,"")</f>
        <v/>
      </c>
      <c r="H724">
        <f>WEEKDAY(Dates_Ref[[#This Row],[Start]],2)</f>
        <v>1</v>
      </c>
      <c r="I724">
        <f>WEEKNUM(Dates_Ref[[#This Row],[Start]],21)</f>
        <v>41</v>
      </c>
    </row>
    <row r="725" spans="2:9" x14ac:dyDescent="0.25">
      <c r="B725">
        <f>MONTH(Dates_Ref[[#This Row],[Start]])</f>
        <v>10</v>
      </c>
      <c r="C725" s="5">
        <f t="shared" si="12"/>
        <v>49961</v>
      </c>
      <c r="D725" s="2"/>
      <c r="G725" s="5" t="str">
        <f>IF(Dates_Ref[[#This Row],[Pay QCH]]&lt;&gt;E724,Dates_Ref[[#This Row],[Start]]+18,"")</f>
        <v/>
      </c>
      <c r="H725">
        <f>WEEKDAY(Dates_Ref[[#This Row],[Start]],2)</f>
        <v>1</v>
      </c>
      <c r="I725">
        <f>WEEKNUM(Dates_Ref[[#This Row],[Start]],21)</f>
        <v>42</v>
      </c>
    </row>
    <row r="726" spans="2:9" x14ac:dyDescent="0.25">
      <c r="B726">
        <f>MONTH(Dates_Ref[[#This Row],[Start]])</f>
        <v>10</v>
      </c>
      <c r="C726" s="5">
        <f t="shared" si="12"/>
        <v>49968</v>
      </c>
      <c r="D726" s="2"/>
      <c r="G726" s="5" t="str">
        <f>IF(Dates_Ref[[#This Row],[Pay QCH]]&lt;&gt;E725,Dates_Ref[[#This Row],[Start]]+18,"")</f>
        <v/>
      </c>
      <c r="H726">
        <f>WEEKDAY(Dates_Ref[[#This Row],[Start]],2)</f>
        <v>1</v>
      </c>
      <c r="I726">
        <f>WEEKNUM(Dates_Ref[[#This Row],[Start]],21)</f>
        <v>43</v>
      </c>
    </row>
    <row r="727" spans="2:9" x14ac:dyDescent="0.25">
      <c r="B727">
        <f>MONTH(Dates_Ref[[#This Row],[Start]])</f>
        <v>10</v>
      </c>
      <c r="C727" s="5">
        <f t="shared" si="12"/>
        <v>49975</v>
      </c>
      <c r="D727" s="2"/>
      <c r="G727" s="5" t="str">
        <f>IF(Dates_Ref[[#This Row],[Pay QCH]]&lt;&gt;E726,Dates_Ref[[#This Row],[Start]]+18,"")</f>
        <v/>
      </c>
      <c r="H727">
        <f>WEEKDAY(Dates_Ref[[#This Row],[Start]],2)</f>
        <v>1</v>
      </c>
      <c r="I727">
        <f>WEEKNUM(Dates_Ref[[#This Row],[Start]],21)</f>
        <v>44</v>
      </c>
    </row>
    <row r="728" spans="2:9" x14ac:dyDescent="0.25">
      <c r="B728">
        <f>MONTH(Dates_Ref[[#This Row],[Start]])</f>
        <v>11</v>
      </c>
      <c r="C728" s="5">
        <f t="shared" si="12"/>
        <v>49982</v>
      </c>
      <c r="D728" s="2"/>
      <c r="G728" s="5" t="str">
        <f>IF(Dates_Ref[[#This Row],[Pay QCH]]&lt;&gt;E727,Dates_Ref[[#This Row],[Start]]+18,"")</f>
        <v/>
      </c>
      <c r="H728">
        <f>WEEKDAY(Dates_Ref[[#This Row],[Start]],2)</f>
        <v>1</v>
      </c>
      <c r="I728">
        <f>WEEKNUM(Dates_Ref[[#This Row],[Start]],21)</f>
        <v>45</v>
      </c>
    </row>
    <row r="729" spans="2:9" x14ac:dyDescent="0.25">
      <c r="B729">
        <f>MONTH(Dates_Ref[[#This Row],[Start]])</f>
        <v>11</v>
      </c>
      <c r="C729" s="5">
        <f t="shared" si="12"/>
        <v>49989</v>
      </c>
      <c r="D729" s="2"/>
      <c r="G729" s="5" t="str">
        <f>IF(Dates_Ref[[#This Row],[Pay QCH]]&lt;&gt;E728,Dates_Ref[[#This Row],[Start]]+18,"")</f>
        <v/>
      </c>
      <c r="H729">
        <f>WEEKDAY(Dates_Ref[[#This Row],[Start]],2)</f>
        <v>1</v>
      </c>
      <c r="I729">
        <f>WEEKNUM(Dates_Ref[[#This Row],[Start]],21)</f>
        <v>46</v>
      </c>
    </row>
    <row r="730" spans="2:9" x14ac:dyDescent="0.25">
      <c r="B730">
        <f>MONTH(Dates_Ref[[#This Row],[Start]])</f>
        <v>11</v>
      </c>
      <c r="C730" s="5">
        <f t="shared" si="12"/>
        <v>49996</v>
      </c>
      <c r="D730" s="2"/>
      <c r="G730" s="5" t="str">
        <f>IF(Dates_Ref[[#This Row],[Pay QCH]]&lt;&gt;E729,Dates_Ref[[#This Row],[Start]]+18,"")</f>
        <v/>
      </c>
      <c r="H730">
        <f>WEEKDAY(Dates_Ref[[#This Row],[Start]],2)</f>
        <v>1</v>
      </c>
      <c r="I730">
        <f>WEEKNUM(Dates_Ref[[#This Row],[Start]],21)</f>
        <v>47</v>
      </c>
    </row>
    <row r="731" spans="2:9" x14ac:dyDescent="0.25">
      <c r="B731">
        <f>MONTH(Dates_Ref[[#This Row],[Start]])</f>
        <v>11</v>
      </c>
      <c r="C731" s="5">
        <f t="shared" si="12"/>
        <v>50003</v>
      </c>
      <c r="D731" s="2"/>
      <c r="G731" s="5" t="str">
        <f>IF(Dates_Ref[[#This Row],[Pay QCH]]&lt;&gt;E730,Dates_Ref[[#This Row],[Start]]+18,"")</f>
        <v/>
      </c>
      <c r="H731">
        <f>WEEKDAY(Dates_Ref[[#This Row],[Start]],2)</f>
        <v>1</v>
      </c>
      <c r="I731">
        <f>WEEKNUM(Dates_Ref[[#This Row],[Start]],21)</f>
        <v>48</v>
      </c>
    </row>
    <row r="732" spans="2:9" x14ac:dyDescent="0.25">
      <c r="B732">
        <f>MONTH(Dates_Ref[[#This Row],[Start]])</f>
        <v>12</v>
      </c>
      <c r="C732" s="5">
        <f t="shared" si="12"/>
        <v>50010</v>
      </c>
      <c r="D732" s="2"/>
      <c r="G732" s="5" t="str">
        <f>IF(Dates_Ref[[#This Row],[Pay QCH]]&lt;&gt;E731,Dates_Ref[[#This Row],[Start]]+18,"")</f>
        <v/>
      </c>
      <c r="H732">
        <f>WEEKDAY(Dates_Ref[[#This Row],[Start]],2)</f>
        <v>1</v>
      </c>
      <c r="I732">
        <f>WEEKNUM(Dates_Ref[[#This Row],[Start]],21)</f>
        <v>49</v>
      </c>
    </row>
    <row r="733" spans="2:9" x14ac:dyDescent="0.25">
      <c r="B733">
        <f>MONTH(Dates_Ref[[#This Row],[Start]])</f>
        <v>12</v>
      </c>
      <c r="C733" s="5">
        <f t="shared" si="12"/>
        <v>50017</v>
      </c>
      <c r="D733" s="2"/>
      <c r="G733" s="5" t="str">
        <f>IF(Dates_Ref[[#This Row],[Pay QCH]]&lt;&gt;E732,Dates_Ref[[#This Row],[Start]]+18,"")</f>
        <v/>
      </c>
      <c r="H733">
        <f>WEEKDAY(Dates_Ref[[#This Row],[Start]],2)</f>
        <v>1</v>
      </c>
      <c r="I733">
        <f>WEEKNUM(Dates_Ref[[#This Row],[Start]],21)</f>
        <v>50</v>
      </c>
    </row>
    <row r="734" spans="2:9" x14ac:dyDescent="0.25">
      <c r="B734">
        <f>MONTH(Dates_Ref[[#This Row],[Start]])</f>
        <v>12</v>
      </c>
      <c r="C734" s="5">
        <f t="shared" si="12"/>
        <v>50024</v>
      </c>
      <c r="D734" s="2"/>
      <c r="G734" s="5" t="str">
        <f>IF(Dates_Ref[[#This Row],[Pay QCH]]&lt;&gt;E733,Dates_Ref[[#This Row],[Start]]+18,"")</f>
        <v/>
      </c>
      <c r="H734">
        <f>WEEKDAY(Dates_Ref[[#This Row],[Start]],2)</f>
        <v>1</v>
      </c>
      <c r="I734">
        <f>WEEKNUM(Dates_Ref[[#This Row],[Start]],21)</f>
        <v>51</v>
      </c>
    </row>
    <row r="735" spans="2:9" x14ac:dyDescent="0.25">
      <c r="B735">
        <f>MONTH(Dates_Ref[[#This Row],[Start]])</f>
        <v>12</v>
      </c>
      <c r="C735" s="5">
        <f t="shared" si="12"/>
        <v>50031</v>
      </c>
      <c r="D735" s="2"/>
      <c r="G735" s="5" t="str">
        <f>IF(Dates_Ref[[#This Row],[Pay QCH]]&lt;&gt;E734,Dates_Ref[[#This Row],[Start]]+18,"")</f>
        <v/>
      </c>
      <c r="H735">
        <f>WEEKDAY(Dates_Ref[[#This Row],[Start]],2)</f>
        <v>1</v>
      </c>
      <c r="I735">
        <f>WEEKNUM(Dates_Ref[[#This Row],[Start]],21)</f>
        <v>52</v>
      </c>
    </row>
    <row r="736" spans="2:9" x14ac:dyDescent="0.25">
      <c r="B736">
        <f>MONTH(Dates_Ref[[#This Row],[Start]])</f>
        <v>12</v>
      </c>
      <c r="C736" s="5">
        <f t="shared" si="12"/>
        <v>50038</v>
      </c>
      <c r="D736" s="2"/>
      <c r="G736" s="5" t="str">
        <f>IF(Dates_Ref[[#This Row],[Pay QCH]]&lt;&gt;E735,Dates_Ref[[#This Row],[Start]]+18,"")</f>
        <v/>
      </c>
      <c r="H736">
        <f>WEEKDAY(Dates_Ref[[#This Row],[Start]],2)</f>
        <v>1</v>
      </c>
      <c r="I736">
        <f>WEEKNUM(Dates_Ref[[#This Row],[Start]],21)</f>
        <v>1</v>
      </c>
    </row>
    <row r="737" spans="2:9" x14ac:dyDescent="0.25">
      <c r="B737">
        <f>MONTH(Dates_Ref[[#This Row],[Start]])</f>
        <v>1</v>
      </c>
      <c r="C737" s="5">
        <f t="shared" si="12"/>
        <v>50045</v>
      </c>
      <c r="D737" s="2"/>
      <c r="G737" s="5" t="str">
        <f>IF(Dates_Ref[[#This Row],[Pay QCH]]&lt;&gt;E736,Dates_Ref[[#This Row],[Start]]+18,"")</f>
        <v/>
      </c>
      <c r="H737">
        <f>WEEKDAY(Dates_Ref[[#This Row],[Start]],2)</f>
        <v>1</v>
      </c>
      <c r="I737">
        <f>WEEKNUM(Dates_Ref[[#This Row],[Start]],21)</f>
        <v>2</v>
      </c>
    </row>
    <row r="738" spans="2:9" x14ac:dyDescent="0.25">
      <c r="B738">
        <f>MONTH(Dates_Ref[[#This Row],[Start]])</f>
        <v>1</v>
      </c>
      <c r="C738" s="5">
        <f t="shared" si="12"/>
        <v>50052</v>
      </c>
      <c r="D738" s="2"/>
      <c r="G738" s="5" t="str">
        <f>IF(Dates_Ref[[#This Row],[Pay QCH]]&lt;&gt;E737,Dates_Ref[[#This Row],[Start]]+18,"")</f>
        <v/>
      </c>
      <c r="H738">
        <f>WEEKDAY(Dates_Ref[[#This Row],[Start]],2)</f>
        <v>1</v>
      </c>
      <c r="I738">
        <f>WEEKNUM(Dates_Ref[[#This Row],[Start]],21)</f>
        <v>3</v>
      </c>
    </row>
    <row r="739" spans="2:9" x14ac:dyDescent="0.25">
      <c r="B739">
        <f>MONTH(Dates_Ref[[#This Row],[Start]])</f>
        <v>1</v>
      </c>
      <c r="C739" s="5">
        <f t="shared" si="12"/>
        <v>50059</v>
      </c>
      <c r="D739" s="2"/>
      <c r="G739" s="5" t="str">
        <f>IF(Dates_Ref[[#This Row],[Pay QCH]]&lt;&gt;E738,Dates_Ref[[#This Row],[Start]]+18,"")</f>
        <v/>
      </c>
      <c r="H739">
        <f>WEEKDAY(Dates_Ref[[#This Row],[Start]],2)</f>
        <v>1</v>
      </c>
      <c r="I739">
        <f>WEEKNUM(Dates_Ref[[#This Row],[Start]],21)</f>
        <v>4</v>
      </c>
    </row>
    <row r="740" spans="2:9" x14ac:dyDescent="0.25">
      <c r="B740">
        <f>MONTH(Dates_Ref[[#This Row],[Start]])</f>
        <v>1</v>
      </c>
      <c r="C740" s="5">
        <f t="shared" si="12"/>
        <v>50066</v>
      </c>
      <c r="D740" s="2"/>
      <c r="G740" s="5" t="str">
        <f>IF(Dates_Ref[[#This Row],[Pay QCH]]&lt;&gt;E739,Dates_Ref[[#This Row],[Start]]+18,"")</f>
        <v/>
      </c>
      <c r="H740">
        <f>WEEKDAY(Dates_Ref[[#This Row],[Start]],2)</f>
        <v>1</v>
      </c>
      <c r="I740">
        <f>WEEKNUM(Dates_Ref[[#This Row],[Start]],21)</f>
        <v>5</v>
      </c>
    </row>
    <row r="741" spans="2:9" x14ac:dyDescent="0.25">
      <c r="B741">
        <f>MONTH(Dates_Ref[[#This Row],[Start]])</f>
        <v>2</v>
      </c>
      <c r="C741" s="5">
        <f t="shared" si="12"/>
        <v>50073</v>
      </c>
      <c r="D741" s="2"/>
      <c r="G741" s="5" t="str">
        <f>IF(Dates_Ref[[#This Row],[Pay QCH]]&lt;&gt;E740,Dates_Ref[[#This Row],[Start]]+18,"")</f>
        <v/>
      </c>
      <c r="H741">
        <f>WEEKDAY(Dates_Ref[[#This Row],[Start]],2)</f>
        <v>1</v>
      </c>
      <c r="I741">
        <f>WEEKNUM(Dates_Ref[[#This Row],[Start]],21)</f>
        <v>6</v>
      </c>
    </row>
    <row r="742" spans="2:9" x14ac:dyDescent="0.25">
      <c r="B742">
        <f>MONTH(Dates_Ref[[#This Row],[Start]])</f>
        <v>2</v>
      </c>
      <c r="C742" s="5">
        <f t="shared" si="12"/>
        <v>50080</v>
      </c>
      <c r="D742" s="2"/>
      <c r="G742" s="5" t="str">
        <f>IF(Dates_Ref[[#This Row],[Pay QCH]]&lt;&gt;E741,Dates_Ref[[#This Row],[Start]]+18,"")</f>
        <v/>
      </c>
      <c r="H742">
        <f>WEEKDAY(Dates_Ref[[#This Row],[Start]],2)</f>
        <v>1</v>
      </c>
      <c r="I742">
        <f>WEEKNUM(Dates_Ref[[#This Row],[Start]],21)</f>
        <v>7</v>
      </c>
    </row>
    <row r="743" spans="2:9" x14ac:dyDescent="0.25">
      <c r="B743">
        <f>MONTH(Dates_Ref[[#This Row],[Start]])</f>
        <v>2</v>
      </c>
      <c r="C743" s="5">
        <f t="shared" si="12"/>
        <v>50087</v>
      </c>
      <c r="D743" s="2"/>
      <c r="G743" s="5" t="str">
        <f>IF(Dates_Ref[[#This Row],[Pay QCH]]&lt;&gt;E742,Dates_Ref[[#This Row],[Start]]+18,"")</f>
        <v/>
      </c>
      <c r="H743">
        <f>WEEKDAY(Dates_Ref[[#This Row],[Start]],2)</f>
        <v>1</v>
      </c>
      <c r="I743">
        <f>WEEKNUM(Dates_Ref[[#This Row],[Start]],21)</f>
        <v>8</v>
      </c>
    </row>
    <row r="744" spans="2:9" x14ac:dyDescent="0.25">
      <c r="B744">
        <f>MONTH(Dates_Ref[[#This Row],[Start]])</f>
        <v>2</v>
      </c>
      <c r="C744" s="5">
        <f t="shared" si="12"/>
        <v>50094</v>
      </c>
      <c r="D744" s="2"/>
      <c r="G744" s="5" t="str">
        <f>IF(Dates_Ref[[#This Row],[Pay QCH]]&lt;&gt;E743,Dates_Ref[[#This Row],[Start]]+18,"")</f>
        <v/>
      </c>
      <c r="H744">
        <f>WEEKDAY(Dates_Ref[[#This Row],[Start]],2)</f>
        <v>1</v>
      </c>
      <c r="I744">
        <f>WEEKNUM(Dates_Ref[[#This Row],[Start]],21)</f>
        <v>9</v>
      </c>
    </row>
    <row r="745" spans="2:9" x14ac:dyDescent="0.25">
      <c r="B745">
        <f>MONTH(Dates_Ref[[#This Row],[Start]])</f>
        <v>3</v>
      </c>
      <c r="C745" s="5">
        <f t="shared" si="12"/>
        <v>50101</v>
      </c>
      <c r="D745" s="2"/>
      <c r="G745" s="5" t="str">
        <f>IF(Dates_Ref[[#This Row],[Pay QCH]]&lt;&gt;E744,Dates_Ref[[#This Row],[Start]]+18,"")</f>
        <v/>
      </c>
      <c r="H745">
        <f>WEEKDAY(Dates_Ref[[#This Row],[Start]],2)</f>
        <v>1</v>
      </c>
      <c r="I745">
        <f>WEEKNUM(Dates_Ref[[#This Row],[Start]],21)</f>
        <v>10</v>
      </c>
    </row>
    <row r="746" spans="2:9" x14ac:dyDescent="0.25">
      <c r="B746">
        <f>MONTH(Dates_Ref[[#This Row],[Start]])</f>
        <v>3</v>
      </c>
      <c r="C746" s="5">
        <f t="shared" si="12"/>
        <v>50108</v>
      </c>
      <c r="D746" s="2"/>
      <c r="G746" s="5" t="str">
        <f>IF(Dates_Ref[[#This Row],[Pay QCH]]&lt;&gt;E745,Dates_Ref[[#This Row],[Start]]+18,"")</f>
        <v/>
      </c>
      <c r="H746">
        <f>WEEKDAY(Dates_Ref[[#This Row],[Start]],2)</f>
        <v>1</v>
      </c>
      <c r="I746">
        <f>WEEKNUM(Dates_Ref[[#This Row],[Start]],21)</f>
        <v>11</v>
      </c>
    </row>
    <row r="747" spans="2:9" x14ac:dyDescent="0.25">
      <c r="B747">
        <f>MONTH(Dates_Ref[[#This Row],[Start]])</f>
        <v>3</v>
      </c>
      <c r="C747" s="5">
        <f t="shared" si="12"/>
        <v>50115</v>
      </c>
      <c r="D747" s="2"/>
      <c r="G747" s="5" t="str">
        <f>IF(Dates_Ref[[#This Row],[Pay QCH]]&lt;&gt;E746,Dates_Ref[[#This Row],[Start]]+18,"")</f>
        <v/>
      </c>
      <c r="H747">
        <f>WEEKDAY(Dates_Ref[[#This Row],[Start]],2)</f>
        <v>1</v>
      </c>
      <c r="I747">
        <f>WEEKNUM(Dates_Ref[[#This Row],[Start]],21)</f>
        <v>12</v>
      </c>
    </row>
    <row r="748" spans="2:9" x14ac:dyDescent="0.25">
      <c r="B748">
        <f>MONTH(Dates_Ref[[#This Row],[Start]])</f>
        <v>3</v>
      </c>
      <c r="C748" s="5">
        <f t="shared" si="12"/>
        <v>50122</v>
      </c>
      <c r="D748" s="2"/>
      <c r="G748" s="5" t="str">
        <f>IF(Dates_Ref[[#This Row],[Pay QCH]]&lt;&gt;E747,Dates_Ref[[#This Row],[Start]]+18,"")</f>
        <v/>
      </c>
      <c r="H748">
        <f>WEEKDAY(Dates_Ref[[#This Row],[Start]],2)</f>
        <v>1</v>
      </c>
      <c r="I748">
        <f>WEEKNUM(Dates_Ref[[#This Row],[Start]],21)</f>
        <v>13</v>
      </c>
    </row>
    <row r="749" spans="2:9" x14ac:dyDescent="0.25">
      <c r="B749">
        <f>MONTH(Dates_Ref[[#This Row],[Start]])</f>
        <v>3</v>
      </c>
      <c r="C749" s="5">
        <f t="shared" si="12"/>
        <v>50129</v>
      </c>
      <c r="D749" s="2"/>
      <c r="G749" s="5" t="str">
        <f>IF(Dates_Ref[[#This Row],[Pay QCH]]&lt;&gt;E748,Dates_Ref[[#This Row],[Start]]+18,"")</f>
        <v/>
      </c>
      <c r="H749">
        <f>WEEKDAY(Dates_Ref[[#This Row],[Start]],2)</f>
        <v>1</v>
      </c>
      <c r="I749">
        <f>WEEKNUM(Dates_Ref[[#This Row],[Start]],21)</f>
        <v>14</v>
      </c>
    </row>
    <row r="750" spans="2:9" x14ac:dyDescent="0.25">
      <c r="B750">
        <f>MONTH(Dates_Ref[[#This Row],[Start]])</f>
        <v>4</v>
      </c>
      <c r="C750" s="5">
        <f t="shared" si="12"/>
        <v>50136</v>
      </c>
      <c r="D750" s="2"/>
      <c r="G750" s="5" t="str">
        <f>IF(Dates_Ref[[#This Row],[Pay QCH]]&lt;&gt;E749,Dates_Ref[[#This Row],[Start]]+18,"")</f>
        <v/>
      </c>
      <c r="H750">
        <f>WEEKDAY(Dates_Ref[[#This Row],[Start]],2)</f>
        <v>1</v>
      </c>
      <c r="I750">
        <f>WEEKNUM(Dates_Ref[[#This Row],[Start]],21)</f>
        <v>15</v>
      </c>
    </row>
    <row r="751" spans="2:9" x14ac:dyDescent="0.25">
      <c r="B751">
        <f>MONTH(Dates_Ref[[#This Row],[Start]])</f>
        <v>4</v>
      </c>
      <c r="C751" s="5">
        <f t="shared" si="12"/>
        <v>50143</v>
      </c>
      <c r="D751" s="2"/>
      <c r="G751" s="5" t="str">
        <f>IF(Dates_Ref[[#This Row],[Pay QCH]]&lt;&gt;E750,Dates_Ref[[#This Row],[Start]]+18,"")</f>
        <v/>
      </c>
      <c r="H751">
        <f>WEEKDAY(Dates_Ref[[#This Row],[Start]],2)</f>
        <v>1</v>
      </c>
      <c r="I751">
        <f>WEEKNUM(Dates_Ref[[#This Row],[Start]],21)</f>
        <v>16</v>
      </c>
    </row>
    <row r="752" spans="2:9" x14ac:dyDescent="0.25">
      <c r="B752">
        <f>MONTH(Dates_Ref[[#This Row],[Start]])</f>
        <v>4</v>
      </c>
      <c r="C752" s="5">
        <f t="shared" si="12"/>
        <v>50150</v>
      </c>
      <c r="D752" s="2"/>
      <c r="G752" s="5" t="str">
        <f>IF(Dates_Ref[[#This Row],[Pay QCH]]&lt;&gt;E751,Dates_Ref[[#This Row],[Start]]+18,"")</f>
        <v/>
      </c>
      <c r="H752">
        <f>WEEKDAY(Dates_Ref[[#This Row],[Start]],2)</f>
        <v>1</v>
      </c>
      <c r="I752">
        <f>WEEKNUM(Dates_Ref[[#This Row],[Start]],21)</f>
        <v>17</v>
      </c>
    </row>
    <row r="753" spans="2:9" x14ac:dyDescent="0.25">
      <c r="B753">
        <f>MONTH(Dates_Ref[[#This Row],[Start]])</f>
        <v>4</v>
      </c>
      <c r="C753" s="5">
        <f t="shared" si="12"/>
        <v>50157</v>
      </c>
      <c r="D753" s="2"/>
      <c r="G753" s="5" t="str">
        <f>IF(Dates_Ref[[#This Row],[Pay QCH]]&lt;&gt;E752,Dates_Ref[[#This Row],[Start]]+18,"")</f>
        <v/>
      </c>
      <c r="H753">
        <f>WEEKDAY(Dates_Ref[[#This Row],[Start]],2)</f>
        <v>1</v>
      </c>
      <c r="I753">
        <f>WEEKNUM(Dates_Ref[[#This Row],[Start]],21)</f>
        <v>18</v>
      </c>
    </row>
    <row r="754" spans="2:9" x14ac:dyDescent="0.25">
      <c r="B754">
        <f>MONTH(Dates_Ref[[#This Row],[Start]])</f>
        <v>5</v>
      </c>
      <c r="C754" s="5">
        <f t="shared" si="12"/>
        <v>50164</v>
      </c>
      <c r="D754" s="2"/>
      <c r="G754" s="5" t="str">
        <f>IF(Dates_Ref[[#This Row],[Pay QCH]]&lt;&gt;E753,Dates_Ref[[#This Row],[Start]]+18,"")</f>
        <v/>
      </c>
      <c r="H754">
        <f>WEEKDAY(Dates_Ref[[#This Row],[Start]],2)</f>
        <v>1</v>
      </c>
      <c r="I754">
        <f>WEEKNUM(Dates_Ref[[#This Row],[Start]],21)</f>
        <v>19</v>
      </c>
    </row>
    <row r="755" spans="2:9" x14ac:dyDescent="0.25">
      <c r="B755">
        <f>MONTH(Dates_Ref[[#This Row],[Start]])</f>
        <v>5</v>
      </c>
      <c r="C755" s="5">
        <f t="shared" si="12"/>
        <v>50171</v>
      </c>
      <c r="D755" s="2"/>
      <c r="G755" s="5" t="str">
        <f>IF(Dates_Ref[[#This Row],[Pay QCH]]&lt;&gt;E754,Dates_Ref[[#This Row],[Start]]+18,"")</f>
        <v/>
      </c>
      <c r="H755">
        <f>WEEKDAY(Dates_Ref[[#This Row],[Start]],2)</f>
        <v>1</v>
      </c>
      <c r="I755">
        <f>WEEKNUM(Dates_Ref[[#This Row],[Start]],21)</f>
        <v>20</v>
      </c>
    </row>
    <row r="756" spans="2:9" x14ac:dyDescent="0.25">
      <c r="B756">
        <f>MONTH(Dates_Ref[[#This Row],[Start]])</f>
        <v>5</v>
      </c>
      <c r="C756" s="5">
        <f t="shared" si="12"/>
        <v>50178</v>
      </c>
      <c r="D756" s="2"/>
      <c r="G756" s="5" t="str">
        <f>IF(Dates_Ref[[#This Row],[Pay QCH]]&lt;&gt;E755,Dates_Ref[[#This Row],[Start]]+18,"")</f>
        <v/>
      </c>
      <c r="H756">
        <f>WEEKDAY(Dates_Ref[[#This Row],[Start]],2)</f>
        <v>1</v>
      </c>
      <c r="I756">
        <f>WEEKNUM(Dates_Ref[[#This Row],[Start]],21)</f>
        <v>21</v>
      </c>
    </row>
    <row r="757" spans="2:9" x14ac:dyDescent="0.25">
      <c r="B757">
        <f>MONTH(Dates_Ref[[#This Row],[Start]])</f>
        <v>5</v>
      </c>
      <c r="C757" s="5">
        <f t="shared" si="12"/>
        <v>50185</v>
      </c>
      <c r="D757" s="2"/>
      <c r="G757" s="5" t="str">
        <f>IF(Dates_Ref[[#This Row],[Pay QCH]]&lt;&gt;E756,Dates_Ref[[#This Row],[Start]]+18,"")</f>
        <v/>
      </c>
      <c r="H757">
        <f>WEEKDAY(Dates_Ref[[#This Row],[Start]],2)</f>
        <v>1</v>
      </c>
      <c r="I757">
        <f>WEEKNUM(Dates_Ref[[#This Row],[Start]],21)</f>
        <v>22</v>
      </c>
    </row>
    <row r="758" spans="2:9" x14ac:dyDescent="0.25">
      <c r="B758">
        <f>MONTH(Dates_Ref[[#This Row],[Start]])</f>
        <v>6</v>
      </c>
      <c r="C758" s="5">
        <f t="shared" si="12"/>
        <v>50192</v>
      </c>
      <c r="D758" s="2"/>
      <c r="G758" s="5" t="str">
        <f>IF(Dates_Ref[[#This Row],[Pay QCH]]&lt;&gt;E757,Dates_Ref[[#This Row],[Start]]+18,"")</f>
        <v/>
      </c>
      <c r="H758">
        <f>WEEKDAY(Dates_Ref[[#This Row],[Start]],2)</f>
        <v>1</v>
      </c>
      <c r="I758">
        <f>WEEKNUM(Dates_Ref[[#This Row],[Start]],21)</f>
        <v>23</v>
      </c>
    </row>
    <row r="759" spans="2:9" x14ac:dyDescent="0.25">
      <c r="B759">
        <f>MONTH(Dates_Ref[[#This Row],[Start]])</f>
        <v>6</v>
      </c>
      <c r="C759" s="5">
        <f t="shared" si="12"/>
        <v>50199</v>
      </c>
      <c r="D759" s="2"/>
      <c r="G759" s="5" t="str">
        <f>IF(Dates_Ref[[#This Row],[Pay QCH]]&lt;&gt;E758,Dates_Ref[[#This Row],[Start]]+18,"")</f>
        <v/>
      </c>
      <c r="H759">
        <f>WEEKDAY(Dates_Ref[[#This Row],[Start]],2)</f>
        <v>1</v>
      </c>
      <c r="I759">
        <f>WEEKNUM(Dates_Ref[[#This Row],[Start]],21)</f>
        <v>24</v>
      </c>
    </row>
    <row r="760" spans="2:9" x14ac:dyDescent="0.25">
      <c r="B760">
        <f>MONTH(Dates_Ref[[#This Row],[Start]])</f>
        <v>6</v>
      </c>
      <c r="C760" s="5">
        <f t="shared" si="12"/>
        <v>50206</v>
      </c>
      <c r="D760" s="2"/>
      <c r="G760" s="5" t="str">
        <f>IF(Dates_Ref[[#This Row],[Pay QCH]]&lt;&gt;E759,Dates_Ref[[#This Row],[Start]]+18,"")</f>
        <v/>
      </c>
      <c r="H760">
        <f>WEEKDAY(Dates_Ref[[#This Row],[Start]],2)</f>
        <v>1</v>
      </c>
      <c r="I760">
        <f>WEEKNUM(Dates_Ref[[#This Row],[Start]],21)</f>
        <v>25</v>
      </c>
    </row>
    <row r="761" spans="2:9" x14ac:dyDescent="0.25">
      <c r="B761">
        <f>MONTH(Dates_Ref[[#This Row],[Start]])</f>
        <v>6</v>
      </c>
      <c r="C761" s="5">
        <f t="shared" si="12"/>
        <v>50213</v>
      </c>
      <c r="D761" s="2"/>
      <c r="G761" s="5" t="str">
        <f>IF(Dates_Ref[[#This Row],[Pay QCH]]&lt;&gt;E760,Dates_Ref[[#This Row],[Start]]+18,"")</f>
        <v/>
      </c>
      <c r="H761">
        <f>WEEKDAY(Dates_Ref[[#This Row],[Start]],2)</f>
        <v>1</v>
      </c>
      <c r="I761">
        <f>WEEKNUM(Dates_Ref[[#This Row],[Start]],21)</f>
        <v>26</v>
      </c>
    </row>
    <row r="762" spans="2:9" x14ac:dyDescent="0.25">
      <c r="B762">
        <f>MONTH(Dates_Ref[[#This Row],[Start]])</f>
        <v>6</v>
      </c>
      <c r="C762" s="5">
        <f t="shared" si="12"/>
        <v>50220</v>
      </c>
      <c r="D762" s="2"/>
      <c r="G762" s="5" t="str">
        <f>IF(Dates_Ref[[#This Row],[Pay QCH]]&lt;&gt;E761,Dates_Ref[[#This Row],[Start]]+18,"")</f>
        <v/>
      </c>
      <c r="H762">
        <f>WEEKDAY(Dates_Ref[[#This Row],[Start]],2)</f>
        <v>1</v>
      </c>
      <c r="I762">
        <f>WEEKNUM(Dates_Ref[[#This Row],[Start]],21)</f>
        <v>27</v>
      </c>
    </row>
    <row r="763" spans="2:9" x14ac:dyDescent="0.25">
      <c r="B763">
        <f>MONTH(Dates_Ref[[#This Row],[Start]])</f>
        <v>7</v>
      </c>
      <c r="C763" s="5">
        <f t="shared" si="12"/>
        <v>50227</v>
      </c>
      <c r="D763" s="2"/>
      <c r="G763" s="5" t="str">
        <f>IF(Dates_Ref[[#This Row],[Pay QCH]]&lt;&gt;E762,Dates_Ref[[#This Row],[Start]]+18,"")</f>
        <v/>
      </c>
      <c r="H763">
        <f>WEEKDAY(Dates_Ref[[#This Row],[Start]],2)</f>
        <v>1</v>
      </c>
      <c r="I763">
        <f>WEEKNUM(Dates_Ref[[#This Row],[Start]],21)</f>
        <v>28</v>
      </c>
    </row>
    <row r="764" spans="2:9" x14ac:dyDescent="0.25">
      <c r="B764">
        <f>MONTH(Dates_Ref[[#This Row],[Start]])</f>
        <v>7</v>
      </c>
      <c r="C764" s="5">
        <f t="shared" si="12"/>
        <v>50234</v>
      </c>
      <c r="D764" s="2"/>
      <c r="G764" s="5" t="str">
        <f>IF(Dates_Ref[[#This Row],[Pay QCH]]&lt;&gt;E763,Dates_Ref[[#This Row],[Start]]+18,"")</f>
        <v/>
      </c>
      <c r="H764">
        <f>WEEKDAY(Dates_Ref[[#This Row],[Start]],2)</f>
        <v>1</v>
      </c>
      <c r="I764">
        <f>WEEKNUM(Dates_Ref[[#This Row],[Start]],21)</f>
        <v>29</v>
      </c>
    </row>
    <row r="765" spans="2:9" x14ac:dyDescent="0.25">
      <c r="B765">
        <f>MONTH(Dates_Ref[[#This Row],[Start]])</f>
        <v>7</v>
      </c>
      <c r="C765" s="5">
        <f t="shared" si="12"/>
        <v>50241</v>
      </c>
      <c r="D765" s="2"/>
      <c r="G765" s="5" t="str">
        <f>IF(Dates_Ref[[#This Row],[Pay QCH]]&lt;&gt;E764,Dates_Ref[[#This Row],[Start]]+18,"")</f>
        <v/>
      </c>
      <c r="H765">
        <f>WEEKDAY(Dates_Ref[[#This Row],[Start]],2)</f>
        <v>1</v>
      </c>
      <c r="I765">
        <f>WEEKNUM(Dates_Ref[[#This Row],[Start]],21)</f>
        <v>30</v>
      </c>
    </row>
    <row r="766" spans="2:9" x14ac:dyDescent="0.25">
      <c r="B766">
        <f>MONTH(Dates_Ref[[#This Row],[Start]])</f>
        <v>7</v>
      </c>
      <c r="C766" s="5">
        <f t="shared" si="12"/>
        <v>50248</v>
      </c>
      <c r="D766" s="2"/>
      <c r="G766" s="5" t="str">
        <f>IF(Dates_Ref[[#This Row],[Pay QCH]]&lt;&gt;E765,Dates_Ref[[#This Row],[Start]]+18,"")</f>
        <v/>
      </c>
      <c r="H766">
        <f>WEEKDAY(Dates_Ref[[#This Row],[Start]],2)</f>
        <v>1</v>
      </c>
      <c r="I766">
        <f>WEEKNUM(Dates_Ref[[#This Row],[Start]],21)</f>
        <v>31</v>
      </c>
    </row>
    <row r="767" spans="2:9" x14ac:dyDescent="0.25">
      <c r="B767">
        <f>MONTH(Dates_Ref[[#This Row],[Start]])</f>
        <v>8</v>
      </c>
      <c r="C767" s="5">
        <f t="shared" si="12"/>
        <v>50255</v>
      </c>
      <c r="D767" s="2"/>
      <c r="G767" s="5" t="str">
        <f>IF(Dates_Ref[[#This Row],[Pay QCH]]&lt;&gt;E766,Dates_Ref[[#This Row],[Start]]+18,"")</f>
        <v/>
      </c>
      <c r="H767">
        <f>WEEKDAY(Dates_Ref[[#This Row],[Start]],2)</f>
        <v>1</v>
      </c>
      <c r="I767">
        <f>WEEKNUM(Dates_Ref[[#This Row],[Start]],21)</f>
        <v>32</v>
      </c>
    </row>
    <row r="768" spans="2:9" x14ac:dyDescent="0.25">
      <c r="B768">
        <f>MONTH(Dates_Ref[[#This Row],[Start]])</f>
        <v>8</v>
      </c>
      <c r="C768" s="5">
        <f t="shared" si="12"/>
        <v>50262</v>
      </c>
      <c r="D768" s="2"/>
      <c r="G768" s="5" t="str">
        <f>IF(Dates_Ref[[#This Row],[Pay QCH]]&lt;&gt;E767,Dates_Ref[[#This Row],[Start]]+18,"")</f>
        <v/>
      </c>
      <c r="H768">
        <f>WEEKDAY(Dates_Ref[[#This Row],[Start]],2)</f>
        <v>1</v>
      </c>
      <c r="I768">
        <f>WEEKNUM(Dates_Ref[[#This Row],[Start]],21)</f>
        <v>33</v>
      </c>
    </row>
    <row r="769" spans="2:9" x14ac:dyDescent="0.25">
      <c r="B769">
        <f>MONTH(Dates_Ref[[#This Row],[Start]])</f>
        <v>8</v>
      </c>
      <c r="C769" s="5">
        <f t="shared" si="12"/>
        <v>50269</v>
      </c>
      <c r="D769" s="2"/>
      <c r="G769" s="5" t="str">
        <f>IF(Dates_Ref[[#This Row],[Pay QCH]]&lt;&gt;E768,Dates_Ref[[#This Row],[Start]]+18,"")</f>
        <v/>
      </c>
      <c r="H769">
        <f>WEEKDAY(Dates_Ref[[#This Row],[Start]],2)</f>
        <v>1</v>
      </c>
      <c r="I769">
        <f>WEEKNUM(Dates_Ref[[#This Row],[Start]],21)</f>
        <v>34</v>
      </c>
    </row>
    <row r="770" spans="2:9" x14ac:dyDescent="0.25">
      <c r="B770">
        <f>MONTH(Dates_Ref[[#This Row],[Start]])</f>
        <v>8</v>
      </c>
      <c r="C770" s="5">
        <f t="shared" si="12"/>
        <v>50276</v>
      </c>
      <c r="D770" s="2"/>
      <c r="G770" s="5" t="str">
        <f>IF(Dates_Ref[[#This Row],[Pay QCH]]&lt;&gt;E769,Dates_Ref[[#This Row],[Start]]+18,"")</f>
        <v/>
      </c>
      <c r="H770">
        <f>WEEKDAY(Dates_Ref[[#This Row],[Start]],2)</f>
        <v>1</v>
      </c>
      <c r="I770">
        <f>WEEKNUM(Dates_Ref[[#This Row],[Start]],21)</f>
        <v>35</v>
      </c>
    </row>
    <row r="771" spans="2:9" x14ac:dyDescent="0.25">
      <c r="B771">
        <f>MONTH(Dates_Ref[[#This Row],[Start]])</f>
        <v>8</v>
      </c>
      <c r="C771" s="5">
        <f t="shared" si="12"/>
        <v>50283</v>
      </c>
      <c r="D771" s="2"/>
      <c r="G771" s="5" t="str">
        <f>IF(Dates_Ref[[#This Row],[Pay QCH]]&lt;&gt;E770,Dates_Ref[[#This Row],[Start]]+18,"")</f>
        <v/>
      </c>
      <c r="H771">
        <f>WEEKDAY(Dates_Ref[[#This Row],[Start]],2)</f>
        <v>1</v>
      </c>
      <c r="I771">
        <f>WEEKNUM(Dates_Ref[[#This Row],[Start]],21)</f>
        <v>36</v>
      </c>
    </row>
    <row r="772" spans="2:9" x14ac:dyDescent="0.25">
      <c r="B772">
        <f>MONTH(Dates_Ref[[#This Row],[Start]])</f>
        <v>9</v>
      </c>
      <c r="C772" s="5">
        <f t="shared" si="12"/>
        <v>50290</v>
      </c>
      <c r="D772" s="2"/>
      <c r="G772" s="5" t="str">
        <f>IF(Dates_Ref[[#This Row],[Pay QCH]]&lt;&gt;E771,Dates_Ref[[#This Row],[Start]]+18,"")</f>
        <v/>
      </c>
      <c r="H772">
        <f>WEEKDAY(Dates_Ref[[#This Row],[Start]],2)</f>
        <v>1</v>
      </c>
      <c r="I772">
        <f>WEEKNUM(Dates_Ref[[#This Row],[Start]],21)</f>
        <v>37</v>
      </c>
    </row>
    <row r="773" spans="2:9" x14ac:dyDescent="0.25">
      <c r="B773">
        <f>MONTH(Dates_Ref[[#This Row],[Start]])</f>
        <v>9</v>
      </c>
      <c r="C773" s="5">
        <f t="shared" si="12"/>
        <v>50297</v>
      </c>
      <c r="D773" s="2"/>
      <c r="G773" s="5" t="str">
        <f>IF(Dates_Ref[[#This Row],[Pay QCH]]&lt;&gt;E772,Dates_Ref[[#This Row],[Start]]+18,"")</f>
        <v/>
      </c>
      <c r="H773">
        <f>WEEKDAY(Dates_Ref[[#This Row],[Start]],2)</f>
        <v>1</v>
      </c>
      <c r="I773">
        <f>WEEKNUM(Dates_Ref[[#This Row],[Start]],21)</f>
        <v>38</v>
      </c>
    </row>
    <row r="774" spans="2:9" x14ac:dyDescent="0.25">
      <c r="B774">
        <f>MONTH(Dates_Ref[[#This Row],[Start]])</f>
        <v>9</v>
      </c>
      <c r="C774" s="5">
        <f t="shared" si="12"/>
        <v>50304</v>
      </c>
      <c r="D774" s="2"/>
      <c r="G774" s="5" t="str">
        <f>IF(Dates_Ref[[#This Row],[Pay QCH]]&lt;&gt;E773,Dates_Ref[[#This Row],[Start]]+18,"")</f>
        <v/>
      </c>
      <c r="H774">
        <f>WEEKDAY(Dates_Ref[[#This Row],[Start]],2)</f>
        <v>1</v>
      </c>
      <c r="I774">
        <f>WEEKNUM(Dates_Ref[[#This Row],[Start]],21)</f>
        <v>39</v>
      </c>
    </row>
    <row r="775" spans="2:9" x14ac:dyDescent="0.25">
      <c r="B775">
        <f>MONTH(Dates_Ref[[#This Row],[Start]])</f>
        <v>9</v>
      </c>
      <c r="C775" s="5">
        <f t="shared" ref="C775:C838" si="13">C774+7</f>
        <v>50311</v>
      </c>
      <c r="D775" s="2"/>
      <c r="G775" s="5" t="str">
        <f>IF(Dates_Ref[[#This Row],[Pay QCH]]&lt;&gt;E774,Dates_Ref[[#This Row],[Start]]+18,"")</f>
        <v/>
      </c>
      <c r="H775">
        <f>WEEKDAY(Dates_Ref[[#This Row],[Start]],2)</f>
        <v>1</v>
      </c>
      <c r="I775">
        <f>WEEKNUM(Dates_Ref[[#This Row],[Start]],21)</f>
        <v>40</v>
      </c>
    </row>
    <row r="776" spans="2:9" x14ac:dyDescent="0.25">
      <c r="B776">
        <f>MONTH(Dates_Ref[[#This Row],[Start]])</f>
        <v>10</v>
      </c>
      <c r="C776" s="5">
        <f t="shared" si="13"/>
        <v>50318</v>
      </c>
      <c r="D776" s="2"/>
      <c r="G776" s="5" t="str">
        <f>IF(Dates_Ref[[#This Row],[Pay QCH]]&lt;&gt;E775,Dates_Ref[[#This Row],[Start]]+18,"")</f>
        <v/>
      </c>
      <c r="H776">
        <f>WEEKDAY(Dates_Ref[[#This Row],[Start]],2)</f>
        <v>1</v>
      </c>
      <c r="I776">
        <f>WEEKNUM(Dates_Ref[[#This Row],[Start]],21)</f>
        <v>41</v>
      </c>
    </row>
    <row r="777" spans="2:9" x14ac:dyDescent="0.25">
      <c r="B777">
        <f>MONTH(Dates_Ref[[#This Row],[Start]])</f>
        <v>10</v>
      </c>
      <c r="C777" s="5">
        <f t="shared" si="13"/>
        <v>50325</v>
      </c>
      <c r="D777" s="2"/>
      <c r="G777" s="5" t="str">
        <f>IF(Dates_Ref[[#This Row],[Pay QCH]]&lt;&gt;E776,Dates_Ref[[#This Row],[Start]]+18,"")</f>
        <v/>
      </c>
      <c r="H777">
        <f>WEEKDAY(Dates_Ref[[#This Row],[Start]],2)</f>
        <v>1</v>
      </c>
      <c r="I777">
        <f>WEEKNUM(Dates_Ref[[#This Row],[Start]],21)</f>
        <v>42</v>
      </c>
    </row>
    <row r="778" spans="2:9" x14ac:dyDescent="0.25">
      <c r="B778">
        <f>MONTH(Dates_Ref[[#This Row],[Start]])</f>
        <v>10</v>
      </c>
      <c r="C778" s="5">
        <f t="shared" si="13"/>
        <v>50332</v>
      </c>
      <c r="D778" s="2"/>
      <c r="G778" s="5" t="str">
        <f>IF(Dates_Ref[[#This Row],[Pay QCH]]&lt;&gt;E777,Dates_Ref[[#This Row],[Start]]+18,"")</f>
        <v/>
      </c>
      <c r="H778">
        <f>WEEKDAY(Dates_Ref[[#This Row],[Start]],2)</f>
        <v>1</v>
      </c>
      <c r="I778">
        <f>WEEKNUM(Dates_Ref[[#This Row],[Start]],21)</f>
        <v>43</v>
      </c>
    </row>
    <row r="779" spans="2:9" x14ac:dyDescent="0.25">
      <c r="B779">
        <f>MONTH(Dates_Ref[[#This Row],[Start]])</f>
        <v>10</v>
      </c>
      <c r="C779" s="5">
        <f t="shared" si="13"/>
        <v>50339</v>
      </c>
      <c r="D779" s="2"/>
      <c r="G779" s="5" t="str">
        <f>IF(Dates_Ref[[#This Row],[Pay QCH]]&lt;&gt;E778,Dates_Ref[[#This Row],[Start]]+18,"")</f>
        <v/>
      </c>
      <c r="H779">
        <f>WEEKDAY(Dates_Ref[[#This Row],[Start]],2)</f>
        <v>1</v>
      </c>
      <c r="I779">
        <f>WEEKNUM(Dates_Ref[[#This Row],[Start]],21)</f>
        <v>44</v>
      </c>
    </row>
    <row r="780" spans="2:9" x14ac:dyDescent="0.25">
      <c r="B780">
        <f>MONTH(Dates_Ref[[#This Row],[Start]])</f>
        <v>11</v>
      </c>
      <c r="C780" s="5">
        <f t="shared" si="13"/>
        <v>50346</v>
      </c>
      <c r="D780" s="2"/>
      <c r="G780" s="5" t="str">
        <f>IF(Dates_Ref[[#This Row],[Pay QCH]]&lt;&gt;E779,Dates_Ref[[#This Row],[Start]]+18,"")</f>
        <v/>
      </c>
      <c r="H780">
        <f>WEEKDAY(Dates_Ref[[#This Row],[Start]],2)</f>
        <v>1</v>
      </c>
      <c r="I780">
        <f>WEEKNUM(Dates_Ref[[#This Row],[Start]],21)</f>
        <v>45</v>
      </c>
    </row>
    <row r="781" spans="2:9" x14ac:dyDescent="0.25">
      <c r="B781">
        <f>MONTH(Dates_Ref[[#This Row],[Start]])</f>
        <v>11</v>
      </c>
      <c r="C781" s="5">
        <f t="shared" si="13"/>
        <v>50353</v>
      </c>
      <c r="D781" s="2"/>
      <c r="G781" s="5" t="str">
        <f>IF(Dates_Ref[[#This Row],[Pay QCH]]&lt;&gt;E780,Dates_Ref[[#This Row],[Start]]+18,"")</f>
        <v/>
      </c>
      <c r="H781">
        <f>WEEKDAY(Dates_Ref[[#This Row],[Start]],2)</f>
        <v>1</v>
      </c>
      <c r="I781">
        <f>WEEKNUM(Dates_Ref[[#This Row],[Start]],21)</f>
        <v>46</v>
      </c>
    </row>
    <row r="782" spans="2:9" x14ac:dyDescent="0.25">
      <c r="B782">
        <f>MONTH(Dates_Ref[[#This Row],[Start]])</f>
        <v>11</v>
      </c>
      <c r="C782" s="5">
        <f t="shared" si="13"/>
        <v>50360</v>
      </c>
      <c r="D782" s="2"/>
      <c r="G782" s="5" t="str">
        <f>IF(Dates_Ref[[#This Row],[Pay QCH]]&lt;&gt;E781,Dates_Ref[[#This Row],[Start]]+18,"")</f>
        <v/>
      </c>
      <c r="H782">
        <f>WEEKDAY(Dates_Ref[[#This Row],[Start]],2)</f>
        <v>1</v>
      </c>
      <c r="I782">
        <f>WEEKNUM(Dates_Ref[[#This Row],[Start]],21)</f>
        <v>47</v>
      </c>
    </row>
    <row r="783" spans="2:9" x14ac:dyDescent="0.25">
      <c r="B783">
        <f>MONTH(Dates_Ref[[#This Row],[Start]])</f>
        <v>11</v>
      </c>
      <c r="C783" s="5">
        <f t="shared" si="13"/>
        <v>50367</v>
      </c>
      <c r="D783" s="2"/>
      <c r="G783" s="5" t="str">
        <f>IF(Dates_Ref[[#This Row],[Pay QCH]]&lt;&gt;E782,Dates_Ref[[#This Row],[Start]]+18,"")</f>
        <v/>
      </c>
      <c r="H783">
        <f>WEEKDAY(Dates_Ref[[#This Row],[Start]],2)</f>
        <v>1</v>
      </c>
      <c r="I783">
        <f>WEEKNUM(Dates_Ref[[#This Row],[Start]],21)</f>
        <v>48</v>
      </c>
    </row>
    <row r="784" spans="2:9" x14ac:dyDescent="0.25">
      <c r="B784">
        <f>MONTH(Dates_Ref[[#This Row],[Start]])</f>
        <v>11</v>
      </c>
      <c r="C784" s="5">
        <f t="shared" si="13"/>
        <v>50374</v>
      </c>
      <c r="D784" s="2"/>
      <c r="G784" s="5" t="str">
        <f>IF(Dates_Ref[[#This Row],[Pay QCH]]&lt;&gt;E783,Dates_Ref[[#This Row],[Start]]+18,"")</f>
        <v/>
      </c>
      <c r="H784">
        <f>WEEKDAY(Dates_Ref[[#This Row],[Start]],2)</f>
        <v>1</v>
      </c>
      <c r="I784">
        <f>WEEKNUM(Dates_Ref[[#This Row],[Start]],21)</f>
        <v>49</v>
      </c>
    </row>
    <row r="785" spans="2:9" x14ac:dyDescent="0.25">
      <c r="B785">
        <f>MONTH(Dates_Ref[[#This Row],[Start]])</f>
        <v>12</v>
      </c>
      <c r="C785" s="5">
        <f t="shared" si="13"/>
        <v>50381</v>
      </c>
      <c r="D785" s="2"/>
      <c r="G785" s="5" t="str">
        <f>IF(Dates_Ref[[#This Row],[Pay QCH]]&lt;&gt;E784,Dates_Ref[[#This Row],[Start]]+18,"")</f>
        <v/>
      </c>
      <c r="H785">
        <f>WEEKDAY(Dates_Ref[[#This Row],[Start]],2)</f>
        <v>1</v>
      </c>
      <c r="I785">
        <f>WEEKNUM(Dates_Ref[[#This Row],[Start]],21)</f>
        <v>50</v>
      </c>
    </row>
    <row r="786" spans="2:9" x14ac:dyDescent="0.25">
      <c r="B786">
        <f>MONTH(Dates_Ref[[#This Row],[Start]])</f>
        <v>12</v>
      </c>
      <c r="C786" s="5">
        <f t="shared" si="13"/>
        <v>50388</v>
      </c>
      <c r="D786" s="2"/>
      <c r="G786" s="5" t="str">
        <f>IF(Dates_Ref[[#This Row],[Pay QCH]]&lt;&gt;E785,Dates_Ref[[#This Row],[Start]]+18,"")</f>
        <v/>
      </c>
      <c r="H786">
        <f>WEEKDAY(Dates_Ref[[#This Row],[Start]],2)</f>
        <v>1</v>
      </c>
      <c r="I786">
        <f>WEEKNUM(Dates_Ref[[#This Row],[Start]],21)</f>
        <v>51</v>
      </c>
    </row>
    <row r="787" spans="2:9" x14ac:dyDescent="0.25">
      <c r="B787">
        <f>MONTH(Dates_Ref[[#This Row],[Start]])</f>
        <v>12</v>
      </c>
      <c r="C787" s="5">
        <f t="shared" si="13"/>
        <v>50395</v>
      </c>
      <c r="D787" s="2"/>
      <c r="G787" s="5" t="str">
        <f>IF(Dates_Ref[[#This Row],[Pay QCH]]&lt;&gt;E786,Dates_Ref[[#This Row],[Start]]+18,"")</f>
        <v/>
      </c>
      <c r="H787">
        <f>WEEKDAY(Dates_Ref[[#This Row],[Start]],2)</f>
        <v>1</v>
      </c>
      <c r="I787">
        <f>WEEKNUM(Dates_Ref[[#This Row],[Start]],21)</f>
        <v>52</v>
      </c>
    </row>
    <row r="788" spans="2:9" x14ac:dyDescent="0.25">
      <c r="B788">
        <f>MONTH(Dates_Ref[[#This Row],[Start]])</f>
        <v>12</v>
      </c>
      <c r="C788" s="5">
        <f t="shared" si="13"/>
        <v>50402</v>
      </c>
      <c r="D788" s="2"/>
      <c r="G788" s="5" t="str">
        <f>IF(Dates_Ref[[#This Row],[Pay QCH]]&lt;&gt;E787,Dates_Ref[[#This Row],[Start]]+18,"")</f>
        <v/>
      </c>
      <c r="H788">
        <f>WEEKDAY(Dates_Ref[[#This Row],[Start]],2)</f>
        <v>1</v>
      </c>
      <c r="I788">
        <f>WEEKNUM(Dates_Ref[[#This Row],[Start]],21)</f>
        <v>53</v>
      </c>
    </row>
    <row r="789" spans="2:9" x14ac:dyDescent="0.25">
      <c r="B789">
        <f>MONTH(Dates_Ref[[#This Row],[Start]])</f>
        <v>1</v>
      </c>
      <c r="C789" s="5">
        <f t="shared" si="13"/>
        <v>50409</v>
      </c>
      <c r="D789" s="2"/>
      <c r="G789" s="5" t="str">
        <f>IF(Dates_Ref[[#This Row],[Pay QCH]]&lt;&gt;E788,Dates_Ref[[#This Row],[Start]]+18,"")</f>
        <v/>
      </c>
      <c r="H789">
        <f>WEEKDAY(Dates_Ref[[#This Row],[Start]],2)</f>
        <v>1</v>
      </c>
      <c r="I789">
        <f>WEEKNUM(Dates_Ref[[#This Row],[Start]],21)</f>
        <v>1</v>
      </c>
    </row>
    <row r="790" spans="2:9" x14ac:dyDescent="0.25">
      <c r="B790">
        <f>MONTH(Dates_Ref[[#This Row],[Start]])</f>
        <v>1</v>
      </c>
      <c r="C790" s="5">
        <f t="shared" si="13"/>
        <v>50416</v>
      </c>
      <c r="D790" s="2"/>
      <c r="G790" s="5" t="str">
        <f>IF(Dates_Ref[[#This Row],[Pay QCH]]&lt;&gt;E789,Dates_Ref[[#This Row],[Start]]+18,"")</f>
        <v/>
      </c>
      <c r="H790">
        <f>WEEKDAY(Dates_Ref[[#This Row],[Start]],2)</f>
        <v>1</v>
      </c>
      <c r="I790">
        <f>WEEKNUM(Dates_Ref[[#This Row],[Start]],21)</f>
        <v>2</v>
      </c>
    </row>
    <row r="791" spans="2:9" x14ac:dyDescent="0.25">
      <c r="B791">
        <f>MONTH(Dates_Ref[[#This Row],[Start]])</f>
        <v>1</v>
      </c>
      <c r="C791" s="5">
        <f t="shared" si="13"/>
        <v>50423</v>
      </c>
      <c r="D791" s="2"/>
      <c r="G791" s="5" t="str">
        <f>IF(Dates_Ref[[#This Row],[Pay QCH]]&lt;&gt;E790,Dates_Ref[[#This Row],[Start]]+18,"")</f>
        <v/>
      </c>
      <c r="H791">
        <f>WEEKDAY(Dates_Ref[[#This Row],[Start]],2)</f>
        <v>1</v>
      </c>
      <c r="I791">
        <f>WEEKNUM(Dates_Ref[[#This Row],[Start]],21)</f>
        <v>3</v>
      </c>
    </row>
    <row r="792" spans="2:9" x14ac:dyDescent="0.25">
      <c r="B792">
        <f>MONTH(Dates_Ref[[#This Row],[Start]])</f>
        <v>1</v>
      </c>
      <c r="C792" s="5">
        <f t="shared" si="13"/>
        <v>50430</v>
      </c>
      <c r="D792" s="2"/>
      <c r="G792" s="5" t="str">
        <f>IF(Dates_Ref[[#This Row],[Pay QCH]]&lt;&gt;E791,Dates_Ref[[#This Row],[Start]]+18,"")</f>
        <v/>
      </c>
      <c r="H792">
        <f>WEEKDAY(Dates_Ref[[#This Row],[Start]],2)</f>
        <v>1</v>
      </c>
      <c r="I792">
        <f>WEEKNUM(Dates_Ref[[#This Row],[Start]],21)</f>
        <v>4</v>
      </c>
    </row>
    <row r="793" spans="2:9" x14ac:dyDescent="0.25">
      <c r="B793">
        <f>MONTH(Dates_Ref[[#This Row],[Start]])</f>
        <v>2</v>
      </c>
      <c r="C793" s="5">
        <f t="shared" si="13"/>
        <v>50437</v>
      </c>
      <c r="D793" s="2"/>
      <c r="G793" s="5" t="str">
        <f>IF(Dates_Ref[[#This Row],[Pay QCH]]&lt;&gt;E792,Dates_Ref[[#This Row],[Start]]+18,"")</f>
        <v/>
      </c>
      <c r="H793">
        <f>WEEKDAY(Dates_Ref[[#This Row],[Start]],2)</f>
        <v>1</v>
      </c>
      <c r="I793">
        <f>WEEKNUM(Dates_Ref[[#This Row],[Start]],21)</f>
        <v>5</v>
      </c>
    </row>
    <row r="794" spans="2:9" x14ac:dyDescent="0.25">
      <c r="B794">
        <f>MONTH(Dates_Ref[[#This Row],[Start]])</f>
        <v>2</v>
      </c>
      <c r="C794" s="5">
        <f t="shared" si="13"/>
        <v>50444</v>
      </c>
      <c r="D794" s="2"/>
      <c r="G794" s="5" t="str">
        <f>IF(Dates_Ref[[#This Row],[Pay QCH]]&lt;&gt;E793,Dates_Ref[[#This Row],[Start]]+18,"")</f>
        <v/>
      </c>
      <c r="H794">
        <f>WEEKDAY(Dates_Ref[[#This Row],[Start]],2)</f>
        <v>1</v>
      </c>
      <c r="I794">
        <f>WEEKNUM(Dates_Ref[[#This Row],[Start]],21)</f>
        <v>6</v>
      </c>
    </row>
    <row r="795" spans="2:9" x14ac:dyDescent="0.25">
      <c r="B795">
        <f>MONTH(Dates_Ref[[#This Row],[Start]])</f>
        <v>2</v>
      </c>
      <c r="C795" s="5">
        <f t="shared" si="13"/>
        <v>50451</v>
      </c>
      <c r="D795" s="2"/>
      <c r="G795" s="5" t="str">
        <f>IF(Dates_Ref[[#This Row],[Pay QCH]]&lt;&gt;E794,Dates_Ref[[#This Row],[Start]]+18,"")</f>
        <v/>
      </c>
      <c r="H795">
        <f>WEEKDAY(Dates_Ref[[#This Row],[Start]],2)</f>
        <v>1</v>
      </c>
      <c r="I795">
        <f>WEEKNUM(Dates_Ref[[#This Row],[Start]],21)</f>
        <v>7</v>
      </c>
    </row>
    <row r="796" spans="2:9" x14ac:dyDescent="0.25">
      <c r="B796">
        <f>MONTH(Dates_Ref[[#This Row],[Start]])</f>
        <v>2</v>
      </c>
      <c r="C796" s="5">
        <f t="shared" si="13"/>
        <v>50458</v>
      </c>
      <c r="D796" s="2"/>
      <c r="G796" s="5" t="str">
        <f>IF(Dates_Ref[[#This Row],[Pay QCH]]&lt;&gt;E795,Dates_Ref[[#This Row],[Start]]+18,"")</f>
        <v/>
      </c>
      <c r="H796">
        <f>WEEKDAY(Dates_Ref[[#This Row],[Start]],2)</f>
        <v>1</v>
      </c>
      <c r="I796">
        <f>WEEKNUM(Dates_Ref[[#This Row],[Start]],21)</f>
        <v>8</v>
      </c>
    </row>
    <row r="797" spans="2:9" x14ac:dyDescent="0.25">
      <c r="B797">
        <f>MONTH(Dates_Ref[[#This Row],[Start]])</f>
        <v>3</v>
      </c>
      <c r="C797" s="5">
        <f t="shared" si="13"/>
        <v>50465</v>
      </c>
      <c r="D797" s="2"/>
      <c r="G797" s="5" t="str">
        <f>IF(Dates_Ref[[#This Row],[Pay QCH]]&lt;&gt;E796,Dates_Ref[[#This Row],[Start]]+18,"")</f>
        <v/>
      </c>
      <c r="H797">
        <f>WEEKDAY(Dates_Ref[[#This Row],[Start]],2)</f>
        <v>1</v>
      </c>
      <c r="I797">
        <f>WEEKNUM(Dates_Ref[[#This Row],[Start]],21)</f>
        <v>9</v>
      </c>
    </row>
    <row r="798" spans="2:9" x14ac:dyDescent="0.25">
      <c r="B798">
        <f>MONTH(Dates_Ref[[#This Row],[Start]])</f>
        <v>3</v>
      </c>
      <c r="C798" s="5">
        <f t="shared" si="13"/>
        <v>50472</v>
      </c>
      <c r="D798" s="2"/>
      <c r="G798" s="5" t="str">
        <f>IF(Dates_Ref[[#This Row],[Pay QCH]]&lt;&gt;E797,Dates_Ref[[#This Row],[Start]]+18,"")</f>
        <v/>
      </c>
      <c r="H798">
        <f>WEEKDAY(Dates_Ref[[#This Row],[Start]],2)</f>
        <v>1</v>
      </c>
      <c r="I798">
        <f>WEEKNUM(Dates_Ref[[#This Row],[Start]],21)</f>
        <v>10</v>
      </c>
    </row>
    <row r="799" spans="2:9" x14ac:dyDescent="0.25">
      <c r="B799">
        <f>MONTH(Dates_Ref[[#This Row],[Start]])</f>
        <v>3</v>
      </c>
      <c r="C799" s="5">
        <f t="shared" si="13"/>
        <v>50479</v>
      </c>
      <c r="D799" s="2"/>
      <c r="G799" s="5" t="str">
        <f>IF(Dates_Ref[[#This Row],[Pay QCH]]&lt;&gt;E798,Dates_Ref[[#This Row],[Start]]+18,"")</f>
        <v/>
      </c>
      <c r="H799">
        <f>WEEKDAY(Dates_Ref[[#This Row],[Start]],2)</f>
        <v>1</v>
      </c>
      <c r="I799">
        <f>WEEKNUM(Dates_Ref[[#This Row],[Start]],21)</f>
        <v>11</v>
      </c>
    </row>
    <row r="800" spans="2:9" x14ac:dyDescent="0.25">
      <c r="B800">
        <f>MONTH(Dates_Ref[[#This Row],[Start]])</f>
        <v>3</v>
      </c>
      <c r="C800" s="5">
        <f t="shared" si="13"/>
        <v>50486</v>
      </c>
      <c r="D800" s="2"/>
      <c r="G800" s="5" t="str">
        <f>IF(Dates_Ref[[#This Row],[Pay QCH]]&lt;&gt;E799,Dates_Ref[[#This Row],[Start]]+18,"")</f>
        <v/>
      </c>
      <c r="H800">
        <f>WEEKDAY(Dates_Ref[[#This Row],[Start]],2)</f>
        <v>1</v>
      </c>
      <c r="I800">
        <f>WEEKNUM(Dates_Ref[[#This Row],[Start]],21)</f>
        <v>12</v>
      </c>
    </row>
    <row r="801" spans="2:9" x14ac:dyDescent="0.25">
      <c r="B801">
        <f>MONTH(Dates_Ref[[#This Row],[Start]])</f>
        <v>3</v>
      </c>
      <c r="C801" s="5">
        <f t="shared" si="13"/>
        <v>50493</v>
      </c>
      <c r="D801" s="2"/>
      <c r="G801" s="5" t="str">
        <f>IF(Dates_Ref[[#This Row],[Pay QCH]]&lt;&gt;E800,Dates_Ref[[#This Row],[Start]]+18,"")</f>
        <v/>
      </c>
      <c r="H801">
        <f>WEEKDAY(Dates_Ref[[#This Row],[Start]],2)</f>
        <v>1</v>
      </c>
      <c r="I801">
        <f>WEEKNUM(Dates_Ref[[#This Row],[Start]],21)</f>
        <v>13</v>
      </c>
    </row>
    <row r="802" spans="2:9" x14ac:dyDescent="0.25">
      <c r="B802">
        <f>MONTH(Dates_Ref[[#This Row],[Start]])</f>
        <v>4</v>
      </c>
      <c r="C802" s="5">
        <f t="shared" si="13"/>
        <v>50500</v>
      </c>
      <c r="D802" s="2"/>
      <c r="G802" s="5" t="str">
        <f>IF(Dates_Ref[[#This Row],[Pay QCH]]&lt;&gt;E801,Dates_Ref[[#This Row],[Start]]+18,"")</f>
        <v/>
      </c>
      <c r="H802">
        <f>WEEKDAY(Dates_Ref[[#This Row],[Start]],2)</f>
        <v>1</v>
      </c>
      <c r="I802">
        <f>WEEKNUM(Dates_Ref[[#This Row],[Start]],21)</f>
        <v>14</v>
      </c>
    </row>
    <row r="803" spans="2:9" x14ac:dyDescent="0.25">
      <c r="B803">
        <f>MONTH(Dates_Ref[[#This Row],[Start]])</f>
        <v>4</v>
      </c>
      <c r="C803" s="5">
        <f t="shared" si="13"/>
        <v>50507</v>
      </c>
      <c r="D803" s="2"/>
      <c r="G803" s="5" t="str">
        <f>IF(Dates_Ref[[#This Row],[Pay QCH]]&lt;&gt;E802,Dates_Ref[[#This Row],[Start]]+18,"")</f>
        <v/>
      </c>
      <c r="H803">
        <f>WEEKDAY(Dates_Ref[[#This Row],[Start]],2)</f>
        <v>1</v>
      </c>
      <c r="I803">
        <f>WEEKNUM(Dates_Ref[[#This Row],[Start]],21)</f>
        <v>15</v>
      </c>
    </row>
    <row r="804" spans="2:9" x14ac:dyDescent="0.25">
      <c r="B804">
        <f>MONTH(Dates_Ref[[#This Row],[Start]])</f>
        <v>4</v>
      </c>
      <c r="C804" s="5">
        <f t="shared" si="13"/>
        <v>50514</v>
      </c>
      <c r="D804" s="2"/>
      <c r="G804" s="5" t="str">
        <f>IF(Dates_Ref[[#This Row],[Pay QCH]]&lt;&gt;E803,Dates_Ref[[#This Row],[Start]]+18,"")</f>
        <v/>
      </c>
      <c r="H804">
        <f>WEEKDAY(Dates_Ref[[#This Row],[Start]],2)</f>
        <v>1</v>
      </c>
      <c r="I804">
        <f>WEEKNUM(Dates_Ref[[#This Row],[Start]],21)</f>
        <v>16</v>
      </c>
    </row>
    <row r="805" spans="2:9" x14ac:dyDescent="0.25">
      <c r="B805">
        <f>MONTH(Dates_Ref[[#This Row],[Start]])</f>
        <v>4</v>
      </c>
      <c r="C805" s="5">
        <f t="shared" si="13"/>
        <v>50521</v>
      </c>
      <c r="D805" s="2"/>
      <c r="G805" s="5" t="str">
        <f>IF(Dates_Ref[[#This Row],[Pay QCH]]&lt;&gt;E804,Dates_Ref[[#This Row],[Start]]+18,"")</f>
        <v/>
      </c>
      <c r="H805">
        <f>WEEKDAY(Dates_Ref[[#This Row],[Start]],2)</f>
        <v>1</v>
      </c>
      <c r="I805">
        <f>WEEKNUM(Dates_Ref[[#This Row],[Start]],21)</f>
        <v>17</v>
      </c>
    </row>
    <row r="806" spans="2:9" x14ac:dyDescent="0.25">
      <c r="B806">
        <f>MONTH(Dates_Ref[[#This Row],[Start]])</f>
        <v>5</v>
      </c>
      <c r="C806" s="5">
        <f t="shared" si="13"/>
        <v>50528</v>
      </c>
      <c r="D806" s="2"/>
      <c r="G806" s="5" t="str">
        <f>IF(Dates_Ref[[#This Row],[Pay QCH]]&lt;&gt;E805,Dates_Ref[[#This Row],[Start]]+18,"")</f>
        <v/>
      </c>
      <c r="H806">
        <f>WEEKDAY(Dates_Ref[[#This Row],[Start]],2)</f>
        <v>1</v>
      </c>
      <c r="I806">
        <f>WEEKNUM(Dates_Ref[[#This Row],[Start]],21)</f>
        <v>18</v>
      </c>
    </row>
    <row r="807" spans="2:9" x14ac:dyDescent="0.25">
      <c r="B807">
        <f>MONTH(Dates_Ref[[#This Row],[Start]])</f>
        <v>5</v>
      </c>
      <c r="C807" s="5">
        <f t="shared" si="13"/>
        <v>50535</v>
      </c>
      <c r="D807" s="2"/>
      <c r="G807" s="5" t="str">
        <f>IF(Dates_Ref[[#This Row],[Pay QCH]]&lt;&gt;E806,Dates_Ref[[#This Row],[Start]]+18,"")</f>
        <v/>
      </c>
      <c r="H807">
        <f>WEEKDAY(Dates_Ref[[#This Row],[Start]],2)</f>
        <v>1</v>
      </c>
      <c r="I807">
        <f>WEEKNUM(Dates_Ref[[#This Row],[Start]],21)</f>
        <v>19</v>
      </c>
    </row>
    <row r="808" spans="2:9" x14ac:dyDescent="0.25">
      <c r="B808">
        <f>MONTH(Dates_Ref[[#This Row],[Start]])</f>
        <v>5</v>
      </c>
      <c r="C808" s="5">
        <f t="shared" si="13"/>
        <v>50542</v>
      </c>
      <c r="D808" s="2"/>
      <c r="G808" s="5" t="str">
        <f>IF(Dates_Ref[[#This Row],[Pay QCH]]&lt;&gt;E807,Dates_Ref[[#This Row],[Start]]+18,"")</f>
        <v/>
      </c>
      <c r="H808">
        <f>WEEKDAY(Dates_Ref[[#This Row],[Start]],2)</f>
        <v>1</v>
      </c>
      <c r="I808">
        <f>WEEKNUM(Dates_Ref[[#This Row],[Start]],21)</f>
        <v>20</v>
      </c>
    </row>
    <row r="809" spans="2:9" x14ac:dyDescent="0.25">
      <c r="B809">
        <f>MONTH(Dates_Ref[[#This Row],[Start]])</f>
        <v>5</v>
      </c>
      <c r="C809" s="5">
        <f t="shared" si="13"/>
        <v>50549</v>
      </c>
      <c r="D809" s="2"/>
      <c r="G809" s="5" t="str">
        <f>IF(Dates_Ref[[#This Row],[Pay QCH]]&lt;&gt;E808,Dates_Ref[[#This Row],[Start]]+18,"")</f>
        <v/>
      </c>
      <c r="H809">
        <f>WEEKDAY(Dates_Ref[[#This Row],[Start]],2)</f>
        <v>1</v>
      </c>
      <c r="I809">
        <f>WEEKNUM(Dates_Ref[[#This Row],[Start]],21)</f>
        <v>21</v>
      </c>
    </row>
    <row r="810" spans="2:9" x14ac:dyDescent="0.25">
      <c r="B810">
        <f>MONTH(Dates_Ref[[#This Row],[Start]])</f>
        <v>5</v>
      </c>
      <c r="C810" s="5">
        <f t="shared" si="13"/>
        <v>50556</v>
      </c>
      <c r="D810" s="2"/>
      <c r="G810" s="5" t="str">
        <f>IF(Dates_Ref[[#This Row],[Pay QCH]]&lt;&gt;E809,Dates_Ref[[#This Row],[Start]]+18,"")</f>
        <v/>
      </c>
      <c r="H810">
        <f>WEEKDAY(Dates_Ref[[#This Row],[Start]],2)</f>
        <v>1</v>
      </c>
      <c r="I810">
        <f>WEEKNUM(Dates_Ref[[#This Row],[Start]],21)</f>
        <v>22</v>
      </c>
    </row>
    <row r="811" spans="2:9" x14ac:dyDescent="0.25">
      <c r="B811">
        <f>MONTH(Dates_Ref[[#This Row],[Start]])</f>
        <v>6</v>
      </c>
      <c r="C811" s="5">
        <f t="shared" si="13"/>
        <v>50563</v>
      </c>
      <c r="D811" s="2"/>
      <c r="G811" s="5" t="str">
        <f>IF(Dates_Ref[[#This Row],[Pay QCH]]&lt;&gt;E810,Dates_Ref[[#This Row],[Start]]+18,"")</f>
        <v/>
      </c>
      <c r="H811">
        <f>WEEKDAY(Dates_Ref[[#This Row],[Start]],2)</f>
        <v>1</v>
      </c>
      <c r="I811">
        <f>WEEKNUM(Dates_Ref[[#This Row],[Start]],21)</f>
        <v>23</v>
      </c>
    </row>
    <row r="812" spans="2:9" x14ac:dyDescent="0.25">
      <c r="B812">
        <f>MONTH(Dates_Ref[[#This Row],[Start]])</f>
        <v>6</v>
      </c>
      <c r="C812" s="5">
        <f t="shared" si="13"/>
        <v>50570</v>
      </c>
      <c r="D812" s="2"/>
      <c r="G812" s="5" t="str">
        <f>IF(Dates_Ref[[#This Row],[Pay QCH]]&lt;&gt;E811,Dates_Ref[[#This Row],[Start]]+18,"")</f>
        <v/>
      </c>
      <c r="H812">
        <f>WEEKDAY(Dates_Ref[[#This Row],[Start]],2)</f>
        <v>1</v>
      </c>
      <c r="I812">
        <f>WEEKNUM(Dates_Ref[[#This Row],[Start]],21)</f>
        <v>24</v>
      </c>
    </row>
    <row r="813" spans="2:9" x14ac:dyDescent="0.25">
      <c r="B813">
        <f>MONTH(Dates_Ref[[#This Row],[Start]])</f>
        <v>6</v>
      </c>
      <c r="C813" s="5">
        <f t="shared" si="13"/>
        <v>50577</v>
      </c>
      <c r="D813" s="2"/>
      <c r="G813" s="5" t="str">
        <f>IF(Dates_Ref[[#This Row],[Pay QCH]]&lt;&gt;E812,Dates_Ref[[#This Row],[Start]]+18,"")</f>
        <v/>
      </c>
      <c r="H813">
        <f>WEEKDAY(Dates_Ref[[#This Row],[Start]],2)</f>
        <v>1</v>
      </c>
      <c r="I813">
        <f>WEEKNUM(Dates_Ref[[#This Row],[Start]],21)</f>
        <v>25</v>
      </c>
    </row>
    <row r="814" spans="2:9" x14ac:dyDescent="0.25">
      <c r="B814">
        <f>MONTH(Dates_Ref[[#This Row],[Start]])</f>
        <v>6</v>
      </c>
      <c r="C814" s="5">
        <f t="shared" si="13"/>
        <v>50584</v>
      </c>
      <c r="D814" s="2"/>
      <c r="G814" s="5" t="str">
        <f>IF(Dates_Ref[[#This Row],[Pay QCH]]&lt;&gt;E813,Dates_Ref[[#This Row],[Start]]+18,"")</f>
        <v/>
      </c>
      <c r="H814">
        <f>WEEKDAY(Dates_Ref[[#This Row],[Start]],2)</f>
        <v>1</v>
      </c>
      <c r="I814">
        <f>WEEKNUM(Dates_Ref[[#This Row],[Start]],21)</f>
        <v>26</v>
      </c>
    </row>
    <row r="815" spans="2:9" x14ac:dyDescent="0.25">
      <c r="B815">
        <f>MONTH(Dates_Ref[[#This Row],[Start]])</f>
        <v>7</v>
      </c>
      <c r="C815" s="5">
        <f t="shared" si="13"/>
        <v>50591</v>
      </c>
      <c r="D815" s="2"/>
      <c r="G815" s="5" t="str">
        <f>IF(Dates_Ref[[#This Row],[Pay QCH]]&lt;&gt;E814,Dates_Ref[[#This Row],[Start]]+18,"")</f>
        <v/>
      </c>
      <c r="H815">
        <f>WEEKDAY(Dates_Ref[[#This Row],[Start]],2)</f>
        <v>1</v>
      </c>
      <c r="I815">
        <f>WEEKNUM(Dates_Ref[[#This Row],[Start]],21)</f>
        <v>27</v>
      </c>
    </row>
    <row r="816" spans="2:9" x14ac:dyDescent="0.25">
      <c r="B816">
        <f>MONTH(Dates_Ref[[#This Row],[Start]])</f>
        <v>7</v>
      </c>
      <c r="C816" s="5">
        <f t="shared" si="13"/>
        <v>50598</v>
      </c>
      <c r="D816" s="2"/>
      <c r="G816" s="5" t="str">
        <f>IF(Dates_Ref[[#This Row],[Pay QCH]]&lt;&gt;E815,Dates_Ref[[#This Row],[Start]]+18,"")</f>
        <v/>
      </c>
      <c r="H816">
        <f>WEEKDAY(Dates_Ref[[#This Row],[Start]],2)</f>
        <v>1</v>
      </c>
      <c r="I816">
        <f>WEEKNUM(Dates_Ref[[#This Row],[Start]],21)</f>
        <v>28</v>
      </c>
    </row>
    <row r="817" spans="2:9" x14ac:dyDescent="0.25">
      <c r="B817">
        <f>MONTH(Dates_Ref[[#This Row],[Start]])</f>
        <v>7</v>
      </c>
      <c r="C817" s="5">
        <f t="shared" si="13"/>
        <v>50605</v>
      </c>
      <c r="D817" s="2"/>
      <c r="G817" s="5" t="str">
        <f>IF(Dates_Ref[[#This Row],[Pay QCH]]&lt;&gt;E816,Dates_Ref[[#This Row],[Start]]+18,"")</f>
        <v/>
      </c>
      <c r="H817">
        <f>WEEKDAY(Dates_Ref[[#This Row],[Start]],2)</f>
        <v>1</v>
      </c>
      <c r="I817">
        <f>WEEKNUM(Dates_Ref[[#This Row],[Start]],21)</f>
        <v>29</v>
      </c>
    </row>
    <row r="818" spans="2:9" x14ac:dyDescent="0.25">
      <c r="B818">
        <f>MONTH(Dates_Ref[[#This Row],[Start]])</f>
        <v>7</v>
      </c>
      <c r="C818" s="5">
        <f t="shared" si="13"/>
        <v>50612</v>
      </c>
      <c r="D818" s="2"/>
      <c r="G818" s="5" t="str">
        <f>IF(Dates_Ref[[#This Row],[Pay QCH]]&lt;&gt;E817,Dates_Ref[[#This Row],[Start]]+18,"")</f>
        <v/>
      </c>
      <c r="H818">
        <f>WEEKDAY(Dates_Ref[[#This Row],[Start]],2)</f>
        <v>1</v>
      </c>
      <c r="I818">
        <f>WEEKNUM(Dates_Ref[[#This Row],[Start]],21)</f>
        <v>30</v>
      </c>
    </row>
    <row r="819" spans="2:9" x14ac:dyDescent="0.25">
      <c r="B819">
        <f>MONTH(Dates_Ref[[#This Row],[Start]])</f>
        <v>8</v>
      </c>
      <c r="C819" s="5">
        <f t="shared" si="13"/>
        <v>50619</v>
      </c>
      <c r="D819" s="2"/>
      <c r="G819" s="5" t="str">
        <f>IF(Dates_Ref[[#This Row],[Pay QCH]]&lt;&gt;E818,Dates_Ref[[#This Row],[Start]]+18,"")</f>
        <v/>
      </c>
      <c r="H819">
        <f>WEEKDAY(Dates_Ref[[#This Row],[Start]],2)</f>
        <v>1</v>
      </c>
      <c r="I819">
        <f>WEEKNUM(Dates_Ref[[#This Row],[Start]],21)</f>
        <v>31</v>
      </c>
    </row>
    <row r="820" spans="2:9" x14ac:dyDescent="0.25">
      <c r="B820">
        <f>MONTH(Dates_Ref[[#This Row],[Start]])</f>
        <v>8</v>
      </c>
      <c r="C820" s="5">
        <f t="shared" si="13"/>
        <v>50626</v>
      </c>
      <c r="D820" s="2"/>
      <c r="G820" s="5" t="str">
        <f>IF(Dates_Ref[[#This Row],[Pay QCH]]&lt;&gt;E819,Dates_Ref[[#This Row],[Start]]+18,"")</f>
        <v/>
      </c>
      <c r="H820">
        <f>WEEKDAY(Dates_Ref[[#This Row],[Start]],2)</f>
        <v>1</v>
      </c>
      <c r="I820">
        <f>WEEKNUM(Dates_Ref[[#This Row],[Start]],21)</f>
        <v>32</v>
      </c>
    </row>
    <row r="821" spans="2:9" x14ac:dyDescent="0.25">
      <c r="B821">
        <f>MONTH(Dates_Ref[[#This Row],[Start]])</f>
        <v>8</v>
      </c>
      <c r="C821" s="5">
        <f t="shared" si="13"/>
        <v>50633</v>
      </c>
      <c r="D821" s="2"/>
      <c r="G821" s="5" t="str">
        <f>IF(Dates_Ref[[#This Row],[Pay QCH]]&lt;&gt;E820,Dates_Ref[[#This Row],[Start]]+18,"")</f>
        <v/>
      </c>
      <c r="H821">
        <f>WEEKDAY(Dates_Ref[[#This Row],[Start]],2)</f>
        <v>1</v>
      </c>
      <c r="I821">
        <f>WEEKNUM(Dates_Ref[[#This Row],[Start]],21)</f>
        <v>33</v>
      </c>
    </row>
    <row r="822" spans="2:9" x14ac:dyDescent="0.25">
      <c r="B822">
        <f>MONTH(Dates_Ref[[#This Row],[Start]])</f>
        <v>8</v>
      </c>
      <c r="C822" s="5">
        <f t="shared" si="13"/>
        <v>50640</v>
      </c>
      <c r="D822" s="2"/>
      <c r="G822" s="5" t="str">
        <f>IF(Dates_Ref[[#This Row],[Pay QCH]]&lt;&gt;E821,Dates_Ref[[#This Row],[Start]]+18,"")</f>
        <v/>
      </c>
      <c r="H822">
        <f>WEEKDAY(Dates_Ref[[#This Row],[Start]],2)</f>
        <v>1</v>
      </c>
      <c r="I822">
        <f>WEEKNUM(Dates_Ref[[#This Row],[Start]],21)</f>
        <v>34</v>
      </c>
    </row>
    <row r="823" spans="2:9" x14ac:dyDescent="0.25">
      <c r="B823">
        <f>MONTH(Dates_Ref[[#This Row],[Start]])</f>
        <v>8</v>
      </c>
      <c r="C823" s="5">
        <f t="shared" si="13"/>
        <v>50647</v>
      </c>
      <c r="D823" s="2"/>
      <c r="G823" s="5" t="str">
        <f>IF(Dates_Ref[[#This Row],[Pay QCH]]&lt;&gt;E822,Dates_Ref[[#This Row],[Start]]+18,"")</f>
        <v/>
      </c>
      <c r="H823">
        <f>WEEKDAY(Dates_Ref[[#This Row],[Start]],2)</f>
        <v>1</v>
      </c>
      <c r="I823">
        <f>WEEKNUM(Dates_Ref[[#This Row],[Start]],21)</f>
        <v>35</v>
      </c>
    </row>
    <row r="824" spans="2:9" x14ac:dyDescent="0.25">
      <c r="B824">
        <f>MONTH(Dates_Ref[[#This Row],[Start]])</f>
        <v>9</v>
      </c>
      <c r="C824" s="5">
        <f t="shared" si="13"/>
        <v>50654</v>
      </c>
      <c r="D824" s="2"/>
      <c r="G824" s="5" t="str">
        <f>IF(Dates_Ref[[#This Row],[Pay QCH]]&lt;&gt;E823,Dates_Ref[[#This Row],[Start]]+18,"")</f>
        <v/>
      </c>
      <c r="H824">
        <f>WEEKDAY(Dates_Ref[[#This Row],[Start]],2)</f>
        <v>1</v>
      </c>
      <c r="I824">
        <f>WEEKNUM(Dates_Ref[[#This Row],[Start]],21)</f>
        <v>36</v>
      </c>
    </row>
    <row r="825" spans="2:9" x14ac:dyDescent="0.25">
      <c r="B825">
        <f>MONTH(Dates_Ref[[#This Row],[Start]])</f>
        <v>9</v>
      </c>
      <c r="C825" s="5">
        <f t="shared" si="13"/>
        <v>50661</v>
      </c>
      <c r="D825" s="2"/>
      <c r="G825" s="5" t="str">
        <f>IF(Dates_Ref[[#This Row],[Pay QCH]]&lt;&gt;E824,Dates_Ref[[#This Row],[Start]]+18,"")</f>
        <v/>
      </c>
      <c r="H825">
        <f>WEEKDAY(Dates_Ref[[#This Row],[Start]],2)</f>
        <v>1</v>
      </c>
      <c r="I825">
        <f>WEEKNUM(Dates_Ref[[#This Row],[Start]],21)</f>
        <v>37</v>
      </c>
    </row>
    <row r="826" spans="2:9" x14ac:dyDescent="0.25">
      <c r="B826">
        <f>MONTH(Dates_Ref[[#This Row],[Start]])</f>
        <v>9</v>
      </c>
      <c r="C826" s="5">
        <f t="shared" si="13"/>
        <v>50668</v>
      </c>
      <c r="D826" s="2"/>
      <c r="G826" s="5" t="str">
        <f>IF(Dates_Ref[[#This Row],[Pay QCH]]&lt;&gt;E825,Dates_Ref[[#This Row],[Start]]+18,"")</f>
        <v/>
      </c>
      <c r="H826">
        <f>WEEKDAY(Dates_Ref[[#This Row],[Start]],2)</f>
        <v>1</v>
      </c>
      <c r="I826">
        <f>WEEKNUM(Dates_Ref[[#This Row],[Start]],21)</f>
        <v>38</v>
      </c>
    </row>
    <row r="827" spans="2:9" x14ac:dyDescent="0.25">
      <c r="B827">
        <f>MONTH(Dates_Ref[[#This Row],[Start]])</f>
        <v>9</v>
      </c>
      <c r="C827" s="5">
        <f t="shared" si="13"/>
        <v>50675</v>
      </c>
      <c r="D827" s="2"/>
      <c r="G827" s="5" t="str">
        <f>IF(Dates_Ref[[#This Row],[Pay QCH]]&lt;&gt;E826,Dates_Ref[[#This Row],[Start]]+18,"")</f>
        <v/>
      </c>
      <c r="H827">
        <f>WEEKDAY(Dates_Ref[[#This Row],[Start]],2)</f>
        <v>1</v>
      </c>
      <c r="I827">
        <f>WEEKNUM(Dates_Ref[[#This Row],[Start]],21)</f>
        <v>39</v>
      </c>
    </row>
    <row r="828" spans="2:9" x14ac:dyDescent="0.25">
      <c r="B828">
        <f>MONTH(Dates_Ref[[#This Row],[Start]])</f>
        <v>10</v>
      </c>
      <c r="C828" s="5">
        <f t="shared" si="13"/>
        <v>50682</v>
      </c>
      <c r="D828" s="2"/>
      <c r="G828" s="5" t="str">
        <f>IF(Dates_Ref[[#This Row],[Pay QCH]]&lt;&gt;E827,Dates_Ref[[#This Row],[Start]]+18,"")</f>
        <v/>
      </c>
      <c r="H828">
        <f>WEEKDAY(Dates_Ref[[#This Row],[Start]],2)</f>
        <v>1</v>
      </c>
      <c r="I828">
        <f>WEEKNUM(Dates_Ref[[#This Row],[Start]],21)</f>
        <v>40</v>
      </c>
    </row>
    <row r="829" spans="2:9" x14ac:dyDescent="0.25">
      <c r="B829">
        <f>MONTH(Dates_Ref[[#This Row],[Start]])</f>
        <v>10</v>
      </c>
      <c r="C829" s="5">
        <f t="shared" si="13"/>
        <v>50689</v>
      </c>
      <c r="D829" s="2"/>
      <c r="G829" s="5" t="str">
        <f>IF(Dates_Ref[[#This Row],[Pay QCH]]&lt;&gt;E828,Dates_Ref[[#This Row],[Start]]+18,"")</f>
        <v/>
      </c>
      <c r="H829">
        <f>WEEKDAY(Dates_Ref[[#This Row],[Start]],2)</f>
        <v>1</v>
      </c>
      <c r="I829">
        <f>WEEKNUM(Dates_Ref[[#This Row],[Start]],21)</f>
        <v>41</v>
      </c>
    </row>
    <row r="830" spans="2:9" x14ac:dyDescent="0.25">
      <c r="B830">
        <f>MONTH(Dates_Ref[[#This Row],[Start]])</f>
        <v>10</v>
      </c>
      <c r="C830" s="5">
        <f t="shared" si="13"/>
        <v>50696</v>
      </c>
      <c r="D830" s="2"/>
      <c r="G830" s="5" t="str">
        <f>IF(Dates_Ref[[#This Row],[Pay QCH]]&lt;&gt;E829,Dates_Ref[[#This Row],[Start]]+18,"")</f>
        <v/>
      </c>
      <c r="H830">
        <f>WEEKDAY(Dates_Ref[[#This Row],[Start]],2)</f>
        <v>1</v>
      </c>
      <c r="I830">
        <f>WEEKNUM(Dates_Ref[[#This Row],[Start]],21)</f>
        <v>42</v>
      </c>
    </row>
    <row r="831" spans="2:9" x14ac:dyDescent="0.25">
      <c r="B831">
        <f>MONTH(Dates_Ref[[#This Row],[Start]])</f>
        <v>10</v>
      </c>
      <c r="C831" s="5">
        <f t="shared" si="13"/>
        <v>50703</v>
      </c>
      <c r="D831" s="2"/>
      <c r="G831" s="5" t="str">
        <f>IF(Dates_Ref[[#This Row],[Pay QCH]]&lt;&gt;E830,Dates_Ref[[#This Row],[Start]]+18,"")</f>
        <v/>
      </c>
      <c r="H831">
        <f>WEEKDAY(Dates_Ref[[#This Row],[Start]],2)</f>
        <v>1</v>
      </c>
      <c r="I831">
        <f>WEEKNUM(Dates_Ref[[#This Row],[Start]],21)</f>
        <v>43</v>
      </c>
    </row>
    <row r="832" spans="2:9" x14ac:dyDescent="0.25">
      <c r="B832">
        <f>MONTH(Dates_Ref[[#This Row],[Start]])</f>
        <v>11</v>
      </c>
      <c r="C832" s="5">
        <f t="shared" si="13"/>
        <v>50710</v>
      </c>
      <c r="D832" s="2"/>
      <c r="G832" s="5" t="str">
        <f>IF(Dates_Ref[[#This Row],[Pay QCH]]&lt;&gt;E831,Dates_Ref[[#This Row],[Start]]+18,"")</f>
        <v/>
      </c>
      <c r="H832">
        <f>WEEKDAY(Dates_Ref[[#This Row],[Start]],2)</f>
        <v>1</v>
      </c>
      <c r="I832">
        <f>WEEKNUM(Dates_Ref[[#This Row],[Start]],21)</f>
        <v>44</v>
      </c>
    </row>
    <row r="833" spans="2:9" x14ac:dyDescent="0.25">
      <c r="B833">
        <f>MONTH(Dates_Ref[[#This Row],[Start]])</f>
        <v>11</v>
      </c>
      <c r="C833" s="5">
        <f t="shared" si="13"/>
        <v>50717</v>
      </c>
      <c r="D833" s="2"/>
      <c r="G833" s="5" t="str">
        <f>IF(Dates_Ref[[#This Row],[Pay QCH]]&lt;&gt;E832,Dates_Ref[[#This Row],[Start]]+18,"")</f>
        <v/>
      </c>
      <c r="H833">
        <f>WEEKDAY(Dates_Ref[[#This Row],[Start]],2)</f>
        <v>1</v>
      </c>
      <c r="I833">
        <f>WEEKNUM(Dates_Ref[[#This Row],[Start]],21)</f>
        <v>45</v>
      </c>
    </row>
    <row r="834" spans="2:9" x14ac:dyDescent="0.25">
      <c r="B834">
        <f>MONTH(Dates_Ref[[#This Row],[Start]])</f>
        <v>11</v>
      </c>
      <c r="C834" s="5">
        <f t="shared" si="13"/>
        <v>50724</v>
      </c>
      <c r="D834" s="2"/>
      <c r="G834" s="5" t="str">
        <f>IF(Dates_Ref[[#This Row],[Pay QCH]]&lt;&gt;E833,Dates_Ref[[#This Row],[Start]]+18,"")</f>
        <v/>
      </c>
      <c r="H834">
        <f>WEEKDAY(Dates_Ref[[#This Row],[Start]],2)</f>
        <v>1</v>
      </c>
      <c r="I834">
        <f>WEEKNUM(Dates_Ref[[#This Row],[Start]],21)</f>
        <v>46</v>
      </c>
    </row>
    <row r="835" spans="2:9" x14ac:dyDescent="0.25">
      <c r="B835">
        <f>MONTH(Dates_Ref[[#This Row],[Start]])</f>
        <v>11</v>
      </c>
      <c r="C835" s="5">
        <f t="shared" si="13"/>
        <v>50731</v>
      </c>
      <c r="D835" s="2"/>
      <c r="G835" s="5" t="str">
        <f>IF(Dates_Ref[[#This Row],[Pay QCH]]&lt;&gt;E834,Dates_Ref[[#This Row],[Start]]+18,"")</f>
        <v/>
      </c>
      <c r="H835">
        <f>WEEKDAY(Dates_Ref[[#This Row],[Start]],2)</f>
        <v>1</v>
      </c>
      <c r="I835">
        <f>WEEKNUM(Dates_Ref[[#This Row],[Start]],21)</f>
        <v>47</v>
      </c>
    </row>
    <row r="836" spans="2:9" x14ac:dyDescent="0.25">
      <c r="B836">
        <f>MONTH(Dates_Ref[[#This Row],[Start]])</f>
        <v>11</v>
      </c>
      <c r="C836" s="5">
        <f t="shared" si="13"/>
        <v>50738</v>
      </c>
      <c r="D836" s="2"/>
      <c r="G836" s="5" t="str">
        <f>IF(Dates_Ref[[#This Row],[Pay QCH]]&lt;&gt;E835,Dates_Ref[[#This Row],[Start]]+18,"")</f>
        <v/>
      </c>
      <c r="H836">
        <f>WEEKDAY(Dates_Ref[[#This Row],[Start]],2)</f>
        <v>1</v>
      </c>
      <c r="I836">
        <f>WEEKNUM(Dates_Ref[[#This Row],[Start]],21)</f>
        <v>48</v>
      </c>
    </row>
    <row r="837" spans="2:9" x14ac:dyDescent="0.25">
      <c r="B837">
        <f>MONTH(Dates_Ref[[#This Row],[Start]])</f>
        <v>12</v>
      </c>
      <c r="C837" s="5">
        <f t="shared" si="13"/>
        <v>50745</v>
      </c>
      <c r="D837" s="2"/>
      <c r="G837" s="5" t="str">
        <f>IF(Dates_Ref[[#This Row],[Pay QCH]]&lt;&gt;E836,Dates_Ref[[#This Row],[Start]]+18,"")</f>
        <v/>
      </c>
      <c r="H837">
        <f>WEEKDAY(Dates_Ref[[#This Row],[Start]],2)</f>
        <v>1</v>
      </c>
      <c r="I837">
        <f>WEEKNUM(Dates_Ref[[#This Row],[Start]],21)</f>
        <v>49</v>
      </c>
    </row>
    <row r="838" spans="2:9" x14ac:dyDescent="0.25">
      <c r="B838">
        <f>MONTH(Dates_Ref[[#This Row],[Start]])</f>
        <v>12</v>
      </c>
      <c r="C838" s="5">
        <f t="shared" si="13"/>
        <v>50752</v>
      </c>
      <c r="D838" s="2"/>
      <c r="G838" s="5" t="str">
        <f>IF(Dates_Ref[[#This Row],[Pay QCH]]&lt;&gt;E837,Dates_Ref[[#This Row],[Start]]+18,"")</f>
        <v/>
      </c>
      <c r="H838">
        <f>WEEKDAY(Dates_Ref[[#This Row],[Start]],2)</f>
        <v>1</v>
      </c>
      <c r="I838">
        <f>WEEKNUM(Dates_Ref[[#This Row],[Start]],21)</f>
        <v>50</v>
      </c>
    </row>
    <row r="839" spans="2:9" x14ac:dyDescent="0.25">
      <c r="B839">
        <f>MONTH(Dates_Ref[[#This Row],[Start]])</f>
        <v>12</v>
      </c>
      <c r="C839" s="5">
        <f t="shared" ref="C839:C902" si="14">C838+7</f>
        <v>50759</v>
      </c>
      <c r="D839" s="2"/>
      <c r="G839" s="5" t="str">
        <f>IF(Dates_Ref[[#This Row],[Pay QCH]]&lt;&gt;E838,Dates_Ref[[#This Row],[Start]]+18,"")</f>
        <v/>
      </c>
      <c r="H839">
        <f>WEEKDAY(Dates_Ref[[#This Row],[Start]],2)</f>
        <v>1</v>
      </c>
      <c r="I839">
        <f>WEEKNUM(Dates_Ref[[#This Row],[Start]],21)</f>
        <v>51</v>
      </c>
    </row>
    <row r="840" spans="2:9" x14ac:dyDescent="0.25">
      <c r="B840">
        <f>MONTH(Dates_Ref[[#This Row],[Start]])</f>
        <v>12</v>
      </c>
      <c r="C840" s="5">
        <f t="shared" si="14"/>
        <v>50766</v>
      </c>
      <c r="D840" s="2"/>
      <c r="G840" s="5" t="str">
        <f>IF(Dates_Ref[[#This Row],[Pay QCH]]&lt;&gt;E839,Dates_Ref[[#This Row],[Start]]+18,"")</f>
        <v/>
      </c>
      <c r="H840">
        <f>WEEKDAY(Dates_Ref[[#This Row],[Start]],2)</f>
        <v>1</v>
      </c>
      <c r="I840">
        <f>WEEKNUM(Dates_Ref[[#This Row],[Start]],21)</f>
        <v>52</v>
      </c>
    </row>
    <row r="841" spans="2:9" x14ac:dyDescent="0.25">
      <c r="B841">
        <f>MONTH(Dates_Ref[[#This Row],[Start]])</f>
        <v>1</v>
      </c>
      <c r="C841" s="5">
        <f t="shared" si="14"/>
        <v>50773</v>
      </c>
      <c r="D841" s="2"/>
      <c r="G841" s="5" t="str">
        <f>IF(Dates_Ref[[#This Row],[Pay QCH]]&lt;&gt;E840,Dates_Ref[[#This Row],[Start]]+18,"")</f>
        <v/>
      </c>
      <c r="H841">
        <f>WEEKDAY(Dates_Ref[[#This Row],[Start]],2)</f>
        <v>1</v>
      </c>
      <c r="I841">
        <f>WEEKNUM(Dates_Ref[[#This Row],[Start]],21)</f>
        <v>1</v>
      </c>
    </row>
    <row r="842" spans="2:9" x14ac:dyDescent="0.25">
      <c r="B842">
        <f>MONTH(Dates_Ref[[#This Row],[Start]])</f>
        <v>1</v>
      </c>
      <c r="C842" s="5">
        <f t="shared" si="14"/>
        <v>50780</v>
      </c>
      <c r="D842" s="2"/>
      <c r="G842" s="5" t="str">
        <f>IF(Dates_Ref[[#This Row],[Pay QCH]]&lt;&gt;E841,Dates_Ref[[#This Row],[Start]]+18,"")</f>
        <v/>
      </c>
      <c r="H842">
        <f>WEEKDAY(Dates_Ref[[#This Row],[Start]],2)</f>
        <v>1</v>
      </c>
      <c r="I842">
        <f>WEEKNUM(Dates_Ref[[#This Row],[Start]],21)</f>
        <v>2</v>
      </c>
    </row>
    <row r="843" spans="2:9" x14ac:dyDescent="0.25">
      <c r="B843">
        <f>MONTH(Dates_Ref[[#This Row],[Start]])</f>
        <v>1</v>
      </c>
      <c r="C843" s="5">
        <f t="shared" si="14"/>
        <v>50787</v>
      </c>
      <c r="D843" s="2"/>
      <c r="G843" s="5" t="str">
        <f>IF(Dates_Ref[[#This Row],[Pay QCH]]&lt;&gt;E842,Dates_Ref[[#This Row],[Start]]+18,"")</f>
        <v/>
      </c>
      <c r="H843">
        <f>WEEKDAY(Dates_Ref[[#This Row],[Start]],2)</f>
        <v>1</v>
      </c>
      <c r="I843">
        <f>WEEKNUM(Dates_Ref[[#This Row],[Start]],21)</f>
        <v>3</v>
      </c>
    </row>
    <row r="844" spans="2:9" x14ac:dyDescent="0.25">
      <c r="B844">
        <f>MONTH(Dates_Ref[[#This Row],[Start]])</f>
        <v>1</v>
      </c>
      <c r="C844" s="5">
        <f t="shared" si="14"/>
        <v>50794</v>
      </c>
      <c r="D844" s="2"/>
      <c r="G844" s="5" t="str">
        <f>IF(Dates_Ref[[#This Row],[Pay QCH]]&lt;&gt;E843,Dates_Ref[[#This Row],[Start]]+18,"")</f>
        <v/>
      </c>
      <c r="H844">
        <f>WEEKDAY(Dates_Ref[[#This Row],[Start]],2)</f>
        <v>1</v>
      </c>
      <c r="I844">
        <f>WEEKNUM(Dates_Ref[[#This Row],[Start]],21)</f>
        <v>4</v>
      </c>
    </row>
    <row r="845" spans="2:9" x14ac:dyDescent="0.25">
      <c r="B845">
        <f>MONTH(Dates_Ref[[#This Row],[Start]])</f>
        <v>1</v>
      </c>
      <c r="C845" s="5">
        <f t="shared" si="14"/>
        <v>50801</v>
      </c>
      <c r="D845" s="2"/>
      <c r="G845" s="5" t="str">
        <f>IF(Dates_Ref[[#This Row],[Pay QCH]]&lt;&gt;E844,Dates_Ref[[#This Row],[Start]]+18,"")</f>
        <v/>
      </c>
      <c r="H845">
        <f>WEEKDAY(Dates_Ref[[#This Row],[Start]],2)</f>
        <v>1</v>
      </c>
      <c r="I845">
        <f>WEEKNUM(Dates_Ref[[#This Row],[Start]],21)</f>
        <v>5</v>
      </c>
    </row>
    <row r="846" spans="2:9" x14ac:dyDescent="0.25">
      <c r="B846">
        <f>MONTH(Dates_Ref[[#This Row],[Start]])</f>
        <v>2</v>
      </c>
      <c r="C846" s="5">
        <f t="shared" si="14"/>
        <v>50808</v>
      </c>
      <c r="D846" s="2"/>
      <c r="G846" s="5" t="str">
        <f>IF(Dates_Ref[[#This Row],[Pay QCH]]&lt;&gt;E845,Dates_Ref[[#This Row],[Start]]+18,"")</f>
        <v/>
      </c>
      <c r="H846">
        <f>WEEKDAY(Dates_Ref[[#This Row],[Start]],2)</f>
        <v>1</v>
      </c>
      <c r="I846">
        <f>WEEKNUM(Dates_Ref[[#This Row],[Start]],21)</f>
        <v>6</v>
      </c>
    </row>
    <row r="847" spans="2:9" x14ac:dyDescent="0.25">
      <c r="B847">
        <f>MONTH(Dates_Ref[[#This Row],[Start]])</f>
        <v>2</v>
      </c>
      <c r="C847" s="5">
        <f t="shared" si="14"/>
        <v>50815</v>
      </c>
      <c r="D847" s="2"/>
      <c r="G847" s="5" t="str">
        <f>IF(Dates_Ref[[#This Row],[Pay QCH]]&lt;&gt;E846,Dates_Ref[[#This Row],[Start]]+18,"")</f>
        <v/>
      </c>
      <c r="H847">
        <f>WEEKDAY(Dates_Ref[[#This Row],[Start]],2)</f>
        <v>1</v>
      </c>
      <c r="I847">
        <f>WEEKNUM(Dates_Ref[[#This Row],[Start]],21)</f>
        <v>7</v>
      </c>
    </row>
    <row r="848" spans="2:9" x14ac:dyDescent="0.25">
      <c r="B848">
        <f>MONTH(Dates_Ref[[#This Row],[Start]])</f>
        <v>2</v>
      </c>
      <c r="C848" s="5">
        <f t="shared" si="14"/>
        <v>50822</v>
      </c>
      <c r="D848" s="2"/>
      <c r="G848" s="5" t="str">
        <f>IF(Dates_Ref[[#This Row],[Pay QCH]]&lt;&gt;E847,Dates_Ref[[#This Row],[Start]]+18,"")</f>
        <v/>
      </c>
      <c r="H848">
        <f>WEEKDAY(Dates_Ref[[#This Row],[Start]],2)</f>
        <v>1</v>
      </c>
      <c r="I848">
        <f>WEEKNUM(Dates_Ref[[#This Row],[Start]],21)</f>
        <v>8</v>
      </c>
    </row>
    <row r="849" spans="2:9" x14ac:dyDescent="0.25">
      <c r="B849">
        <f>MONTH(Dates_Ref[[#This Row],[Start]])</f>
        <v>2</v>
      </c>
      <c r="C849" s="5">
        <f t="shared" si="14"/>
        <v>50829</v>
      </c>
      <c r="D849" s="2"/>
      <c r="G849" s="5" t="str">
        <f>IF(Dates_Ref[[#This Row],[Pay QCH]]&lt;&gt;E848,Dates_Ref[[#This Row],[Start]]+18,"")</f>
        <v/>
      </c>
      <c r="H849">
        <f>WEEKDAY(Dates_Ref[[#This Row],[Start]],2)</f>
        <v>1</v>
      </c>
      <c r="I849">
        <f>WEEKNUM(Dates_Ref[[#This Row],[Start]],21)</f>
        <v>9</v>
      </c>
    </row>
    <row r="850" spans="2:9" x14ac:dyDescent="0.25">
      <c r="B850">
        <f>MONTH(Dates_Ref[[#This Row],[Start]])</f>
        <v>3</v>
      </c>
      <c r="C850" s="5">
        <f t="shared" si="14"/>
        <v>50836</v>
      </c>
      <c r="D850" s="2"/>
      <c r="G850" s="5" t="str">
        <f>IF(Dates_Ref[[#This Row],[Pay QCH]]&lt;&gt;E849,Dates_Ref[[#This Row],[Start]]+18,"")</f>
        <v/>
      </c>
      <c r="H850">
        <f>WEEKDAY(Dates_Ref[[#This Row],[Start]],2)</f>
        <v>1</v>
      </c>
      <c r="I850">
        <f>WEEKNUM(Dates_Ref[[#This Row],[Start]],21)</f>
        <v>10</v>
      </c>
    </row>
    <row r="851" spans="2:9" x14ac:dyDescent="0.25">
      <c r="B851">
        <f>MONTH(Dates_Ref[[#This Row],[Start]])</f>
        <v>3</v>
      </c>
      <c r="C851" s="5">
        <f t="shared" si="14"/>
        <v>50843</v>
      </c>
      <c r="D851" s="2"/>
      <c r="G851" s="5" t="str">
        <f>IF(Dates_Ref[[#This Row],[Pay QCH]]&lt;&gt;E850,Dates_Ref[[#This Row],[Start]]+18,"")</f>
        <v/>
      </c>
      <c r="H851">
        <f>WEEKDAY(Dates_Ref[[#This Row],[Start]],2)</f>
        <v>1</v>
      </c>
      <c r="I851">
        <f>WEEKNUM(Dates_Ref[[#This Row],[Start]],21)</f>
        <v>11</v>
      </c>
    </row>
    <row r="852" spans="2:9" x14ac:dyDescent="0.25">
      <c r="B852">
        <f>MONTH(Dates_Ref[[#This Row],[Start]])</f>
        <v>3</v>
      </c>
      <c r="C852" s="5">
        <f t="shared" si="14"/>
        <v>50850</v>
      </c>
      <c r="D852" s="2"/>
      <c r="G852" s="5" t="str">
        <f>IF(Dates_Ref[[#This Row],[Pay QCH]]&lt;&gt;E851,Dates_Ref[[#This Row],[Start]]+18,"")</f>
        <v/>
      </c>
      <c r="H852">
        <f>WEEKDAY(Dates_Ref[[#This Row],[Start]],2)</f>
        <v>1</v>
      </c>
      <c r="I852">
        <f>WEEKNUM(Dates_Ref[[#This Row],[Start]],21)</f>
        <v>12</v>
      </c>
    </row>
    <row r="853" spans="2:9" x14ac:dyDescent="0.25">
      <c r="B853">
        <f>MONTH(Dates_Ref[[#This Row],[Start]])</f>
        <v>3</v>
      </c>
      <c r="C853" s="5">
        <f t="shared" si="14"/>
        <v>50857</v>
      </c>
      <c r="D853" s="2"/>
      <c r="G853" s="5" t="str">
        <f>IF(Dates_Ref[[#This Row],[Pay QCH]]&lt;&gt;E852,Dates_Ref[[#This Row],[Start]]+18,"")</f>
        <v/>
      </c>
      <c r="H853">
        <f>WEEKDAY(Dates_Ref[[#This Row],[Start]],2)</f>
        <v>1</v>
      </c>
      <c r="I853">
        <f>WEEKNUM(Dates_Ref[[#This Row],[Start]],21)</f>
        <v>13</v>
      </c>
    </row>
    <row r="854" spans="2:9" x14ac:dyDescent="0.25">
      <c r="B854">
        <f>MONTH(Dates_Ref[[#This Row],[Start]])</f>
        <v>4</v>
      </c>
      <c r="C854" s="5">
        <f t="shared" si="14"/>
        <v>50864</v>
      </c>
      <c r="D854" s="2"/>
      <c r="G854" s="5" t="str">
        <f>IF(Dates_Ref[[#This Row],[Pay QCH]]&lt;&gt;E853,Dates_Ref[[#This Row],[Start]]+18,"")</f>
        <v/>
      </c>
      <c r="H854">
        <f>WEEKDAY(Dates_Ref[[#This Row],[Start]],2)</f>
        <v>1</v>
      </c>
      <c r="I854">
        <f>WEEKNUM(Dates_Ref[[#This Row],[Start]],21)</f>
        <v>14</v>
      </c>
    </row>
    <row r="855" spans="2:9" x14ac:dyDescent="0.25">
      <c r="B855">
        <f>MONTH(Dates_Ref[[#This Row],[Start]])</f>
        <v>4</v>
      </c>
      <c r="C855" s="5">
        <f t="shared" si="14"/>
        <v>50871</v>
      </c>
      <c r="D855" s="2"/>
      <c r="G855" s="5" t="str">
        <f>IF(Dates_Ref[[#This Row],[Pay QCH]]&lt;&gt;E854,Dates_Ref[[#This Row],[Start]]+18,"")</f>
        <v/>
      </c>
      <c r="H855">
        <f>WEEKDAY(Dates_Ref[[#This Row],[Start]],2)</f>
        <v>1</v>
      </c>
      <c r="I855">
        <f>WEEKNUM(Dates_Ref[[#This Row],[Start]],21)</f>
        <v>15</v>
      </c>
    </row>
    <row r="856" spans="2:9" x14ac:dyDescent="0.25">
      <c r="B856">
        <f>MONTH(Dates_Ref[[#This Row],[Start]])</f>
        <v>4</v>
      </c>
      <c r="C856" s="5">
        <f t="shared" si="14"/>
        <v>50878</v>
      </c>
      <c r="D856" s="2"/>
      <c r="G856" s="5" t="str">
        <f>IF(Dates_Ref[[#This Row],[Pay QCH]]&lt;&gt;E855,Dates_Ref[[#This Row],[Start]]+18,"")</f>
        <v/>
      </c>
      <c r="H856">
        <f>WEEKDAY(Dates_Ref[[#This Row],[Start]],2)</f>
        <v>1</v>
      </c>
      <c r="I856">
        <f>WEEKNUM(Dates_Ref[[#This Row],[Start]],21)</f>
        <v>16</v>
      </c>
    </row>
    <row r="857" spans="2:9" x14ac:dyDescent="0.25">
      <c r="B857">
        <f>MONTH(Dates_Ref[[#This Row],[Start]])</f>
        <v>4</v>
      </c>
      <c r="C857" s="5">
        <f t="shared" si="14"/>
        <v>50885</v>
      </c>
      <c r="D857" s="2"/>
      <c r="G857" s="5" t="str">
        <f>IF(Dates_Ref[[#This Row],[Pay QCH]]&lt;&gt;E856,Dates_Ref[[#This Row],[Start]]+18,"")</f>
        <v/>
      </c>
      <c r="H857">
        <f>WEEKDAY(Dates_Ref[[#This Row],[Start]],2)</f>
        <v>1</v>
      </c>
      <c r="I857">
        <f>WEEKNUM(Dates_Ref[[#This Row],[Start]],21)</f>
        <v>17</v>
      </c>
    </row>
    <row r="858" spans="2:9" x14ac:dyDescent="0.25">
      <c r="B858">
        <f>MONTH(Dates_Ref[[#This Row],[Start]])</f>
        <v>5</v>
      </c>
      <c r="C858" s="5">
        <f t="shared" si="14"/>
        <v>50892</v>
      </c>
      <c r="D858" s="2"/>
      <c r="G858" s="5" t="str">
        <f>IF(Dates_Ref[[#This Row],[Pay QCH]]&lt;&gt;E857,Dates_Ref[[#This Row],[Start]]+18,"")</f>
        <v/>
      </c>
      <c r="H858">
        <f>WEEKDAY(Dates_Ref[[#This Row],[Start]],2)</f>
        <v>1</v>
      </c>
      <c r="I858">
        <f>WEEKNUM(Dates_Ref[[#This Row],[Start]],21)</f>
        <v>18</v>
      </c>
    </row>
    <row r="859" spans="2:9" x14ac:dyDescent="0.25">
      <c r="B859">
        <f>MONTH(Dates_Ref[[#This Row],[Start]])</f>
        <v>5</v>
      </c>
      <c r="C859" s="5">
        <f t="shared" si="14"/>
        <v>50899</v>
      </c>
      <c r="D859" s="2"/>
      <c r="G859" s="5" t="str">
        <f>IF(Dates_Ref[[#This Row],[Pay QCH]]&lt;&gt;E858,Dates_Ref[[#This Row],[Start]]+18,"")</f>
        <v/>
      </c>
      <c r="H859">
        <f>WEEKDAY(Dates_Ref[[#This Row],[Start]],2)</f>
        <v>1</v>
      </c>
      <c r="I859">
        <f>WEEKNUM(Dates_Ref[[#This Row],[Start]],21)</f>
        <v>19</v>
      </c>
    </row>
    <row r="860" spans="2:9" x14ac:dyDescent="0.25">
      <c r="B860">
        <f>MONTH(Dates_Ref[[#This Row],[Start]])</f>
        <v>5</v>
      </c>
      <c r="C860" s="5">
        <f t="shared" si="14"/>
        <v>50906</v>
      </c>
      <c r="D860" s="2"/>
      <c r="G860" s="5" t="str">
        <f>IF(Dates_Ref[[#This Row],[Pay QCH]]&lt;&gt;E859,Dates_Ref[[#This Row],[Start]]+18,"")</f>
        <v/>
      </c>
      <c r="H860">
        <f>WEEKDAY(Dates_Ref[[#This Row],[Start]],2)</f>
        <v>1</v>
      </c>
      <c r="I860">
        <f>WEEKNUM(Dates_Ref[[#This Row],[Start]],21)</f>
        <v>20</v>
      </c>
    </row>
    <row r="861" spans="2:9" x14ac:dyDescent="0.25">
      <c r="B861">
        <f>MONTH(Dates_Ref[[#This Row],[Start]])</f>
        <v>5</v>
      </c>
      <c r="C861" s="5">
        <f t="shared" si="14"/>
        <v>50913</v>
      </c>
      <c r="D861" s="2"/>
      <c r="G861" s="5" t="str">
        <f>IF(Dates_Ref[[#This Row],[Pay QCH]]&lt;&gt;E860,Dates_Ref[[#This Row],[Start]]+18,"")</f>
        <v/>
      </c>
      <c r="H861">
        <f>WEEKDAY(Dates_Ref[[#This Row],[Start]],2)</f>
        <v>1</v>
      </c>
      <c r="I861">
        <f>WEEKNUM(Dates_Ref[[#This Row],[Start]],21)</f>
        <v>21</v>
      </c>
    </row>
    <row r="862" spans="2:9" x14ac:dyDescent="0.25">
      <c r="B862">
        <f>MONTH(Dates_Ref[[#This Row],[Start]])</f>
        <v>5</v>
      </c>
      <c r="C862" s="5">
        <f t="shared" si="14"/>
        <v>50920</v>
      </c>
      <c r="D862" s="2"/>
      <c r="G862" s="5" t="str">
        <f>IF(Dates_Ref[[#This Row],[Pay QCH]]&lt;&gt;E861,Dates_Ref[[#This Row],[Start]]+18,"")</f>
        <v/>
      </c>
      <c r="H862">
        <f>WEEKDAY(Dates_Ref[[#This Row],[Start]],2)</f>
        <v>1</v>
      </c>
      <c r="I862">
        <f>WEEKNUM(Dates_Ref[[#This Row],[Start]],21)</f>
        <v>22</v>
      </c>
    </row>
    <row r="863" spans="2:9" x14ac:dyDescent="0.25">
      <c r="B863">
        <f>MONTH(Dates_Ref[[#This Row],[Start]])</f>
        <v>6</v>
      </c>
      <c r="C863" s="5">
        <f t="shared" si="14"/>
        <v>50927</v>
      </c>
      <c r="D863" s="2"/>
      <c r="G863" s="5" t="str">
        <f>IF(Dates_Ref[[#This Row],[Pay QCH]]&lt;&gt;E862,Dates_Ref[[#This Row],[Start]]+18,"")</f>
        <v/>
      </c>
      <c r="H863">
        <f>WEEKDAY(Dates_Ref[[#This Row],[Start]],2)</f>
        <v>1</v>
      </c>
      <c r="I863">
        <f>WEEKNUM(Dates_Ref[[#This Row],[Start]],21)</f>
        <v>23</v>
      </c>
    </row>
    <row r="864" spans="2:9" x14ac:dyDescent="0.25">
      <c r="B864">
        <f>MONTH(Dates_Ref[[#This Row],[Start]])</f>
        <v>6</v>
      </c>
      <c r="C864" s="5">
        <f t="shared" si="14"/>
        <v>50934</v>
      </c>
      <c r="D864" s="2"/>
      <c r="G864" s="5" t="str">
        <f>IF(Dates_Ref[[#This Row],[Pay QCH]]&lt;&gt;E863,Dates_Ref[[#This Row],[Start]]+18,"")</f>
        <v/>
      </c>
      <c r="H864">
        <f>WEEKDAY(Dates_Ref[[#This Row],[Start]],2)</f>
        <v>1</v>
      </c>
      <c r="I864">
        <f>WEEKNUM(Dates_Ref[[#This Row],[Start]],21)</f>
        <v>24</v>
      </c>
    </row>
    <row r="865" spans="2:9" x14ac:dyDescent="0.25">
      <c r="B865">
        <f>MONTH(Dates_Ref[[#This Row],[Start]])</f>
        <v>6</v>
      </c>
      <c r="C865" s="5">
        <f t="shared" si="14"/>
        <v>50941</v>
      </c>
      <c r="D865" s="2"/>
      <c r="G865" s="5" t="str">
        <f>IF(Dates_Ref[[#This Row],[Pay QCH]]&lt;&gt;E864,Dates_Ref[[#This Row],[Start]]+18,"")</f>
        <v/>
      </c>
      <c r="H865">
        <f>WEEKDAY(Dates_Ref[[#This Row],[Start]],2)</f>
        <v>1</v>
      </c>
      <c r="I865">
        <f>WEEKNUM(Dates_Ref[[#This Row],[Start]],21)</f>
        <v>25</v>
      </c>
    </row>
    <row r="866" spans="2:9" x14ac:dyDescent="0.25">
      <c r="B866">
        <f>MONTH(Dates_Ref[[#This Row],[Start]])</f>
        <v>6</v>
      </c>
      <c r="C866" s="5">
        <f t="shared" si="14"/>
        <v>50948</v>
      </c>
      <c r="D866" s="2"/>
      <c r="G866" s="5" t="str">
        <f>IF(Dates_Ref[[#This Row],[Pay QCH]]&lt;&gt;E865,Dates_Ref[[#This Row],[Start]]+18,"")</f>
        <v/>
      </c>
      <c r="H866">
        <f>WEEKDAY(Dates_Ref[[#This Row],[Start]],2)</f>
        <v>1</v>
      </c>
      <c r="I866">
        <f>WEEKNUM(Dates_Ref[[#This Row],[Start]],21)</f>
        <v>26</v>
      </c>
    </row>
    <row r="867" spans="2:9" x14ac:dyDescent="0.25">
      <c r="B867">
        <f>MONTH(Dates_Ref[[#This Row],[Start]])</f>
        <v>7</v>
      </c>
      <c r="C867" s="5">
        <f t="shared" si="14"/>
        <v>50955</v>
      </c>
      <c r="D867" s="2"/>
      <c r="G867" s="5" t="str">
        <f>IF(Dates_Ref[[#This Row],[Pay QCH]]&lt;&gt;E866,Dates_Ref[[#This Row],[Start]]+18,"")</f>
        <v/>
      </c>
      <c r="H867">
        <f>WEEKDAY(Dates_Ref[[#This Row],[Start]],2)</f>
        <v>1</v>
      </c>
      <c r="I867">
        <f>WEEKNUM(Dates_Ref[[#This Row],[Start]],21)</f>
        <v>27</v>
      </c>
    </row>
    <row r="868" spans="2:9" x14ac:dyDescent="0.25">
      <c r="B868">
        <f>MONTH(Dates_Ref[[#This Row],[Start]])</f>
        <v>7</v>
      </c>
      <c r="C868" s="5">
        <f t="shared" si="14"/>
        <v>50962</v>
      </c>
      <c r="D868" s="2"/>
      <c r="G868" s="5" t="str">
        <f>IF(Dates_Ref[[#This Row],[Pay QCH]]&lt;&gt;E867,Dates_Ref[[#This Row],[Start]]+18,"")</f>
        <v/>
      </c>
      <c r="H868">
        <f>WEEKDAY(Dates_Ref[[#This Row],[Start]],2)</f>
        <v>1</v>
      </c>
      <c r="I868">
        <f>WEEKNUM(Dates_Ref[[#This Row],[Start]],21)</f>
        <v>28</v>
      </c>
    </row>
    <row r="869" spans="2:9" x14ac:dyDescent="0.25">
      <c r="B869">
        <f>MONTH(Dates_Ref[[#This Row],[Start]])</f>
        <v>7</v>
      </c>
      <c r="C869" s="5">
        <f t="shared" si="14"/>
        <v>50969</v>
      </c>
      <c r="D869" s="2"/>
      <c r="G869" s="5" t="str">
        <f>IF(Dates_Ref[[#This Row],[Pay QCH]]&lt;&gt;E868,Dates_Ref[[#This Row],[Start]]+18,"")</f>
        <v/>
      </c>
      <c r="H869">
        <f>WEEKDAY(Dates_Ref[[#This Row],[Start]],2)</f>
        <v>1</v>
      </c>
      <c r="I869">
        <f>WEEKNUM(Dates_Ref[[#This Row],[Start]],21)</f>
        <v>29</v>
      </c>
    </row>
    <row r="870" spans="2:9" x14ac:dyDescent="0.25">
      <c r="B870">
        <f>MONTH(Dates_Ref[[#This Row],[Start]])</f>
        <v>7</v>
      </c>
      <c r="C870" s="5">
        <f t="shared" si="14"/>
        <v>50976</v>
      </c>
      <c r="D870" s="2"/>
      <c r="G870" s="5" t="str">
        <f>IF(Dates_Ref[[#This Row],[Pay QCH]]&lt;&gt;E869,Dates_Ref[[#This Row],[Start]]+18,"")</f>
        <v/>
      </c>
      <c r="H870">
        <f>WEEKDAY(Dates_Ref[[#This Row],[Start]],2)</f>
        <v>1</v>
      </c>
      <c r="I870">
        <f>WEEKNUM(Dates_Ref[[#This Row],[Start]],21)</f>
        <v>30</v>
      </c>
    </row>
    <row r="871" spans="2:9" x14ac:dyDescent="0.25">
      <c r="B871">
        <f>MONTH(Dates_Ref[[#This Row],[Start]])</f>
        <v>8</v>
      </c>
      <c r="C871" s="5">
        <f t="shared" si="14"/>
        <v>50983</v>
      </c>
      <c r="D871" s="2"/>
      <c r="G871" s="5" t="str">
        <f>IF(Dates_Ref[[#This Row],[Pay QCH]]&lt;&gt;E870,Dates_Ref[[#This Row],[Start]]+18,"")</f>
        <v/>
      </c>
      <c r="H871">
        <f>WEEKDAY(Dates_Ref[[#This Row],[Start]],2)</f>
        <v>1</v>
      </c>
      <c r="I871">
        <f>WEEKNUM(Dates_Ref[[#This Row],[Start]],21)</f>
        <v>31</v>
      </c>
    </row>
    <row r="872" spans="2:9" x14ac:dyDescent="0.25">
      <c r="B872">
        <f>MONTH(Dates_Ref[[#This Row],[Start]])</f>
        <v>8</v>
      </c>
      <c r="C872" s="5">
        <f t="shared" si="14"/>
        <v>50990</v>
      </c>
      <c r="D872" s="2"/>
      <c r="G872" s="5" t="str">
        <f>IF(Dates_Ref[[#This Row],[Pay QCH]]&lt;&gt;E871,Dates_Ref[[#This Row],[Start]]+18,"")</f>
        <v/>
      </c>
      <c r="H872">
        <f>WEEKDAY(Dates_Ref[[#This Row],[Start]],2)</f>
        <v>1</v>
      </c>
      <c r="I872">
        <f>WEEKNUM(Dates_Ref[[#This Row],[Start]],21)</f>
        <v>32</v>
      </c>
    </row>
    <row r="873" spans="2:9" x14ac:dyDescent="0.25">
      <c r="B873">
        <f>MONTH(Dates_Ref[[#This Row],[Start]])</f>
        <v>8</v>
      </c>
      <c r="C873" s="5">
        <f t="shared" si="14"/>
        <v>50997</v>
      </c>
      <c r="D873" s="2"/>
      <c r="G873" s="5" t="str">
        <f>IF(Dates_Ref[[#This Row],[Pay QCH]]&lt;&gt;E872,Dates_Ref[[#This Row],[Start]]+18,"")</f>
        <v/>
      </c>
      <c r="H873">
        <f>WEEKDAY(Dates_Ref[[#This Row],[Start]],2)</f>
        <v>1</v>
      </c>
      <c r="I873">
        <f>WEEKNUM(Dates_Ref[[#This Row],[Start]],21)</f>
        <v>33</v>
      </c>
    </row>
    <row r="874" spans="2:9" x14ac:dyDescent="0.25">
      <c r="B874">
        <f>MONTH(Dates_Ref[[#This Row],[Start]])</f>
        <v>8</v>
      </c>
      <c r="C874" s="5">
        <f t="shared" si="14"/>
        <v>51004</v>
      </c>
      <c r="D874" s="2"/>
      <c r="G874" s="5" t="str">
        <f>IF(Dates_Ref[[#This Row],[Pay QCH]]&lt;&gt;E873,Dates_Ref[[#This Row],[Start]]+18,"")</f>
        <v/>
      </c>
      <c r="H874">
        <f>WEEKDAY(Dates_Ref[[#This Row],[Start]],2)</f>
        <v>1</v>
      </c>
      <c r="I874">
        <f>WEEKNUM(Dates_Ref[[#This Row],[Start]],21)</f>
        <v>34</v>
      </c>
    </row>
    <row r="875" spans="2:9" x14ac:dyDescent="0.25">
      <c r="B875">
        <f>MONTH(Dates_Ref[[#This Row],[Start]])</f>
        <v>8</v>
      </c>
      <c r="C875" s="5">
        <f t="shared" si="14"/>
        <v>51011</v>
      </c>
      <c r="D875" s="2"/>
      <c r="G875" s="5" t="str">
        <f>IF(Dates_Ref[[#This Row],[Pay QCH]]&lt;&gt;E874,Dates_Ref[[#This Row],[Start]]+18,"")</f>
        <v/>
      </c>
      <c r="H875">
        <f>WEEKDAY(Dates_Ref[[#This Row],[Start]],2)</f>
        <v>1</v>
      </c>
      <c r="I875">
        <f>WEEKNUM(Dates_Ref[[#This Row],[Start]],21)</f>
        <v>35</v>
      </c>
    </row>
    <row r="876" spans="2:9" x14ac:dyDescent="0.25">
      <c r="B876">
        <f>MONTH(Dates_Ref[[#This Row],[Start]])</f>
        <v>9</v>
      </c>
      <c r="C876" s="5">
        <f t="shared" si="14"/>
        <v>51018</v>
      </c>
      <c r="D876" s="2"/>
      <c r="G876" s="5" t="str">
        <f>IF(Dates_Ref[[#This Row],[Pay QCH]]&lt;&gt;E875,Dates_Ref[[#This Row],[Start]]+18,"")</f>
        <v/>
      </c>
      <c r="H876">
        <f>WEEKDAY(Dates_Ref[[#This Row],[Start]],2)</f>
        <v>1</v>
      </c>
      <c r="I876">
        <f>WEEKNUM(Dates_Ref[[#This Row],[Start]],21)</f>
        <v>36</v>
      </c>
    </row>
    <row r="877" spans="2:9" x14ac:dyDescent="0.25">
      <c r="B877">
        <f>MONTH(Dates_Ref[[#This Row],[Start]])</f>
        <v>9</v>
      </c>
      <c r="C877" s="5">
        <f t="shared" si="14"/>
        <v>51025</v>
      </c>
      <c r="D877" s="2"/>
      <c r="G877" s="5" t="str">
        <f>IF(Dates_Ref[[#This Row],[Pay QCH]]&lt;&gt;E876,Dates_Ref[[#This Row],[Start]]+18,"")</f>
        <v/>
      </c>
      <c r="H877">
        <f>WEEKDAY(Dates_Ref[[#This Row],[Start]],2)</f>
        <v>1</v>
      </c>
      <c r="I877">
        <f>WEEKNUM(Dates_Ref[[#This Row],[Start]],21)</f>
        <v>37</v>
      </c>
    </row>
    <row r="878" spans="2:9" x14ac:dyDescent="0.25">
      <c r="B878">
        <f>MONTH(Dates_Ref[[#This Row],[Start]])</f>
        <v>9</v>
      </c>
      <c r="C878" s="5">
        <f t="shared" si="14"/>
        <v>51032</v>
      </c>
      <c r="D878" s="2"/>
      <c r="G878" s="5" t="str">
        <f>IF(Dates_Ref[[#This Row],[Pay QCH]]&lt;&gt;E877,Dates_Ref[[#This Row],[Start]]+18,"")</f>
        <v/>
      </c>
      <c r="H878">
        <f>WEEKDAY(Dates_Ref[[#This Row],[Start]],2)</f>
        <v>1</v>
      </c>
      <c r="I878">
        <f>WEEKNUM(Dates_Ref[[#This Row],[Start]],21)</f>
        <v>38</v>
      </c>
    </row>
    <row r="879" spans="2:9" x14ac:dyDescent="0.25">
      <c r="B879">
        <f>MONTH(Dates_Ref[[#This Row],[Start]])</f>
        <v>9</v>
      </c>
      <c r="C879" s="5">
        <f t="shared" si="14"/>
        <v>51039</v>
      </c>
      <c r="D879" s="2"/>
      <c r="G879" s="5" t="str">
        <f>IF(Dates_Ref[[#This Row],[Pay QCH]]&lt;&gt;E878,Dates_Ref[[#This Row],[Start]]+18,"")</f>
        <v/>
      </c>
      <c r="H879">
        <f>WEEKDAY(Dates_Ref[[#This Row],[Start]],2)</f>
        <v>1</v>
      </c>
      <c r="I879">
        <f>WEEKNUM(Dates_Ref[[#This Row],[Start]],21)</f>
        <v>39</v>
      </c>
    </row>
    <row r="880" spans="2:9" x14ac:dyDescent="0.25">
      <c r="B880">
        <f>MONTH(Dates_Ref[[#This Row],[Start]])</f>
        <v>10</v>
      </c>
      <c r="C880" s="5">
        <f t="shared" si="14"/>
        <v>51046</v>
      </c>
      <c r="D880" s="2"/>
      <c r="G880" s="5" t="str">
        <f>IF(Dates_Ref[[#This Row],[Pay QCH]]&lt;&gt;E879,Dates_Ref[[#This Row],[Start]]+18,"")</f>
        <v/>
      </c>
      <c r="H880">
        <f>WEEKDAY(Dates_Ref[[#This Row],[Start]],2)</f>
        <v>1</v>
      </c>
      <c r="I880">
        <f>WEEKNUM(Dates_Ref[[#This Row],[Start]],21)</f>
        <v>40</v>
      </c>
    </row>
    <row r="881" spans="2:9" x14ac:dyDescent="0.25">
      <c r="B881">
        <f>MONTH(Dates_Ref[[#This Row],[Start]])</f>
        <v>10</v>
      </c>
      <c r="C881" s="5">
        <f t="shared" si="14"/>
        <v>51053</v>
      </c>
      <c r="D881" s="2"/>
      <c r="G881" s="5" t="str">
        <f>IF(Dates_Ref[[#This Row],[Pay QCH]]&lt;&gt;E880,Dates_Ref[[#This Row],[Start]]+18,"")</f>
        <v/>
      </c>
      <c r="H881">
        <f>WEEKDAY(Dates_Ref[[#This Row],[Start]],2)</f>
        <v>1</v>
      </c>
      <c r="I881">
        <f>WEEKNUM(Dates_Ref[[#This Row],[Start]],21)</f>
        <v>41</v>
      </c>
    </row>
    <row r="882" spans="2:9" x14ac:dyDescent="0.25">
      <c r="B882">
        <f>MONTH(Dates_Ref[[#This Row],[Start]])</f>
        <v>10</v>
      </c>
      <c r="C882" s="5">
        <f t="shared" si="14"/>
        <v>51060</v>
      </c>
      <c r="D882" s="2"/>
      <c r="G882" s="5" t="str">
        <f>IF(Dates_Ref[[#This Row],[Pay QCH]]&lt;&gt;E881,Dates_Ref[[#This Row],[Start]]+18,"")</f>
        <v/>
      </c>
      <c r="H882">
        <f>WEEKDAY(Dates_Ref[[#This Row],[Start]],2)</f>
        <v>1</v>
      </c>
      <c r="I882">
        <f>WEEKNUM(Dates_Ref[[#This Row],[Start]],21)</f>
        <v>42</v>
      </c>
    </row>
    <row r="883" spans="2:9" x14ac:dyDescent="0.25">
      <c r="B883">
        <f>MONTH(Dates_Ref[[#This Row],[Start]])</f>
        <v>10</v>
      </c>
      <c r="C883" s="5">
        <f t="shared" si="14"/>
        <v>51067</v>
      </c>
      <c r="D883" s="2"/>
      <c r="G883" s="5" t="str">
        <f>IF(Dates_Ref[[#This Row],[Pay QCH]]&lt;&gt;E882,Dates_Ref[[#This Row],[Start]]+18,"")</f>
        <v/>
      </c>
      <c r="H883">
        <f>WEEKDAY(Dates_Ref[[#This Row],[Start]],2)</f>
        <v>1</v>
      </c>
      <c r="I883">
        <f>WEEKNUM(Dates_Ref[[#This Row],[Start]],21)</f>
        <v>43</v>
      </c>
    </row>
    <row r="884" spans="2:9" x14ac:dyDescent="0.25">
      <c r="B884">
        <f>MONTH(Dates_Ref[[#This Row],[Start]])</f>
        <v>10</v>
      </c>
      <c r="C884" s="5">
        <f t="shared" si="14"/>
        <v>51074</v>
      </c>
      <c r="D884" s="2"/>
      <c r="G884" s="5" t="str">
        <f>IF(Dates_Ref[[#This Row],[Pay QCH]]&lt;&gt;E883,Dates_Ref[[#This Row],[Start]]+18,"")</f>
        <v/>
      </c>
      <c r="H884">
        <f>WEEKDAY(Dates_Ref[[#This Row],[Start]],2)</f>
        <v>1</v>
      </c>
      <c r="I884">
        <f>WEEKNUM(Dates_Ref[[#This Row],[Start]],21)</f>
        <v>44</v>
      </c>
    </row>
    <row r="885" spans="2:9" x14ac:dyDescent="0.25">
      <c r="B885">
        <f>MONTH(Dates_Ref[[#This Row],[Start]])</f>
        <v>11</v>
      </c>
      <c r="C885" s="5">
        <f t="shared" si="14"/>
        <v>51081</v>
      </c>
      <c r="D885" s="2"/>
      <c r="G885" s="5" t="str">
        <f>IF(Dates_Ref[[#This Row],[Pay QCH]]&lt;&gt;E884,Dates_Ref[[#This Row],[Start]]+18,"")</f>
        <v/>
      </c>
      <c r="H885">
        <f>WEEKDAY(Dates_Ref[[#This Row],[Start]],2)</f>
        <v>1</v>
      </c>
      <c r="I885">
        <f>WEEKNUM(Dates_Ref[[#This Row],[Start]],21)</f>
        <v>45</v>
      </c>
    </row>
    <row r="886" spans="2:9" x14ac:dyDescent="0.25">
      <c r="B886">
        <f>MONTH(Dates_Ref[[#This Row],[Start]])</f>
        <v>11</v>
      </c>
      <c r="C886" s="5">
        <f t="shared" si="14"/>
        <v>51088</v>
      </c>
      <c r="D886" s="2"/>
      <c r="G886" s="5" t="str">
        <f>IF(Dates_Ref[[#This Row],[Pay QCH]]&lt;&gt;E885,Dates_Ref[[#This Row],[Start]]+18,"")</f>
        <v/>
      </c>
      <c r="H886">
        <f>WEEKDAY(Dates_Ref[[#This Row],[Start]],2)</f>
        <v>1</v>
      </c>
      <c r="I886">
        <f>WEEKNUM(Dates_Ref[[#This Row],[Start]],21)</f>
        <v>46</v>
      </c>
    </row>
    <row r="887" spans="2:9" x14ac:dyDescent="0.25">
      <c r="B887">
        <f>MONTH(Dates_Ref[[#This Row],[Start]])</f>
        <v>11</v>
      </c>
      <c r="C887" s="5">
        <f t="shared" si="14"/>
        <v>51095</v>
      </c>
      <c r="D887" s="2"/>
      <c r="G887" s="5" t="str">
        <f>IF(Dates_Ref[[#This Row],[Pay QCH]]&lt;&gt;E886,Dates_Ref[[#This Row],[Start]]+18,"")</f>
        <v/>
      </c>
      <c r="H887">
        <f>WEEKDAY(Dates_Ref[[#This Row],[Start]],2)</f>
        <v>1</v>
      </c>
      <c r="I887">
        <f>WEEKNUM(Dates_Ref[[#This Row],[Start]],21)</f>
        <v>47</v>
      </c>
    </row>
    <row r="888" spans="2:9" x14ac:dyDescent="0.25">
      <c r="B888">
        <f>MONTH(Dates_Ref[[#This Row],[Start]])</f>
        <v>11</v>
      </c>
      <c r="C888" s="5">
        <f t="shared" si="14"/>
        <v>51102</v>
      </c>
      <c r="D888" s="2"/>
      <c r="G888" s="5" t="str">
        <f>IF(Dates_Ref[[#This Row],[Pay QCH]]&lt;&gt;E887,Dates_Ref[[#This Row],[Start]]+18,"")</f>
        <v/>
      </c>
      <c r="H888">
        <f>WEEKDAY(Dates_Ref[[#This Row],[Start]],2)</f>
        <v>1</v>
      </c>
      <c r="I888">
        <f>WEEKNUM(Dates_Ref[[#This Row],[Start]],21)</f>
        <v>48</v>
      </c>
    </row>
    <row r="889" spans="2:9" x14ac:dyDescent="0.25">
      <c r="B889">
        <f>MONTH(Dates_Ref[[#This Row],[Start]])</f>
        <v>12</v>
      </c>
      <c r="C889" s="5">
        <f t="shared" si="14"/>
        <v>51109</v>
      </c>
      <c r="D889" s="2"/>
      <c r="G889" s="5" t="str">
        <f>IF(Dates_Ref[[#This Row],[Pay QCH]]&lt;&gt;E888,Dates_Ref[[#This Row],[Start]]+18,"")</f>
        <v/>
      </c>
      <c r="H889">
        <f>WEEKDAY(Dates_Ref[[#This Row],[Start]],2)</f>
        <v>1</v>
      </c>
      <c r="I889">
        <f>WEEKNUM(Dates_Ref[[#This Row],[Start]],21)</f>
        <v>49</v>
      </c>
    </row>
    <row r="890" spans="2:9" x14ac:dyDescent="0.25">
      <c r="B890">
        <f>MONTH(Dates_Ref[[#This Row],[Start]])</f>
        <v>12</v>
      </c>
      <c r="C890" s="5">
        <f t="shared" si="14"/>
        <v>51116</v>
      </c>
      <c r="D890" s="2"/>
      <c r="G890" s="5" t="str">
        <f>IF(Dates_Ref[[#This Row],[Pay QCH]]&lt;&gt;E889,Dates_Ref[[#This Row],[Start]]+18,"")</f>
        <v/>
      </c>
      <c r="H890">
        <f>WEEKDAY(Dates_Ref[[#This Row],[Start]],2)</f>
        <v>1</v>
      </c>
      <c r="I890">
        <f>WEEKNUM(Dates_Ref[[#This Row],[Start]],21)</f>
        <v>50</v>
      </c>
    </row>
    <row r="891" spans="2:9" x14ac:dyDescent="0.25">
      <c r="B891">
        <f>MONTH(Dates_Ref[[#This Row],[Start]])</f>
        <v>12</v>
      </c>
      <c r="C891" s="5">
        <f t="shared" si="14"/>
        <v>51123</v>
      </c>
      <c r="D891" s="2"/>
      <c r="G891" s="5" t="str">
        <f>IF(Dates_Ref[[#This Row],[Pay QCH]]&lt;&gt;E890,Dates_Ref[[#This Row],[Start]]+18,"")</f>
        <v/>
      </c>
      <c r="H891">
        <f>WEEKDAY(Dates_Ref[[#This Row],[Start]],2)</f>
        <v>1</v>
      </c>
      <c r="I891">
        <f>WEEKNUM(Dates_Ref[[#This Row],[Start]],21)</f>
        <v>51</v>
      </c>
    </row>
    <row r="892" spans="2:9" x14ac:dyDescent="0.25">
      <c r="B892">
        <f>MONTH(Dates_Ref[[#This Row],[Start]])</f>
        <v>12</v>
      </c>
      <c r="C892" s="5">
        <f t="shared" si="14"/>
        <v>51130</v>
      </c>
      <c r="D892" s="2"/>
      <c r="G892" s="5" t="str">
        <f>IF(Dates_Ref[[#This Row],[Pay QCH]]&lt;&gt;E891,Dates_Ref[[#This Row],[Start]]+18,"")</f>
        <v/>
      </c>
      <c r="H892">
        <f>WEEKDAY(Dates_Ref[[#This Row],[Start]],2)</f>
        <v>1</v>
      </c>
      <c r="I892">
        <f>WEEKNUM(Dates_Ref[[#This Row],[Start]],21)</f>
        <v>52</v>
      </c>
    </row>
    <row r="893" spans="2:9" x14ac:dyDescent="0.25">
      <c r="B893">
        <f>MONTH(Dates_Ref[[#This Row],[Start]])</f>
        <v>1</v>
      </c>
      <c r="C893" s="5">
        <f t="shared" si="14"/>
        <v>51137</v>
      </c>
      <c r="D893" s="2"/>
      <c r="G893" s="5" t="str">
        <f>IF(Dates_Ref[[#This Row],[Pay QCH]]&lt;&gt;E892,Dates_Ref[[#This Row],[Start]]+18,"")</f>
        <v/>
      </c>
      <c r="H893">
        <f>WEEKDAY(Dates_Ref[[#This Row],[Start]],2)</f>
        <v>1</v>
      </c>
      <c r="I893">
        <f>WEEKNUM(Dates_Ref[[#This Row],[Start]],21)</f>
        <v>1</v>
      </c>
    </row>
    <row r="894" spans="2:9" x14ac:dyDescent="0.25">
      <c r="B894">
        <f>MONTH(Dates_Ref[[#This Row],[Start]])</f>
        <v>1</v>
      </c>
      <c r="C894" s="5">
        <f t="shared" si="14"/>
        <v>51144</v>
      </c>
      <c r="D894" s="2"/>
      <c r="G894" s="5" t="str">
        <f>IF(Dates_Ref[[#This Row],[Pay QCH]]&lt;&gt;E893,Dates_Ref[[#This Row],[Start]]+18,"")</f>
        <v/>
      </c>
      <c r="H894">
        <f>WEEKDAY(Dates_Ref[[#This Row],[Start]],2)</f>
        <v>1</v>
      </c>
      <c r="I894">
        <f>WEEKNUM(Dates_Ref[[#This Row],[Start]],21)</f>
        <v>2</v>
      </c>
    </row>
    <row r="895" spans="2:9" x14ac:dyDescent="0.25">
      <c r="B895">
        <f>MONTH(Dates_Ref[[#This Row],[Start]])</f>
        <v>1</v>
      </c>
      <c r="C895" s="5">
        <f t="shared" si="14"/>
        <v>51151</v>
      </c>
      <c r="D895" s="2"/>
      <c r="G895" s="5" t="str">
        <f>IF(Dates_Ref[[#This Row],[Pay QCH]]&lt;&gt;E894,Dates_Ref[[#This Row],[Start]]+18,"")</f>
        <v/>
      </c>
      <c r="H895">
        <f>WEEKDAY(Dates_Ref[[#This Row],[Start]],2)</f>
        <v>1</v>
      </c>
      <c r="I895">
        <f>WEEKNUM(Dates_Ref[[#This Row],[Start]],21)</f>
        <v>3</v>
      </c>
    </row>
    <row r="896" spans="2:9" x14ac:dyDescent="0.25">
      <c r="B896">
        <f>MONTH(Dates_Ref[[#This Row],[Start]])</f>
        <v>1</v>
      </c>
      <c r="C896" s="5">
        <f t="shared" si="14"/>
        <v>51158</v>
      </c>
      <c r="D896" s="2"/>
      <c r="G896" s="5" t="str">
        <f>IF(Dates_Ref[[#This Row],[Pay QCH]]&lt;&gt;E895,Dates_Ref[[#This Row],[Start]]+18,"")</f>
        <v/>
      </c>
      <c r="H896">
        <f>WEEKDAY(Dates_Ref[[#This Row],[Start]],2)</f>
        <v>1</v>
      </c>
      <c r="I896">
        <f>WEEKNUM(Dates_Ref[[#This Row],[Start]],21)</f>
        <v>4</v>
      </c>
    </row>
    <row r="897" spans="2:9" x14ac:dyDescent="0.25">
      <c r="B897">
        <f>MONTH(Dates_Ref[[#This Row],[Start]])</f>
        <v>1</v>
      </c>
      <c r="C897" s="5">
        <f t="shared" si="14"/>
        <v>51165</v>
      </c>
      <c r="D897" s="2"/>
      <c r="G897" s="5" t="str">
        <f>IF(Dates_Ref[[#This Row],[Pay QCH]]&lt;&gt;E896,Dates_Ref[[#This Row],[Start]]+18,"")</f>
        <v/>
      </c>
      <c r="H897">
        <f>WEEKDAY(Dates_Ref[[#This Row],[Start]],2)</f>
        <v>1</v>
      </c>
      <c r="I897">
        <f>WEEKNUM(Dates_Ref[[#This Row],[Start]],21)</f>
        <v>5</v>
      </c>
    </row>
    <row r="898" spans="2:9" x14ac:dyDescent="0.25">
      <c r="B898">
        <f>MONTH(Dates_Ref[[#This Row],[Start]])</f>
        <v>2</v>
      </c>
      <c r="C898" s="5">
        <f t="shared" si="14"/>
        <v>51172</v>
      </c>
      <c r="D898" s="2"/>
      <c r="G898" s="5" t="str">
        <f>IF(Dates_Ref[[#This Row],[Pay QCH]]&lt;&gt;E897,Dates_Ref[[#This Row],[Start]]+18,"")</f>
        <v/>
      </c>
      <c r="H898">
        <f>WEEKDAY(Dates_Ref[[#This Row],[Start]],2)</f>
        <v>1</v>
      </c>
      <c r="I898">
        <f>WEEKNUM(Dates_Ref[[#This Row],[Start]],21)</f>
        <v>6</v>
      </c>
    </row>
    <row r="899" spans="2:9" x14ac:dyDescent="0.25">
      <c r="B899">
        <f>MONTH(Dates_Ref[[#This Row],[Start]])</f>
        <v>2</v>
      </c>
      <c r="C899" s="5">
        <f t="shared" si="14"/>
        <v>51179</v>
      </c>
      <c r="D899" s="2"/>
      <c r="G899" s="5" t="str">
        <f>IF(Dates_Ref[[#This Row],[Pay QCH]]&lt;&gt;E898,Dates_Ref[[#This Row],[Start]]+18,"")</f>
        <v/>
      </c>
      <c r="H899">
        <f>WEEKDAY(Dates_Ref[[#This Row],[Start]],2)</f>
        <v>1</v>
      </c>
      <c r="I899">
        <f>WEEKNUM(Dates_Ref[[#This Row],[Start]],21)</f>
        <v>7</v>
      </c>
    </row>
    <row r="900" spans="2:9" x14ac:dyDescent="0.25">
      <c r="B900">
        <f>MONTH(Dates_Ref[[#This Row],[Start]])</f>
        <v>2</v>
      </c>
      <c r="C900" s="5">
        <f t="shared" si="14"/>
        <v>51186</v>
      </c>
      <c r="D900" s="2"/>
      <c r="G900" s="5" t="str">
        <f>IF(Dates_Ref[[#This Row],[Pay QCH]]&lt;&gt;E899,Dates_Ref[[#This Row],[Start]]+18,"")</f>
        <v/>
      </c>
      <c r="H900">
        <f>WEEKDAY(Dates_Ref[[#This Row],[Start]],2)</f>
        <v>1</v>
      </c>
      <c r="I900">
        <f>WEEKNUM(Dates_Ref[[#This Row],[Start]],21)</f>
        <v>8</v>
      </c>
    </row>
    <row r="901" spans="2:9" x14ac:dyDescent="0.25">
      <c r="B901">
        <f>MONTH(Dates_Ref[[#This Row],[Start]])</f>
        <v>2</v>
      </c>
      <c r="C901" s="5">
        <f t="shared" si="14"/>
        <v>51193</v>
      </c>
      <c r="D901" s="2"/>
      <c r="G901" s="5" t="str">
        <f>IF(Dates_Ref[[#This Row],[Pay QCH]]&lt;&gt;E900,Dates_Ref[[#This Row],[Start]]+18,"")</f>
        <v/>
      </c>
      <c r="H901">
        <f>WEEKDAY(Dates_Ref[[#This Row],[Start]],2)</f>
        <v>1</v>
      </c>
      <c r="I901">
        <f>WEEKNUM(Dates_Ref[[#This Row],[Start]],21)</f>
        <v>9</v>
      </c>
    </row>
    <row r="902" spans="2:9" x14ac:dyDescent="0.25">
      <c r="B902">
        <f>MONTH(Dates_Ref[[#This Row],[Start]])</f>
        <v>3</v>
      </c>
      <c r="C902" s="5">
        <f t="shared" si="14"/>
        <v>51200</v>
      </c>
      <c r="D902" s="2"/>
      <c r="G902" s="5" t="str">
        <f>IF(Dates_Ref[[#This Row],[Pay QCH]]&lt;&gt;E901,Dates_Ref[[#This Row],[Start]]+18,"")</f>
        <v/>
      </c>
      <c r="H902">
        <f>WEEKDAY(Dates_Ref[[#This Row],[Start]],2)</f>
        <v>1</v>
      </c>
      <c r="I902">
        <f>WEEKNUM(Dates_Ref[[#This Row],[Start]],21)</f>
        <v>10</v>
      </c>
    </row>
    <row r="903" spans="2:9" x14ac:dyDescent="0.25">
      <c r="B903">
        <f>MONTH(Dates_Ref[[#This Row],[Start]])</f>
        <v>3</v>
      </c>
      <c r="C903" s="5">
        <f t="shared" ref="C903:C948" si="15">C902+7</f>
        <v>51207</v>
      </c>
      <c r="D903" s="2"/>
      <c r="G903" s="5" t="str">
        <f>IF(Dates_Ref[[#This Row],[Pay QCH]]&lt;&gt;E902,Dates_Ref[[#This Row],[Start]]+18,"")</f>
        <v/>
      </c>
      <c r="H903">
        <f>WEEKDAY(Dates_Ref[[#This Row],[Start]],2)</f>
        <v>1</v>
      </c>
      <c r="I903">
        <f>WEEKNUM(Dates_Ref[[#This Row],[Start]],21)</f>
        <v>11</v>
      </c>
    </row>
    <row r="904" spans="2:9" x14ac:dyDescent="0.25">
      <c r="B904">
        <f>MONTH(Dates_Ref[[#This Row],[Start]])</f>
        <v>3</v>
      </c>
      <c r="C904" s="5">
        <f t="shared" si="15"/>
        <v>51214</v>
      </c>
      <c r="D904" s="2"/>
      <c r="G904" s="5" t="str">
        <f>IF(Dates_Ref[[#This Row],[Pay QCH]]&lt;&gt;E903,Dates_Ref[[#This Row],[Start]]+18,"")</f>
        <v/>
      </c>
      <c r="H904">
        <f>WEEKDAY(Dates_Ref[[#This Row],[Start]],2)</f>
        <v>1</v>
      </c>
      <c r="I904">
        <f>WEEKNUM(Dates_Ref[[#This Row],[Start]],21)</f>
        <v>12</v>
      </c>
    </row>
    <row r="905" spans="2:9" x14ac:dyDescent="0.25">
      <c r="B905">
        <f>MONTH(Dates_Ref[[#This Row],[Start]])</f>
        <v>3</v>
      </c>
      <c r="C905" s="5">
        <f t="shared" si="15"/>
        <v>51221</v>
      </c>
      <c r="D905" s="2"/>
      <c r="G905" s="5" t="str">
        <f>IF(Dates_Ref[[#This Row],[Pay QCH]]&lt;&gt;E904,Dates_Ref[[#This Row],[Start]]+18,"")</f>
        <v/>
      </c>
      <c r="H905">
        <f>WEEKDAY(Dates_Ref[[#This Row],[Start]],2)</f>
        <v>1</v>
      </c>
      <c r="I905">
        <f>WEEKNUM(Dates_Ref[[#This Row],[Start]],21)</f>
        <v>13</v>
      </c>
    </row>
    <row r="906" spans="2:9" x14ac:dyDescent="0.25">
      <c r="B906">
        <f>MONTH(Dates_Ref[[#This Row],[Start]])</f>
        <v>4</v>
      </c>
      <c r="C906" s="5">
        <f t="shared" si="15"/>
        <v>51228</v>
      </c>
      <c r="D906" s="2"/>
      <c r="G906" s="5" t="str">
        <f>IF(Dates_Ref[[#This Row],[Pay QCH]]&lt;&gt;E905,Dates_Ref[[#This Row],[Start]]+18,"")</f>
        <v/>
      </c>
      <c r="H906">
        <f>WEEKDAY(Dates_Ref[[#This Row],[Start]],2)</f>
        <v>1</v>
      </c>
      <c r="I906">
        <f>WEEKNUM(Dates_Ref[[#This Row],[Start]],21)</f>
        <v>14</v>
      </c>
    </row>
    <row r="907" spans="2:9" x14ac:dyDescent="0.25">
      <c r="B907">
        <f>MONTH(Dates_Ref[[#This Row],[Start]])</f>
        <v>4</v>
      </c>
      <c r="C907" s="5">
        <f t="shared" si="15"/>
        <v>51235</v>
      </c>
      <c r="D907" s="2"/>
      <c r="G907" s="5" t="str">
        <f>IF(Dates_Ref[[#This Row],[Pay QCH]]&lt;&gt;E906,Dates_Ref[[#This Row],[Start]]+18,"")</f>
        <v/>
      </c>
      <c r="H907">
        <f>WEEKDAY(Dates_Ref[[#This Row],[Start]],2)</f>
        <v>1</v>
      </c>
      <c r="I907">
        <f>WEEKNUM(Dates_Ref[[#This Row],[Start]],21)</f>
        <v>15</v>
      </c>
    </row>
    <row r="908" spans="2:9" x14ac:dyDescent="0.25">
      <c r="B908">
        <f>MONTH(Dates_Ref[[#This Row],[Start]])</f>
        <v>4</v>
      </c>
      <c r="C908" s="5">
        <f t="shared" si="15"/>
        <v>51242</v>
      </c>
      <c r="D908" s="2"/>
      <c r="G908" s="5" t="str">
        <f>IF(Dates_Ref[[#This Row],[Pay QCH]]&lt;&gt;E907,Dates_Ref[[#This Row],[Start]]+18,"")</f>
        <v/>
      </c>
      <c r="H908">
        <f>WEEKDAY(Dates_Ref[[#This Row],[Start]],2)</f>
        <v>1</v>
      </c>
      <c r="I908">
        <f>WEEKNUM(Dates_Ref[[#This Row],[Start]],21)</f>
        <v>16</v>
      </c>
    </row>
    <row r="909" spans="2:9" x14ac:dyDescent="0.25">
      <c r="B909">
        <f>MONTH(Dates_Ref[[#This Row],[Start]])</f>
        <v>4</v>
      </c>
      <c r="C909" s="5">
        <f t="shared" si="15"/>
        <v>51249</v>
      </c>
      <c r="D909" s="2"/>
      <c r="G909" s="5" t="str">
        <f>IF(Dates_Ref[[#This Row],[Pay QCH]]&lt;&gt;E908,Dates_Ref[[#This Row],[Start]]+18,"")</f>
        <v/>
      </c>
      <c r="H909">
        <f>WEEKDAY(Dates_Ref[[#This Row],[Start]],2)</f>
        <v>1</v>
      </c>
      <c r="I909">
        <f>WEEKNUM(Dates_Ref[[#This Row],[Start]],21)</f>
        <v>17</v>
      </c>
    </row>
    <row r="910" spans="2:9" x14ac:dyDescent="0.25">
      <c r="B910">
        <f>MONTH(Dates_Ref[[#This Row],[Start]])</f>
        <v>4</v>
      </c>
      <c r="C910" s="5">
        <f t="shared" si="15"/>
        <v>51256</v>
      </c>
      <c r="D910" s="2"/>
      <c r="G910" s="5" t="str">
        <f>IF(Dates_Ref[[#This Row],[Pay QCH]]&lt;&gt;E909,Dates_Ref[[#This Row],[Start]]+18,"")</f>
        <v/>
      </c>
      <c r="H910">
        <f>WEEKDAY(Dates_Ref[[#This Row],[Start]],2)</f>
        <v>1</v>
      </c>
      <c r="I910">
        <f>WEEKNUM(Dates_Ref[[#This Row],[Start]],21)</f>
        <v>18</v>
      </c>
    </row>
    <row r="911" spans="2:9" x14ac:dyDescent="0.25">
      <c r="B911">
        <f>MONTH(Dates_Ref[[#This Row],[Start]])</f>
        <v>5</v>
      </c>
      <c r="C911" s="5">
        <f t="shared" si="15"/>
        <v>51263</v>
      </c>
      <c r="D911" s="2"/>
      <c r="G911" s="5" t="str">
        <f>IF(Dates_Ref[[#This Row],[Pay QCH]]&lt;&gt;E910,Dates_Ref[[#This Row],[Start]]+18,"")</f>
        <v/>
      </c>
      <c r="H911">
        <f>WEEKDAY(Dates_Ref[[#This Row],[Start]],2)</f>
        <v>1</v>
      </c>
      <c r="I911">
        <f>WEEKNUM(Dates_Ref[[#This Row],[Start]],21)</f>
        <v>19</v>
      </c>
    </row>
    <row r="912" spans="2:9" x14ac:dyDescent="0.25">
      <c r="B912">
        <f>MONTH(Dates_Ref[[#This Row],[Start]])</f>
        <v>5</v>
      </c>
      <c r="C912" s="5">
        <f t="shared" si="15"/>
        <v>51270</v>
      </c>
      <c r="D912" s="2"/>
      <c r="G912" s="5" t="str">
        <f>IF(Dates_Ref[[#This Row],[Pay QCH]]&lt;&gt;E911,Dates_Ref[[#This Row],[Start]]+18,"")</f>
        <v/>
      </c>
      <c r="H912">
        <f>WEEKDAY(Dates_Ref[[#This Row],[Start]],2)</f>
        <v>1</v>
      </c>
      <c r="I912">
        <f>WEEKNUM(Dates_Ref[[#This Row],[Start]],21)</f>
        <v>20</v>
      </c>
    </row>
    <row r="913" spans="2:9" x14ac:dyDescent="0.25">
      <c r="B913">
        <f>MONTH(Dates_Ref[[#This Row],[Start]])</f>
        <v>5</v>
      </c>
      <c r="C913" s="5">
        <f t="shared" si="15"/>
        <v>51277</v>
      </c>
      <c r="D913" s="2"/>
      <c r="G913" s="5" t="str">
        <f>IF(Dates_Ref[[#This Row],[Pay QCH]]&lt;&gt;E912,Dates_Ref[[#This Row],[Start]]+18,"")</f>
        <v/>
      </c>
      <c r="H913">
        <f>WEEKDAY(Dates_Ref[[#This Row],[Start]],2)</f>
        <v>1</v>
      </c>
      <c r="I913">
        <f>WEEKNUM(Dates_Ref[[#This Row],[Start]],21)</f>
        <v>21</v>
      </c>
    </row>
    <row r="914" spans="2:9" x14ac:dyDescent="0.25">
      <c r="B914">
        <f>MONTH(Dates_Ref[[#This Row],[Start]])</f>
        <v>5</v>
      </c>
      <c r="C914" s="5">
        <f t="shared" si="15"/>
        <v>51284</v>
      </c>
      <c r="D914" s="2"/>
      <c r="G914" s="5" t="str">
        <f>IF(Dates_Ref[[#This Row],[Pay QCH]]&lt;&gt;E913,Dates_Ref[[#This Row],[Start]]+18,"")</f>
        <v/>
      </c>
      <c r="H914">
        <f>WEEKDAY(Dates_Ref[[#This Row],[Start]],2)</f>
        <v>1</v>
      </c>
      <c r="I914">
        <f>WEEKNUM(Dates_Ref[[#This Row],[Start]],21)</f>
        <v>22</v>
      </c>
    </row>
    <row r="915" spans="2:9" x14ac:dyDescent="0.25">
      <c r="B915">
        <f>MONTH(Dates_Ref[[#This Row],[Start]])</f>
        <v>6</v>
      </c>
      <c r="C915" s="5">
        <f t="shared" si="15"/>
        <v>51291</v>
      </c>
      <c r="D915" s="2"/>
      <c r="G915" s="5" t="str">
        <f>IF(Dates_Ref[[#This Row],[Pay QCH]]&lt;&gt;E914,Dates_Ref[[#This Row],[Start]]+18,"")</f>
        <v/>
      </c>
      <c r="H915">
        <f>WEEKDAY(Dates_Ref[[#This Row],[Start]],2)</f>
        <v>1</v>
      </c>
      <c r="I915">
        <f>WEEKNUM(Dates_Ref[[#This Row],[Start]],21)</f>
        <v>23</v>
      </c>
    </row>
    <row r="916" spans="2:9" x14ac:dyDescent="0.25">
      <c r="B916">
        <f>MONTH(Dates_Ref[[#This Row],[Start]])</f>
        <v>6</v>
      </c>
      <c r="C916" s="5">
        <f t="shared" si="15"/>
        <v>51298</v>
      </c>
      <c r="D916" s="2"/>
      <c r="G916" s="5" t="str">
        <f>IF(Dates_Ref[[#This Row],[Pay QCH]]&lt;&gt;E915,Dates_Ref[[#This Row],[Start]]+18,"")</f>
        <v/>
      </c>
      <c r="H916">
        <f>WEEKDAY(Dates_Ref[[#This Row],[Start]],2)</f>
        <v>1</v>
      </c>
      <c r="I916">
        <f>WEEKNUM(Dates_Ref[[#This Row],[Start]],21)</f>
        <v>24</v>
      </c>
    </row>
    <row r="917" spans="2:9" x14ac:dyDescent="0.25">
      <c r="B917">
        <f>MONTH(Dates_Ref[[#This Row],[Start]])</f>
        <v>6</v>
      </c>
      <c r="C917" s="5">
        <f t="shared" si="15"/>
        <v>51305</v>
      </c>
      <c r="D917" s="2"/>
      <c r="G917" s="5" t="str">
        <f>IF(Dates_Ref[[#This Row],[Pay QCH]]&lt;&gt;E916,Dates_Ref[[#This Row],[Start]]+18,"")</f>
        <v/>
      </c>
      <c r="H917">
        <f>WEEKDAY(Dates_Ref[[#This Row],[Start]],2)</f>
        <v>1</v>
      </c>
      <c r="I917">
        <f>WEEKNUM(Dates_Ref[[#This Row],[Start]],21)</f>
        <v>25</v>
      </c>
    </row>
    <row r="918" spans="2:9" x14ac:dyDescent="0.25">
      <c r="B918">
        <f>MONTH(Dates_Ref[[#This Row],[Start]])</f>
        <v>6</v>
      </c>
      <c r="C918" s="5">
        <f t="shared" si="15"/>
        <v>51312</v>
      </c>
      <c r="D918" s="2"/>
      <c r="G918" s="5" t="str">
        <f>IF(Dates_Ref[[#This Row],[Pay QCH]]&lt;&gt;E917,Dates_Ref[[#This Row],[Start]]+18,"")</f>
        <v/>
      </c>
      <c r="H918">
        <f>WEEKDAY(Dates_Ref[[#This Row],[Start]],2)</f>
        <v>1</v>
      </c>
      <c r="I918">
        <f>WEEKNUM(Dates_Ref[[#This Row],[Start]],21)</f>
        <v>26</v>
      </c>
    </row>
    <row r="919" spans="2:9" x14ac:dyDescent="0.25">
      <c r="B919">
        <f>MONTH(Dates_Ref[[#This Row],[Start]])</f>
        <v>7</v>
      </c>
      <c r="C919" s="5">
        <f t="shared" si="15"/>
        <v>51319</v>
      </c>
      <c r="D919" s="2"/>
      <c r="G919" s="5" t="str">
        <f>IF(Dates_Ref[[#This Row],[Pay QCH]]&lt;&gt;E918,Dates_Ref[[#This Row],[Start]]+18,"")</f>
        <v/>
      </c>
      <c r="H919">
        <f>WEEKDAY(Dates_Ref[[#This Row],[Start]],2)</f>
        <v>1</v>
      </c>
      <c r="I919">
        <f>WEEKNUM(Dates_Ref[[#This Row],[Start]],21)</f>
        <v>27</v>
      </c>
    </row>
    <row r="920" spans="2:9" x14ac:dyDescent="0.25">
      <c r="B920">
        <f>MONTH(Dates_Ref[[#This Row],[Start]])</f>
        <v>7</v>
      </c>
      <c r="C920" s="5">
        <f t="shared" si="15"/>
        <v>51326</v>
      </c>
      <c r="D920" s="2"/>
      <c r="G920" s="5" t="str">
        <f>IF(Dates_Ref[[#This Row],[Pay QCH]]&lt;&gt;E919,Dates_Ref[[#This Row],[Start]]+18,"")</f>
        <v/>
      </c>
      <c r="H920">
        <f>WEEKDAY(Dates_Ref[[#This Row],[Start]],2)</f>
        <v>1</v>
      </c>
      <c r="I920">
        <f>WEEKNUM(Dates_Ref[[#This Row],[Start]],21)</f>
        <v>28</v>
      </c>
    </row>
    <row r="921" spans="2:9" x14ac:dyDescent="0.25">
      <c r="B921">
        <f>MONTH(Dates_Ref[[#This Row],[Start]])</f>
        <v>7</v>
      </c>
      <c r="C921" s="5">
        <f t="shared" si="15"/>
        <v>51333</v>
      </c>
      <c r="D921" s="2"/>
      <c r="G921" s="5" t="str">
        <f>IF(Dates_Ref[[#This Row],[Pay QCH]]&lt;&gt;E920,Dates_Ref[[#This Row],[Start]]+18,"")</f>
        <v/>
      </c>
      <c r="H921">
        <f>WEEKDAY(Dates_Ref[[#This Row],[Start]],2)</f>
        <v>1</v>
      </c>
      <c r="I921">
        <f>WEEKNUM(Dates_Ref[[#This Row],[Start]],21)</f>
        <v>29</v>
      </c>
    </row>
    <row r="922" spans="2:9" x14ac:dyDescent="0.25">
      <c r="B922">
        <f>MONTH(Dates_Ref[[#This Row],[Start]])</f>
        <v>7</v>
      </c>
      <c r="C922" s="5">
        <f t="shared" si="15"/>
        <v>51340</v>
      </c>
      <c r="D922" s="2"/>
      <c r="G922" s="5" t="str">
        <f>IF(Dates_Ref[[#This Row],[Pay QCH]]&lt;&gt;E921,Dates_Ref[[#This Row],[Start]]+18,"")</f>
        <v/>
      </c>
      <c r="H922">
        <f>WEEKDAY(Dates_Ref[[#This Row],[Start]],2)</f>
        <v>1</v>
      </c>
      <c r="I922">
        <f>WEEKNUM(Dates_Ref[[#This Row],[Start]],21)</f>
        <v>30</v>
      </c>
    </row>
    <row r="923" spans="2:9" x14ac:dyDescent="0.25">
      <c r="B923">
        <f>MONTH(Dates_Ref[[#This Row],[Start]])</f>
        <v>7</v>
      </c>
      <c r="C923" s="5">
        <f t="shared" si="15"/>
        <v>51347</v>
      </c>
      <c r="D923" s="2"/>
      <c r="G923" s="5" t="str">
        <f>IF(Dates_Ref[[#This Row],[Pay QCH]]&lt;&gt;E922,Dates_Ref[[#This Row],[Start]]+18,"")</f>
        <v/>
      </c>
      <c r="H923">
        <f>WEEKDAY(Dates_Ref[[#This Row],[Start]],2)</f>
        <v>1</v>
      </c>
      <c r="I923">
        <f>WEEKNUM(Dates_Ref[[#This Row],[Start]],21)</f>
        <v>31</v>
      </c>
    </row>
    <row r="924" spans="2:9" x14ac:dyDescent="0.25">
      <c r="B924">
        <f>MONTH(Dates_Ref[[#This Row],[Start]])</f>
        <v>8</v>
      </c>
      <c r="C924" s="5">
        <f t="shared" si="15"/>
        <v>51354</v>
      </c>
      <c r="D924" s="2"/>
      <c r="G924" s="5" t="str">
        <f>IF(Dates_Ref[[#This Row],[Pay QCH]]&lt;&gt;E923,Dates_Ref[[#This Row],[Start]]+18,"")</f>
        <v/>
      </c>
      <c r="H924">
        <f>WEEKDAY(Dates_Ref[[#This Row],[Start]],2)</f>
        <v>1</v>
      </c>
      <c r="I924">
        <f>WEEKNUM(Dates_Ref[[#This Row],[Start]],21)</f>
        <v>32</v>
      </c>
    </row>
    <row r="925" spans="2:9" x14ac:dyDescent="0.25">
      <c r="B925">
        <f>MONTH(Dates_Ref[[#This Row],[Start]])</f>
        <v>8</v>
      </c>
      <c r="C925" s="5">
        <f t="shared" si="15"/>
        <v>51361</v>
      </c>
      <c r="D925" s="2"/>
      <c r="G925" s="5" t="str">
        <f>IF(Dates_Ref[[#This Row],[Pay QCH]]&lt;&gt;E924,Dates_Ref[[#This Row],[Start]]+18,"")</f>
        <v/>
      </c>
      <c r="H925">
        <f>WEEKDAY(Dates_Ref[[#This Row],[Start]],2)</f>
        <v>1</v>
      </c>
      <c r="I925">
        <f>WEEKNUM(Dates_Ref[[#This Row],[Start]],21)</f>
        <v>33</v>
      </c>
    </row>
    <row r="926" spans="2:9" x14ac:dyDescent="0.25">
      <c r="B926">
        <f>MONTH(Dates_Ref[[#This Row],[Start]])</f>
        <v>8</v>
      </c>
      <c r="C926" s="5">
        <f t="shared" si="15"/>
        <v>51368</v>
      </c>
      <c r="D926" s="2"/>
      <c r="G926" s="5" t="str">
        <f>IF(Dates_Ref[[#This Row],[Pay QCH]]&lt;&gt;E925,Dates_Ref[[#This Row],[Start]]+18,"")</f>
        <v/>
      </c>
      <c r="H926">
        <f>WEEKDAY(Dates_Ref[[#This Row],[Start]],2)</f>
        <v>1</v>
      </c>
      <c r="I926">
        <f>WEEKNUM(Dates_Ref[[#This Row],[Start]],21)</f>
        <v>34</v>
      </c>
    </row>
    <row r="927" spans="2:9" x14ac:dyDescent="0.25">
      <c r="B927">
        <f>MONTH(Dates_Ref[[#This Row],[Start]])</f>
        <v>8</v>
      </c>
      <c r="C927" s="5">
        <f t="shared" si="15"/>
        <v>51375</v>
      </c>
      <c r="D927" s="2"/>
      <c r="G927" s="5" t="str">
        <f>IF(Dates_Ref[[#This Row],[Pay QCH]]&lt;&gt;E926,Dates_Ref[[#This Row],[Start]]+18,"")</f>
        <v/>
      </c>
      <c r="H927">
        <f>WEEKDAY(Dates_Ref[[#This Row],[Start]],2)</f>
        <v>1</v>
      </c>
      <c r="I927">
        <f>WEEKNUM(Dates_Ref[[#This Row],[Start]],21)</f>
        <v>35</v>
      </c>
    </row>
    <row r="928" spans="2:9" x14ac:dyDescent="0.25">
      <c r="B928">
        <f>MONTH(Dates_Ref[[#This Row],[Start]])</f>
        <v>9</v>
      </c>
      <c r="C928" s="5">
        <f t="shared" si="15"/>
        <v>51382</v>
      </c>
      <c r="D928" s="2"/>
      <c r="G928" s="5" t="str">
        <f>IF(Dates_Ref[[#This Row],[Pay QCH]]&lt;&gt;E927,Dates_Ref[[#This Row],[Start]]+18,"")</f>
        <v/>
      </c>
      <c r="H928">
        <f>WEEKDAY(Dates_Ref[[#This Row],[Start]],2)</f>
        <v>1</v>
      </c>
      <c r="I928">
        <f>WEEKNUM(Dates_Ref[[#This Row],[Start]],21)</f>
        <v>36</v>
      </c>
    </row>
    <row r="929" spans="2:9" x14ac:dyDescent="0.25">
      <c r="B929">
        <f>MONTH(Dates_Ref[[#This Row],[Start]])</f>
        <v>9</v>
      </c>
      <c r="C929" s="5">
        <f t="shared" si="15"/>
        <v>51389</v>
      </c>
      <c r="D929" s="2"/>
      <c r="G929" s="5" t="str">
        <f>IF(Dates_Ref[[#This Row],[Pay QCH]]&lt;&gt;E928,Dates_Ref[[#This Row],[Start]]+18,"")</f>
        <v/>
      </c>
      <c r="H929">
        <f>WEEKDAY(Dates_Ref[[#This Row],[Start]],2)</f>
        <v>1</v>
      </c>
      <c r="I929">
        <f>WEEKNUM(Dates_Ref[[#This Row],[Start]],21)</f>
        <v>37</v>
      </c>
    </row>
    <row r="930" spans="2:9" x14ac:dyDescent="0.25">
      <c r="B930">
        <f>MONTH(Dates_Ref[[#This Row],[Start]])</f>
        <v>9</v>
      </c>
      <c r="C930" s="5">
        <f t="shared" si="15"/>
        <v>51396</v>
      </c>
      <c r="D930" s="2"/>
      <c r="G930" s="5" t="str">
        <f>IF(Dates_Ref[[#This Row],[Pay QCH]]&lt;&gt;E929,Dates_Ref[[#This Row],[Start]]+18,"")</f>
        <v/>
      </c>
      <c r="H930">
        <f>WEEKDAY(Dates_Ref[[#This Row],[Start]],2)</f>
        <v>1</v>
      </c>
      <c r="I930">
        <f>WEEKNUM(Dates_Ref[[#This Row],[Start]],21)</f>
        <v>38</v>
      </c>
    </row>
    <row r="931" spans="2:9" x14ac:dyDescent="0.25">
      <c r="B931">
        <f>MONTH(Dates_Ref[[#This Row],[Start]])</f>
        <v>9</v>
      </c>
      <c r="C931" s="5">
        <f t="shared" si="15"/>
        <v>51403</v>
      </c>
      <c r="D931" s="2"/>
      <c r="G931" s="5" t="str">
        <f>IF(Dates_Ref[[#This Row],[Pay QCH]]&lt;&gt;E930,Dates_Ref[[#This Row],[Start]]+18,"")</f>
        <v/>
      </c>
      <c r="H931">
        <f>WEEKDAY(Dates_Ref[[#This Row],[Start]],2)</f>
        <v>1</v>
      </c>
      <c r="I931">
        <f>WEEKNUM(Dates_Ref[[#This Row],[Start]],21)</f>
        <v>39</v>
      </c>
    </row>
    <row r="932" spans="2:9" x14ac:dyDescent="0.25">
      <c r="B932">
        <f>MONTH(Dates_Ref[[#This Row],[Start]])</f>
        <v>10</v>
      </c>
      <c r="C932" s="5">
        <f t="shared" si="15"/>
        <v>51410</v>
      </c>
      <c r="D932" s="2"/>
      <c r="G932" s="5" t="str">
        <f>IF(Dates_Ref[[#This Row],[Pay QCH]]&lt;&gt;E931,Dates_Ref[[#This Row],[Start]]+18,"")</f>
        <v/>
      </c>
      <c r="H932">
        <f>WEEKDAY(Dates_Ref[[#This Row],[Start]],2)</f>
        <v>1</v>
      </c>
      <c r="I932">
        <f>WEEKNUM(Dates_Ref[[#This Row],[Start]],21)</f>
        <v>40</v>
      </c>
    </row>
    <row r="933" spans="2:9" x14ac:dyDescent="0.25">
      <c r="B933">
        <f>MONTH(Dates_Ref[[#This Row],[Start]])</f>
        <v>10</v>
      </c>
      <c r="C933" s="5">
        <f t="shared" si="15"/>
        <v>51417</v>
      </c>
      <c r="D933" s="2"/>
      <c r="G933" s="5" t="str">
        <f>IF(Dates_Ref[[#This Row],[Pay QCH]]&lt;&gt;E932,Dates_Ref[[#This Row],[Start]]+18,"")</f>
        <v/>
      </c>
      <c r="H933">
        <f>WEEKDAY(Dates_Ref[[#This Row],[Start]],2)</f>
        <v>1</v>
      </c>
      <c r="I933">
        <f>WEEKNUM(Dates_Ref[[#This Row],[Start]],21)</f>
        <v>41</v>
      </c>
    </row>
    <row r="934" spans="2:9" x14ac:dyDescent="0.25">
      <c r="B934">
        <f>MONTH(Dates_Ref[[#This Row],[Start]])</f>
        <v>10</v>
      </c>
      <c r="C934" s="5">
        <f t="shared" si="15"/>
        <v>51424</v>
      </c>
      <c r="D934" s="2"/>
      <c r="G934" s="5" t="str">
        <f>IF(Dates_Ref[[#This Row],[Pay QCH]]&lt;&gt;E933,Dates_Ref[[#This Row],[Start]]+18,"")</f>
        <v/>
      </c>
      <c r="H934">
        <f>WEEKDAY(Dates_Ref[[#This Row],[Start]],2)</f>
        <v>1</v>
      </c>
      <c r="I934">
        <f>WEEKNUM(Dates_Ref[[#This Row],[Start]],21)</f>
        <v>42</v>
      </c>
    </row>
    <row r="935" spans="2:9" x14ac:dyDescent="0.25">
      <c r="B935">
        <f>MONTH(Dates_Ref[[#This Row],[Start]])</f>
        <v>10</v>
      </c>
      <c r="C935" s="5">
        <f t="shared" si="15"/>
        <v>51431</v>
      </c>
      <c r="D935" s="2"/>
      <c r="G935" s="5" t="str">
        <f>IF(Dates_Ref[[#This Row],[Pay QCH]]&lt;&gt;E934,Dates_Ref[[#This Row],[Start]]+18,"")</f>
        <v/>
      </c>
      <c r="H935">
        <f>WEEKDAY(Dates_Ref[[#This Row],[Start]],2)</f>
        <v>1</v>
      </c>
      <c r="I935">
        <f>WEEKNUM(Dates_Ref[[#This Row],[Start]],21)</f>
        <v>43</v>
      </c>
    </row>
    <row r="936" spans="2:9" x14ac:dyDescent="0.25">
      <c r="B936">
        <f>MONTH(Dates_Ref[[#This Row],[Start]])</f>
        <v>10</v>
      </c>
      <c r="C936" s="5">
        <f t="shared" si="15"/>
        <v>51438</v>
      </c>
      <c r="D936" s="2"/>
      <c r="G936" s="5" t="str">
        <f>IF(Dates_Ref[[#This Row],[Pay QCH]]&lt;&gt;E935,Dates_Ref[[#This Row],[Start]]+18,"")</f>
        <v/>
      </c>
      <c r="H936">
        <f>WEEKDAY(Dates_Ref[[#This Row],[Start]],2)</f>
        <v>1</v>
      </c>
      <c r="I936">
        <f>WEEKNUM(Dates_Ref[[#This Row],[Start]],21)</f>
        <v>44</v>
      </c>
    </row>
    <row r="937" spans="2:9" x14ac:dyDescent="0.25">
      <c r="B937">
        <f>MONTH(Dates_Ref[[#This Row],[Start]])</f>
        <v>11</v>
      </c>
      <c r="C937" s="5">
        <f t="shared" si="15"/>
        <v>51445</v>
      </c>
      <c r="D937" s="2"/>
      <c r="G937" s="5" t="str">
        <f>IF(Dates_Ref[[#This Row],[Pay QCH]]&lt;&gt;E936,Dates_Ref[[#This Row],[Start]]+18,"")</f>
        <v/>
      </c>
      <c r="H937">
        <f>WEEKDAY(Dates_Ref[[#This Row],[Start]],2)</f>
        <v>1</v>
      </c>
      <c r="I937">
        <f>WEEKNUM(Dates_Ref[[#This Row],[Start]],21)</f>
        <v>45</v>
      </c>
    </row>
    <row r="938" spans="2:9" x14ac:dyDescent="0.25">
      <c r="B938">
        <f>MONTH(Dates_Ref[[#This Row],[Start]])</f>
        <v>11</v>
      </c>
      <c r="C938" s="5">
        <f t="shared" si="15"/>
        <v>51452</v>
      </c>
      <c r="D938" s="2"/>
      <c r="G938" s="5" t="str">
        <f>IF(Dates_Ref[[#This Row],[Pay QCH]]&lt;&gt;E937,Dates_Ref[[#This Row],[Start]]+18,"")</f>
        <v/>
      </c>
      <c r="H938">
        <f>WEEKDAY(Dates_Ref[[#This Row],[Start]],2)</f>
        <v>1</v>
      </c>
      <c r="I938">
        <f>WEEKNUM(Dates_Ref[[#This Row],[Start]],21)</f>
        <v>46</v>
      </c>
    </row>
    <row r="939" spans="2:9" x14ac:dyDescent="0.25">
      <c r="B939">
        <f>MONTH(Dates_Ref[[#This Row],[Start]])</f>
        <v>11</v>
      </c>
      <c r="C939" s="5">
        <f t="shared" si="15"/>
        <v>51459</v>
      </c>
      <c r="D939" s="2"/>
      <c r="G939" s="5" t="str">
        <f>IF(Dates_Ref[[#This Row],[Pay QCH]]&lt;&gt;E938,Dates_Ref[[#This Row],[Start]]+18,"")</f>
        <v/>
      </c>
      <c r="H939">
        <f>WEEKDAY(Dates_Ref[[#This Row],[Start]],2)</f>
        <v>1</v>
      </c>
      <c r="I939">
        <f>WEEKNUM(Dates_Ref[[#This Row],[Start]],21)</f>
        <v>47</v>
      </c>
    </row>
    <row r="940" spans="2:9" x14ac:dyDescent="0.25">
      <c r="B940">
        <f>MONTH(Dates_Ref[[#This Row],[Start]])</f>
        <v>11</v>
      </c>
      <c r="C940" s="5">
        <f t="shared" si="15"/>
        <v>51466</v>
      </c>
      <c r="D940" s="2"/>
      <c r="G940" s="5" t="str">
        <f>IF(Dates_Ref[[#This Row],[Pay QCH]]&lt;&gt;E939,Dates_Ref[[#This Row],[Start]]+18,"")</f>
        <v/>
      </c>
      <c r="H940">
        <f>WEEKDAY(Dates_Ref[[#This Row],[Start]],2)</f>
        <v>1</v>
      </c>
      <c r="I940">
        <f>WEEKNUM(Dates_Ref[[#This Row],[Start]],21)</f>
        <v>48</v>
      </c>
    </row>
    <row r="941" spans="2:9" x14ac:dyDescent="0.25">
      <c r="B941">
        <f>MONTH(Dates_Ref[[#This Row],[Start]])</f>
        <v>12</v>
      </c>
      <c r="C941" s="5">
        <f t="shared" si="15"/>
        <v>51473</v>
      </c>
      <c r="D941" s="2"/>
      <c r="G941" s="5" t="str">
        <f>IF(Dates_Ref[[#This Row],[Pay QCH]]&lt;&gt;E940,Dates_Ref[[#This Row],[Start]]+18,"")</f>
        <v/>
      </c>
      <c r="H941">
        <f>WEEKDAY(Dates_Ref[[#This Row],[Start]],2)</f>
        <v>1</v>
      </c>
      <c r="I941">
        <f>WEEKNUM(Dates_Ref[[#This Row],[Start]],21)</f>
        <v>49</v>
      </c>
    </row>
    <row r="942" spans="2:9" x14ac:dyDescent="0.25">
      <c r="B942">
        <f>MONTH(Dates_Ref[[#This Row],[Start]])</f>
        <v>12</v>
      </c>
      <c r="C942" s="5">
        <f t="shared" si="15"/>
        <v>51480</v>
      </c>
      <c r="D942" s="2"/>
      <c r="G942" s="5" t="str">
        <f>IF(Dates_Ref[[#This Row],[Pay QCH]]&lt;&gt;E941,Dates_Ref[[#This Row],[Start]]+18,"")</f>
        <v/>
      </c>
      <c r="H942">
        <f>WEEKDAY(Dates_Ref[[#This Row],[Start]],2)</f>
        <v>1</v>
      </c>
      <c r="I942">
        <f>WEEKNUM(Dates_Ref[[#This Row],[Start]],21)</f>
        <v>50</v>
      </c>
    </row>
    <row r="943" spans="2:9" x14ac:dyDescent="0.25">
      <c r="B943">
        <f>MONTH(Dates_Ref[[#This Row],[Start]])</f>
        <v>12</v>
      </c>
      <c r="C943" s="5">
        <f t="shared" si="15"/>
        <v>51487</v>
      </c>
      <c r="D943" s="2"/>
      <c r="G943" s="5" t="str">
        <f>IF(Dates_Ref[[#This Row],[Pay QCH]]&lt;&gt;E942,Dates_Ref[[#This Row],[Start]]+18,"")</f>
        <v/>
      </c>
      <c r="H943">
        <f>WEEKDAY(Dates_Ref[[#This Row],[Start]],2)</f>
        <v>1</v>
      </c>
      <c r="I943">
        <f>WEEKNUM(Dates_Ref[[#This Row],[Start]],21)</f>
        <v>51</v>
      </c>
    </row>
    <row r="944" spans="2:9" x14ac:dyDescent="0.25">
      <c r="B944">
        <f>MONTH(Dates_Ref[[#This Row],[Start]])</f>
        <v>12</v>
      </c>
      <c r="C944" s="5">
        <f t="shared" si="15"/>
        <v>51494</v>
      </c>
      <c r="D944" s="2"/>
      <c r="G944" s="5" t="str">
        <f>IF(Dates_Ref[[#This Row],[Pay QCH]]&lt;&gt;E943,Dates_Ref[[#This Row],[Start]]+18,"")</f>
        <v/>
      </c>
      <c r="H944">
        <f>WEEKDAY(Dates_Ref[[#This Row],[Start]],2)</f>
        <v>1</v>
      </c>
      <c r="I944">
        <f>WEEKNUM(Dates_Ref[[#This Row],[Start]],21)</f>
        <v>52</v>
      </c>
    </row>
    <row r="945" spans="2:9" x14ac:dyDescent="0.25">
      <c r="B945">
        <f>MONTH(Dates_Ref[[#This Row],[Start]])</f>
        <v>12</v>
      </c>
      <c r="C945" s="5">
        <f t="shared" si="15"/>
        <v>51501</v>
      </c>
      <c r="D945" s="2"/>
      <c r="G945" s="5" t="str">
        <f>IF(Dates_Ref[[#This Row],[Pay QCH]]&lt;&gt;E944,Dates_Ref[[#This Row],[Start]]+18,"")</f>
        <v/>
      </c>
      <c r="H945">
        <f>WEEKDAY(Dates_Ref[[#This Row],[Start]],2)</f>
        <v>1</v>
      </c>
      <c r="I945">
        <f>WEEKNUM(Dates_Ref[[#This Row],[Start]],21)</f>
        <v>1</v>
      </c>
    </row>
    <row r="946" spans="2:9" x14ac:dyDescent="0.25">
      <c r="B946">
        <f>MONTH(Dates_Ref[[#This Row],[Start]])</f>
        <v>1</v>
      </c>
      <c r="C946" s="5">
        <f t="shared" si="15"/>
        <v>51508</v>
      </c>
      <c r="D946" s="2"/>
      <c r="G946" s="5" t="str">
        <f>IF(Dates_Ref[[#This Row],[Pay QCH]]&lt;&gt;E945,Dates_Ref[[#This Row],[Start]]+18,"")</f>
        <v/>
      </c>
      <c r="H946">
        <f>WEEKDAY(Dates_Ref[[#This Row],[Start]],2)</f>
        <v>1</v>
      </c>
      <c r="I946">
        <f>WEEKNUM(Dates_Ref[[#This Row],[Start]],21)</f>
        <v>2</v>
      </c>
    </row>
    <row r="947" spans="2:9" x14ac:dyDescent="0.25">
      <c r="B947">
        <f>MONTH(Dates_Ref[[#This Row],[Start]])</f>
        <v>1</v>
      </c>
      <c r="C947" s="5">
        <f t="shared" si="15"/>
        <v>51515</v>
      </c>
      <c r="D947" s="2"/>
      <c r="G947" s="5" t="str">
        <f>IF(Dates_Ref[[#This Row],[Pay QCH]]&lt;&gt;E946,Dates_Ref[[#This Row],[Start]]+18,"")</f>
        <v/>
      </c>
      <c r="H947">
        <f>WEEKDAY(Dates_Ref[[#This Row],[Start]],2)</f>
        <v>1</v>
      </c>
      <c r="I947">
        <f>WEEKNUM(Dates_Ref[[#This Row],[Start]],21)</f>
        <v>3</v>
      </c>
    </row>
    <row r="948" spans="2:9" x14ac:dyDescent="0.25">
      <c r="B948">
        <f>MONTH(Dates_Ref[[#This Row],[Start]])</f>
        <v>1</v>
      </c>
      <c r="C948" s="5">
        <f t="shared" si="15"/>
        <v>51522</v>
      </c>
      <c r="D948" s="2"/>
      <c r="G948" s="5" t="str">
        <f>IF(Dates_Ref[[#This Row],[Pay QCH]]&lt;&gt;E947,Dates_Ref[[#This Row],[Start]]+18,"")</f>
        <v/>
      </c>
      <c r="H948">
        <f>WEEKDAY(Dates_Ref[[#This Row],[Start]],2)</f>
        <v>1</v>
      </c>
      <c r="I948">
        <f>WEEKNUM(Dates_Ref[[#This Row],[Start]],21)</f>
        <v>4</v>
      </c>
    </row>
    <row r="949" spans="2:9" x14ac:dyDescent="0.25">
      <c r="C949" s="1"/>
      <c r="D949" s="2"/>
    </row>
    <row r="950" spans="2:9" x14ac:dyDescent="0.25">
      <c r="C950" s="1"/>
      <c r="D950" s="2"/>
    </row>
    <row r="951" spans="2:9" x14ac:dyDescent="0.25">
      <c r="C951" s="1"/>
      <c r="D951" s="2"/>
    </row>
    <row r="952" spans="2:9" x14ac:dyDescent="0.25">
      <c r="C952" s="1"/>
      <c r="D952" s="2"/>
    </row>
    <row r="953" spans="2:9" x14ac:dyDescent="0.25">
      <c r="C953" s="1"/>
      <c r="D953" s="2"/>
    </row>
    <row r="954" spans="2:9" x14ac:dyDescent="0.25">
      <c r="C954" s="1"/>
      <c r="D954" s="2"/>
    </row>
    <row r="955" spans="2:9" x14ac:dyDescent="0.25">
      <c r="C955" s="1"/>
      <c r="D955" s="2"/>
    </row>
    <row r="956" spans="2:9" x14ac:dyDescent="0.25">
      <c r="C956" s="1"/>
      <c r="D956" s="2"/>
    </row>
    <row r="957" spans="2:9" x14ac:dyDescent="0.25">
      <c r="C957" s="1"/>
      <c r="D957" s="2"/>
    </row>
    <row r="958" spans="2:9" x14ac:dyDescent="0.25">
      <c r="C958" s="1"/>
      <c r="D958" s="2"/>
    </row>
    <row r="959" spans="2:9" x14ac:dyDescent="0.25">
      <c r="C959" s="1"/>
      <c r="D959" s="2"/>
    </row>
    <row r="960" spans="2:9" x14ac:dyDescent="0.25">
      <c r="C960" s="1"/>
      <c r="D960" s="2"/>
    </row>
    <row r="961" spans="3:4" x14ac:dyDescent="0.25">
      <c r="C961" s="1"/>
      <c r="D961" s="2"/>
    </row>
    <row r="962" spans="3:4" x14ac:dyDescent="0.25">
      <c r="C962" s="1"/>
      <c r="D962" s="2"/>
    </row>
    <row r="963" spans="3:4" x14ac:dyDescent="0.25">
      <c r="C963" s="1"/>
      <c r="D963" s="2"/>
    </row>
    <row r="964" spans="3:4" x14ac:dyDescent="0.25">
      <c r="C964" s="1"/>
      <c r="D964" s="2"/>
    </row>
    <row r="965" spans="3:4" x14ac:dyDescent="0.25">
      <c r="C965" s="1"/>
      <c r="D965" s="2"/>
    </row>
    <row r="966" spans="3:4" x14ac:dyDescent="0.25">
      <c r="C966" s="1"/>
      <c r="D966" s="2"/>
    </row>
    <row r="967" spans="3:4" x14ac:dyDescent="0.25">
      <c r="C967" s="1"/>
      <c r="D967" s="2"/>
    </row>
    <row r="968" spans="3:4" x14ac:dyDescent="0.25">
      <c r="C968" s="1"/>
      <c r="D968" s="2"/>
    </row>
    <row r="969" spans="3:4" x14ac:dyDescent="0.25">
      <c r="C969" s="1"/>
      <c r="D969" s="2"/>
    </row>
    <row r="970" spans="3:4" x14ac:dyDescent="0.25">
      <c r="C970" s="1"/>
      <c r="D970" s="2"/>
    </row>
    <row r="971" spans="3:4" x14ac:dyDescent="0.25">
      <c r="C971" s="1"/>
      <c r="D971" s="2"/>
    </row>
    <row r="972" spans="3:4" x14ac:dyDescent="0.25">
      <c r="C972" s="1"/>
      <c r="D972" s="2"/>
    </row>
    <row r="973" spans="3:4" x14ac:dyDescent="0.25">
      <c r="C973" s="1"/>
      <c r="D973" s="2"/>
    </row>
    <row r="974" spans="3:4" x14ac:dyDescent="0.25">
      <c r="C974" s="1"/>
      <c r="D974" s="2"/>
    </row>
    <row r="975" spans="3:4" x14ac:dyDescent="0.25">
      <c r="C975" s="1"/>
      <c r="D975" s="2"/>
    </row>
    <row r="976" spans="3:4" x14ac:dyDescent="0.25">
      <c r="C976" s="1"/>
      <c r="D976" s="2"/>
    </row>
    <row r="977" spans="3:4" x14ac:dyDescent="0.25">
      <c r="C977" s="1"/>
      <c r="D977" s="2"/>
    </row>
    <row r="978" spans="3:4" x14ac:dyDescent="0.25">
      <c r="C978" s="1"/>
      <c r="D978" s="2"/>
    </row>
    <row r="979" spans="3:4" x14ac:dyDescent="0.25">
      <c r="C979" s="1"/>
      <c r="D979" s="2"/>
    </row>
    <row r="980" spans="3:4" x14ac:dyDescent="0.25">
      <c r="C980" s="1"/>
      <c r="D980" s="2"/>
    </row>
    <row r="981" spans="3:4" x14ac:dyDescent="0.25">
      <c r="C981" s="1"/>
      <c r="D981" s="2"/>
    </row>
    <row r="982" spans="3:4" x14ac:dyDescent="0.25">
      <c r="C982" s="1"/>
      <c r="D982" s="2"/>
    </row>
    <row r="983" spans="3:4" x14ac:dyDescent="0.25">
      <c r="C983" s="1"/>
      <c r="D983" s="2"/>
    </row>
    <row r="984" spans="3:4" x14ac:dyDescent="0.25">
      <c r="C984" s="1"/>
      <c r="D984" s="2"/>
    </row>
    <row r="985" spans="3:4" x14ac:dyDescent="0.25">
      <c r="C985" s="1"/>
      <c r="D985" s="2"/>
    </row>
    <row r="986" spans="3:4" x14ac:dyDescent="0.25">
      <c r="C986" s="1"/>
      <c r="D986" s="2"/>
    </row>
    <row r="987" spans="3:4" x14ac:dyDescent="0.25">
      <c r="C987" s="1"/>
      <c r="D987" s="2"/>
    </row>
    <row r="988" spans="3:4" x14ac:dyDescent="0.25">
      <c r="C988" s="1"/>
      <c r="D988" s="2"/>
    </row>
    <row r="989" spans="3:4" x14ac:dyDescent="0.25">
      <c r="C989" s="1"/>
      <c r="D989" s="2"/>
    </row>
    <row r="990" spans="3:4" x14ac:dyDescent="0.25">
      <c r="C990" s="1"/>
      <c r="D990" s="2"/>
    </row>
    <row r="991" spans="3:4" x14ac:dyDescent="0.25">
      <c r="C991" s="1"/>
      <c r="D991" s="2"/>
    </row>
    <row r="992" spans="3:4" x14ac:dyDescent="0.25">
      <c r="C992" s="1"/>
      <c r="D992" s="2"/>
    </row>
    <row r="993" spans="3:4" x14ac:dyDescent="0.25">
      <c r="C993" s="1"/>
      <c r="D993" s="2"/>
    </row>
    <row r="994" spans="3:4" x14ac:dyDescent="0.25">
      <c r="C994" s="1"/>
      <c r="D994" s="2"/>
    </row>
    <row r="995" spans="3:4" x14ac:dyDescent="0.25">
      <c r="C995" s="1"/>
      <c r="D995" s="2"/>
    </row>
    <row r="996" spans="3:4" x14ac:dyDescent="0.25">
      <c r="C996" s="1"/>
      <c r="D996" s="2"/>
    </row>
    <row r="997" spans="3:4" x14ac:dyDescent="0.25">
      <c r="C997" s="1"/>
      <c r="D997" s="2"/>
    </row>
    <row r="998" spans="3:4" x14ac:dyDescent="0.25">
      <c r="C998" s="1"/>
      <c r="D998" s="2"/>
    </row>
    <row r="999" spans="3:4" x14ac:dyDescent="0.25">
      <c r="C999" s="1"/>
      <c r="D999" s="2"/>
    </row>
    <row r="1000" spans="3:4" x14ac:dyDescent="0.25">
      <c r="C1000" s="1"/>
      <c r="D1000" s="2"/>
    </row>
    <row r="1001" spans="3:4" x14ac:dyDescent="0.25">
      <c r="C1001" s="1"/>
      <c r="D1001" s="2"/>
    </row>
    <row r="1002" spans="3:4" x14ac:dyDescent="0.25">
      <c r="C1002" s="1"/>
      <c r="D1002" s="2"/>
    </row>
    <row r="1003" spans="3:4" x14ac:dyDescent="0.25">
      <c r="C1003" s="1"/>
      <c r="D1003" s="2"/>
    </row>
    <row r="1004" spans="3:4" x14ac:dyDescent="0.25">
      <c r="C1004" s="1"/>
      <c r="D1004" s="2"/>
    </row>
    <row r="1005" spans="3:4" x14ac:dyDescent="0.25">
      <c r="C1005" s="1"/>
      <c r="D1005" s="2"/>
    </row>
    <row r="1006" spans="3:4" x14ac:dyDescent="0.25">
      <c r="C1006" s="1"/>
      <c r="D1006" s="2"/>
    </row>
    <row r="1007" spans="3:4" x14ac:dyDescent="0.25">
      <c r="C1007" s="1"/>
      <c r="D1007" s="2"/>
    </row>
    <row r="1008" spans="3:4" x14ac:dyDescent="0.25">
      <c r="C1008" s="1"/>
      <c r="D1008" s="2"/>
    </row>
    <row r="1009" spans="3:4" x14ac:dyDescent="0.25">
      <c r="C1009" s="1"/>
      <c r="D1009" s="2"/>
    </row>
    <row r="1010" spans="3:4" x14ac:dyDescent="0.25">
      <c r="C1010" s="1"/>
      <c r="D1010" s="2"/>
    </row>
    <row r="1011" spans="3:4" x14ac:dyDescent="0.25">
      <c r="C1011" s="1"/>
      <c r="D1011" s="2"/>
    </row>
    <row r="1012" spans="3:4" x14ac:dyDescent="0.25">
      <c r="C1012" s="1"/>
      <c r="D1012" s="2"/>
    </row>
    <row r="1013" spans="3:4" x14ac:dyDescent="0.25">
      <c r="C1013" s="1"/>
      <c r="D1013" s="2"/>
    </row>
    <row r="1014" spans="3:4" x14ac:dyDescent="0.25">
      <c r="C1014" s="1"/>
      <c r="D1014" s="2"/>
    </row>
    <row r="1015" spans="3:4" x14ac:dyDescent="0.25">
      <c r="C1015" s="1"/>
      <c r="D1015" s="2"/>
    </row>
    <row r="1016" spans="3:4" x14ac:dyDescent="0.25">
      <c r="C1016" s="1"/>
      <c r="D1016" s="2"/>
    </row>
    <row r="1017" spans="3:4" x14ac:dyDescent="0.25">
      <c r="C1017" s="1"/>
      <c r="D1017" s="2"/>
    </row>
    <row r="1018" spans="3:4" x14ac:dyDescent="0.25">
      <c r="C1018" s="1"/>
      <c r="D1018" s="2"/>
    </row>
    <row r="1019" spans="3:4" x14ac:dyDescent="0.25">
      <c r="C1019" s="1"/>
      <c r="D1019" s="2"/>
    </row>
    <row r="1020" spans="3:4" x14ac:dyDescent="0.25">
      <c r="C1020" s="1"/>
      <c r="D1020" s="2"/>
    </row>
    <row r="1021" spans="3:4" x14ac:dyDescent="0.25">
      <c r="C1021" s="1"/>
      <c r="D1021" s="2"/>
    </row>
    <row r="1022" spans="3:4" x14ac:dyDescent="0.25">
      <c r="C1022" s="1"/>
      <c r="D1022" s="2"/>
    </row>
    <row r="1023" spans="3:4" x14ac:dyDescent="0.25">
      <c r="C1023" s="1"/>
      <c r="D1023" s="2"/>
    </row>
    <row r="1024" spans="3:4" x14ac:dyDescent="0.25">
      <c r="C1024" s="1"/>
      <c r="D1024" s="2"/>
    </row>
    <row r="1025" spans="3:4" x14ac:dyDescent="0.25">
      <c r="C1025" s="1"/>
      <c r="D1025" s="2"/>
    </row>
    <row r="1026" spans="3:4" x14ac:dyDescent="0.25">
      <c r="C1026" s="1"/>
      <c r="D1026" s="2"/>
    </row>
    <row r="1027" spans="3:4" x14ac:dyDescent="0.25">
      <c r="C1027" s="1"/>
      <c r="D1027" s="2"/>
    </row>
    <row r="1028" spans="3:4" x14ac:dyDescent="0.25">
      <c r="C1028" s="1"/>
      <c r="D1028" s="2"/>
    </row>
    <row r="1029" spans="3:4" x14ac:dyDescent="0.25">
      <c r="C1029" s="1"/>
      <c r="D1029" s="2"/>
    </row>
    <row r="1030" spans="3:4" x14ac:dyDescent="0.25">
      <c r="C1030" s="1"/>
      <c r="D1030" s="2"/>
    </row>
    <row r="1031" spans="3:4" x14ac:dyDescent="0.25">
      <c r="C1031" s="1"/>
      <c r="D1031" s="2"/>
    </row>
    <row r="1032" spans="3:4" x14ac:dyDescent="0.25">
      <c r="C1032" s="1"/>
      <c r="D1032" s="2"/>
    </row>
    <row r="1033" spans="3:4" x14ac:dyDescent="0.25">
      <c r="C1033" s="1"/>
      <c r="D1033" s="2"/>
    </row>
    <row r="1034" spans="3:4" x14ac:dyDescent="0.25">
      <c r="C1034" s="1"/>
      <c r="D1034" s="2"/>
    </row>
    <row r="1035" spans="3:4" x14ac:dyDescent="0.25">
      <c r="C1035" s="1"/>
      <c r="D1035" s="2"/>
    </row>
    <row r="1036" spans="3:4" x14ac:dyDescent="0.25">
      <c r="C1036" s="1"/>
      <c r="D1036" s="2"/>
    </row>
    <row r="1037" spans="3:4" x14ac:dyDescent="0.25">
      <c r="C1037" s="1"/>
      <c r="D1037" s="2"/>
    </row>
    <row r="1038" spans="3:4" x14ac:dyDescent="0.25">
      <c r="C1038" s="1"/>
      <c r="D1038" s="2"/>
    </row>
    <row r="1039" spans="3:4" x14ac:dyDescent="0.25">
      <c r="C1039" s="1"/>
      <c r="D1039" s="2"/>
    </row>
    <row r="1040" spans="3:4" x14ac:dyDescent="0.25">
      <c r="C1040" s="1"/>
      <c r="D1040" s="2"/>
    </row>
    <row r="1041" spans="3:4" x14ac:dyDescent="0.25">
      <c r="C1041" s="1"/>
      <c r="D1041" s="2"/>
    </row>
    <row r="1042" spans="3:4" x14ac:dyDescent="0.25">
      <c r="C1042" s="1"/>
      <c r="D1042" s="2"/>
    </row>
    <row r="1043" spans="3:4" x14ac:dyDescent="0.25">
      <c r="C1043" s="1"/>
      <c r="D1043" s="2"/>
    </row>
    <row r="1044" spans="3:4" x14ac:dyDescent="0.25">
      <c r="C1044" s="1"/>
      <c r="D1044" s="2"/>
    </row>
    <row r="1045" spans="3:4" x14ac:dyDescent="0.25">
      <c r="C1045" s="1"/>
      <c r="D1045" s="2"/>
    </row>
    <row r="1046" spans="3:4" x14ac:dyDescent="0.25">
      <c r="C1046" s="1"/>
      <c r="D1046" s="2"/>
    </row>
    <row r="1047" spans="3:4" x14ac:dyDescent="0.25">
      <c r="C1047" s="1"/>
      <c r="D1047" s="2"/>
    </row>
    <row r="1048" spans="3:4" x14ac:dyDescent="0.25">
      <c r="C1048" s="1"/>
      <c r="D1048" s="2"/>
    </row>
    <row r="1049" spans="3:4" x14ac:dyDescent="0.25">
      <c r="C1049" s="1"/>
      <c r="D1049" s="2"/>
    </row>
    <row r="1050" spans="3:4" x14ac:dyDescent="0.25">
      <c r="C1050" s="1"/>
      <c r="D1050" s="2"/>
    </row>
    <row r="1051" spans="3:4" x14ac:dyDescent="0.25">
      <c r="C1051" s="1"/>
      <c r="D1051" s="2"/>
    </row>
    <row r="1052" spans="3:4" x14ac:dyDescent="0.25">
      <c r="C1052" s="1"/>
      <c r="D1052" s="2"/>
    </row>
    <row r="1053" spans="3:4" x14ac:dyDescent="0.25">
      <c r="C1053" s="1"/>
      <c r="D1053" s="2"/>
    </row>
    <row r="1054" spans="3:4" x14ac:dyDescent="0.25">
      <c r="C1054" s="1"/>
      <c r="D1054" s="2"/>
    </row>
    <row r="1055" spans="3:4" x14ac:dyDescent="0.25">
      <c r="C1055" s="1"/>
      <c r="D1055" s="2"/>
    </row>
    <row r="1056" spans="3:4" x14ac:dyDescent="0.25">
      <c r="C1056" s="1"/>
      <c r="D1056" s="2"/>
    </row>
    <row r="1057" spans="3:4" x14ac:dyDescent="0.25">
      <c r="C1057" s="1"/>
      <c r="D1057" s="2"/>
    </row>
    <row r="1058" spans="3:4" x14ac:dyDescent="0.25">
      <c r="C1058" s="1"/>
      <c r="D1058" s="2"/>
    </row>
    <row r="1059" spans="3:4" x14ac:dyDescent="0.25">
      <c r="C1059" s="1"/>
      <c r="D1059" s="2"/>
    </row>
    <row r="1060" spans="3:4" x14ac:dyDescent="0.25">
      <c r="C1060" s="1"/>
      <c r="D1060" s="2"/>
    </row>
    <row r="1061" spans="3:4" x14ac:dyDescent="0.25">
      <c r="C1061" s="1"/>
      <c r="D1061" s="2"/>
    </row>
    <row r="1062" spans="3:4" x14ac:dyDescent="0.25">
      <c r="C1062" s="1"/>
      <c r="D1062" s="2"/>
    </row>
    <row r="1063" spans="3:4" x14ac:dyDescent="0.25">
      <c r="C1063" s="1"/>
      <c r="D1063" s="2"/>
    </row>
    <row r="1064" spans="3:4" x14ac:dyDescent="0.25">
      <c r="C1064" s="1"/>
      <c r="D1064" s="2"/>
    </row>
    <row r="1065" spans="3:4" x14ac:dyDescent="0.25">
      <c r="C1065" s="1"/>
      <c r="D1065" s="2"/>
    </row>
    <row r="1066" spans="3:4" x14ac:dyDescent="0.25">
      <c r="C1066" s="1"/>
      <c r="D1066" s="2"/>
    </row>
    <row r="1067" spans="3:4" x14ac:dyDescent="0.25">
      <c r="C1067" s="1"/>
      <c r="D1067" s="2"/>
    </row>
    <row r="1068" spans="3:4" x14ac:dyDescent="0.25">
      <c r="C1068" s="1"/>
      <c r="D1068" s="2"/>
    </row>
    <row r="1069" spans="3:4" x14ac:dyDescent="0.25">
      <c r="C1069" s="1"/>
      <c r="D1069" s="2"/>
    </row>
    <row r="1070" spans="3:4" x14ac:dyDescent="0.25">
      <c r="C1070" s="1"/>
      <c r="D1070" s="2"/>
    </row>
    <row r="1071" spans="3:4" x14ac:dyDescent="0.25">
      <c r="C1071" s="1"/>
      <c r="D1071" s="2"/>
    </row>
    <row r="1072" spans="3:4" x14ac:dyDescent="0.25">
      <c r="C1072" s="1"/>
      <c r="D1072" s="2"/>
    </row>
    <row r="1073" spans="3:4" x14ac:dyDescent="0.25">
      <c r="C1073" s="1"/>
      <c r="D1073" s="2"/>
    </row>
    <row r="1074" spans="3:4" x14ac:dyDescent="0.25">
      <c r="C1074" s="1"/>
      <c r="D1074" s="2"/>
    </row>
    <row r="1075" spans="3:4" x14ac:dyDescent="0.25">
      <c r="C1075" s="1"/>
      <c r="D1075" s="2"/>
    </row>
    <row r="1076" spans="3:4" x14ac:dyDescent="0.25">
      <c r="C1076" s="1"/>
      <c r="D1076" s="2"/>
    </row>
    <row r="1077" spans="3:4" x14ac:dyDescent="0.25">
      <c r="C1077" s="1"/>
      <c r="D1077" s="2"/>
    </row>
    <row r="1078" spans="3:4" x14ac:dyDescent="0.25">
      <c r="C1078" s="1"/>
      <c r="D1078" s="2"/>
    </row>
    <row r="1079" spans="3:4" x14ac:dyDescent="0.25">
      <c r="C1079" s="1"/>
      <c r="D1079" s="2"/>
    </row>
    <row r="1080" spans="3:4" x14ac:dyDescent="0.25">
      <c r="C1080" s="1"/>
      <c r="D1080" s="2"/>
    </row>
    <row r="1081" spans="3:4" x14ac:dyDescent="0.25">
      <c r="C1081" s="1"/>
      <c r="D1081" s="2"/>
    </row>
    <row r="1082" spans="3:4" x14ac:dyDescent="0.25">
      <c r="C1082" s="1"/>
      <c r="D1082" s="2"/>
    </row>
    <row r="1083" spans="3:4" x14ac:dyDescent="0.25">
      <c r="C1083" s="1"/>
      <c r="D1083" s="2"/>
    </row>
    <row r="1084" spans="3:4" x14ac:dyDescent="0.25">
      <c r="C1084" s="1"/>
      <c r="D1084" s="2"/>
    </row>
    <row r="1085" spans="3:4" x14ac:dyDescent="0.25">
      <c r="C1085" s="1"/>
      <c r="D1085" s="2"/>
    </row>
    <row r="1086" spans="3:4" x14ac:dyDescent="0.25">
      <c r="C1086" s="1"/>
      <c r="D1086" s="2"/>
    </row>
    <row r="1087" spans="3:4" x14ac:dyDescent="0.25">
      <c r="C1087" s="1"/>
      <c r="D1087" s="2"/>
    </row>
    <row r="1088" spans="3:4" x14ac:dyDescent="0.25">
      <c r="C1088" s="1"/>
      <c r="D1088" s="2"/>
    </row>
    <row r="1089" spans="3:4" x14ac:dyDescent="0.25">
      <c r="C1089" s="1"/>
      <c r="D1089" s="2"/>
    </row>
    <row r="1090" spans="3:4" x14ac:dyDescent="0.25">
      <c r="C1090" s="1"/>
      <c r="D1090" s="2"/>
    </row>
    <row r="1091" spans="3:4" x14ac:dyDescent="0.25">
      <c r="C1091" s="1"/>
      <c r="D1091" s="2"/>
    </row>
    <row r="1092" spans="3:4" x14ac:dyDescent="0.25">
      <c r="C1092" s="1"/>
      <c r="D1092" s="2"/>
    </row>
    <row r="1093" spans="3:4" x14ac:dyDescent="0.25">
      <c r="C1093" s="1"/>
      <c r="D1093" s="2"/>
    </row>
    <row r="1094" spans="3:4" x14ac:dyDescent="0.25">
      <c r="C1094" s="1"/>
      <c r="D1094" s="2"/>
    </row>
    <row r="1095" spans="3:4" x14ac:dyDescent="0.25">
      <c r="C1095" s="1"/>
      <c r="D1095" s="2"/>
    </row>
    <row r="1096" spans="3:4" x14ac:dyDescent="0.25">
      <c r="C1096" s="1"/>
      <c r="D1096" s="2"/>
    </row>
    <row r="1097" spans="3:4" x14ac:dyDescent="0.25">
      <c r="C1097" s="1"/>
      <c r="D1097" s="2"/>
    </row>
    <row r="1098" spans="3:4" x14ac:dyDescent="0.25">
      <c r="C1098" s="1"/>
      <c r="D1098" s="2"/>
    </row>
    <row r="1099" spans="3:4" x14ac:dyDescent="0.25">
      <c r="C1099" s="1"/>
      <c r="D1099" s="2"/>
    </row>
    <row r="1100" spans="3:4" x14ac:dyDescent="0.25">
      <c r="C1100" s="1"/>
      <c r="D1100" s="2"/>
    </row>
    <row r="1101" spans="3:4" x14ac:dyDescent="0.25">
      <c r="C1101" s="1"/>
      <c r="D1101" s="2"/>
    </row>
    <row r="1102" spans="3:4" x14ac:dyDescent="0.25">
      <c r="C1102" s="1"/>
      <c r="D1102" s="2"/>
    </row>
    <row r="1103" spans="3:4" x14ac:dyDescent="0.25">
      <c r="C1103" s="1"/>
      <c r="D1103" s="2"/>
    </row>
    <row r="1104" spans="3:4" x14ac:dyDescent="0.25">
      <c r="C1104" s="1"/>
      <c r="D1104" s="2"/>
    </row>
    <row r="1105" spans="3:4" x14ac:dyDescent="0.25">
      <c r="C1105" s="1"/>
      <c r="D1105" s="2"/>
    </row>
    <row r="1106" spans="3:4" x14ac:dyDescent="0.25">
      <c r="C1106" s="1"/>
      <c r="D1106" s="2"/>
    </row>
    <row r="1107" spans="3:4" x14ac:dyDescent="0.25">
      <c r="C1107" s="1"/>
      <c r="D1107" s="2"/>
    </row>
    <row r="1108" spans="3:4" x14ac:dyDescent="0.25">
      <c r="C1108" s="1"/>
      <c r="D1108" s="2"/>
    </row>
    <row r="1109" spans="3:4" x14ac:dyDescent="0.25">
      <c r="C1109" s="1"/>
      <c r="D1109" s="2"/>
    </row>
    <row r="1110" spans="3:4" x14ac:dyDescent="0.25">
      <c r="C1110" s="1"/>
      <c r="D1110" s="2"/>
    </row>
    <row r="1111" spans="3:4" x14ac:dyDescent="0.25">
      <c r="C1111" s="1"/>
      <c r="D1111" s="2"/>
    </row>
    <row r="1112" spans="3:4" x14ac:dyDescent="0.25">
      <c r="C1112" s="1"/>
      <c r="D1112" s="2"/>
    </row>
    <row r="1113" spans="3:4" x14ac:dyDescent="0.25">
      <c r="C1113" s="1"/>
      <c r="D1113" s="2"/>
    </row>
    <row r="1114" spans="3:4" x14ac:dyDescent="0.25">
      <c r="C1114" s="1"/>
      <c r="D1114" s="2"/>
    </row>
    <row r="1115" spans="3:4" x14ac:dyDescent="0.25">
      <c r="C1115" s="1"/>
      <c r="D1115" s="2"/>
    </row>
    <row r="1116" spans="3:4" x14ac:dyDescent="0.25">
      <c r="C1116" s="1"/>
      <c r="D1116" s="2"/>
    </row>
    <row r="1117" spans="3:4" x14ac:dyDescent="0.25">
      <c r="C1117" s="1"/>
      <c r="D1117" s="2"/>
    </row>
    <row r="1118" spans="3:4" x14ac:dyDescent="0.25">
      <c r="C1118" s="1"/>
      <c r="D1118" s="2"/>
    </row>
    <row r="1119" spans="3:4" x14ac:dyDescent="0.25">
      <c r="C1119" s="1"/>
      <c r="D1119" s="2"/>
    </row>
    <row r="1120" spans="3:4" x14ac:dyDescent="0.25">
      <c r="C1120" s="1"/>
      <c r="D1120" s="2"/>
    </row>
    <row r="1121" spans="3:4" x14ac:dyDescent="0.25">
      <c r="C1121" s="1"/>
      <c r="D1121" s="2"/>
    </row>
    <row r="1122" spans="3:4" x14ac:dyDescent="0.25">
      <c r="C1122" s="1"/>
      <c r="D1122" s="2"/>
    </row>
    <row r="1123" spans="3:4" x14ac:dyDescent="0.25">
      <c r="C1123" s="1"/>
      <c r="D1123" s="2"/>
    </row>
    <row r="1124" spans="3:4" x14ac:dyDescent="0.25">
      <c r="C1124" s="1"/>
      <c r="D1124" s="2"/>
    </row>
    <row r="1125" spans="3:4" x14ac:dyDescent="0.25">
      <c r="C1125" s="1"/>
      <c r="D1125" s="2"/>
    </row>
    <row r="1126" spans="3:4" x14ac:dyDescent="0.25">
      <c r="C1126" s="1"/>
      <c r="D1126" s="2"/>
    </row>
    <row r="1127" spans="3:4" x14ac:dyDescent="0.25">
      <c r="C1127" s="1"/>
      <c r="D1127" s="2"/>
    </row>
    <row r="1128" spans="3:4" x14ac:dyDescent="0.25">
      <c r="C1128" s="1"/>
      <c r="D1128" s="2"/>
    </row>
    <row r="1129" spans="3:4" x14ac:dyDescent="0.25">
      <c r="C1129" s="1"/>
      <c r="D1129" s="2"/>
    </row>
    <row r="1130" spans="3:4" x14ac:dyDescent="0.25">
      <c r="C1130" s="1"/>
      <c r="D1130" s="2"/>
    </row>
    <row r="1131" spans="3:4" x14ac:dyDescent="0.25">
      <c r="C1131" s="1"/>
      <c r="D1131" s="2"/>
    </row>
    <row r="1132" spans="3:4" x14ac:dyDescent="0.25">
      <c r="C1132" s="1"/>
      <c r="D1132" s="2"/>
    </row>
    <row r="1133" spans="3:4" x14ac:dyDescent="0.25">
      <c r="C1133" s="1"/>
      <c r="D1133" s="2"/>
    </row>
    <row r="1134" spans="3:4" x14ac:dyDescent="0.25">
      <c r="C1134" s="1"/>
      <c r="D1134" s="2"/>
    </row>
    <row r="1135" spans="3:4" x14ac:dyDescent="0.25">
      <c r="C1135" s="1"/>
      <c r="D1135" s="2"/>
    </row>
    <row r="1136" spans="3:4" x14ac:dyDescent="0.25">
      <c r="C1136" s="1"/>
      <c r="D1136" s="2"/>
    </row>
    <row r="1137" spans="3:4" x14ac:dyDescent="0.25">
      <c r="C1137" s="1"/>
      <c r="D1137" s="2"/>
    </row>
    <row r="1138" spans="3:4" x14ac:dyDescent="0.25">
      <c r="C1138" s="1"/>
      <c r="D1138" s="2"/>
    </row>
    <row r="1139" spans="3:4" x14ac:dyDescent="0.25">
      <c r="C1139" s="1"/>
      <c r="D1139" s="2"/>
    </row>
    <row r="1140" spans="3:4" x14ac:dyDescent="0.25">
      <c r="C1140" s="1"/>
      <c r="D1140" s="2"/>
    </row>
    <row r="1141" spans="3:4" x14ac:dyDescent="0.25">
      <c r="C1141" s="1"/>
      <c r="D1141" s="2"/>
    </row>
    <row r="1142" spans="3:4" x14ac:dyDescent="0.25">
      <c r="C1142" s="1"/>
      <c r="D1142" s="2"/>
    </row>
    <row r="1143" spans="3:4" x14ac:dyDescent="0.25">
      <c r="C1143" s="1"/>
      <c r="D1143" s="2"/>
    </row>
    <row r="1144" spans="3:4" x14ac:dyDescent="0.25">
      <c r="C1144" s="1"/>
      <c r="D1144" s="2"/>
    </row>
    <row r="1145" spans="3:4" x14ac:dyDescent="0.25">
      <c r="C1145" s="1"/>
      <c r="D1145" s="2"/>
    </row>
    <row r="1146" spans="3:4" x14ac:dyDescent="0.25">
      <c r="C1146" s="1"/>
      <c r="D1146" s="2"/>
    </row>
    <row r="1147" spans="3:4" x14ac:dyDescent="0.25">
      <c r="C1147" s="1"/>
      <c r="D1147" s="2"/>
    </row>
    <row r="1148" spans="3:4" x14ac:dyDescent="0.25">
      <c r="C1148" s="1"/>
      <c r="D1148" s="2"/>
    </row>
    <row r="1149" spans="3:4" x14ac:dyDescent="0.25">
      <c r="C1149" s="1"/>
      <c r="D1149" s="2"/>
    </row>
    <row r="1150" spans="3:4" x14ac:dyDescent="0.25">
      <c r="C1150" s="1"/>
      <c r="D1150" s="2"/>
    </row>
    <row r="1151" spans="3:4" x14ac:dyDescent="0.25">
      <c r="C1151" s="1"/>
      <c r="D1151" s="2"/>
    </row>
    <row r="1152" spans="3:4" x14ac:dyDescent="0.25">
      <c r="C1152" s="1"/>
      <c r="D1152" s="2"/>
    </row>
    <row r="1153" spans="3:4" x14ac:dyDescent="0.25">
      <c r="C1153" s="1"/>
      <c r="D1153" s="2"/>
    </row>
    <row r="1154" spans="3:4" x14ac:dyDescent="0.25">
      <c r="C1154" s="1"/>
      <c r="D1154" s="2"/>
    </row>
    <row r="1155" spans="3:4" x14ac:dyDescent="0.25">
      <c r="C1155" s="1"/>
      <c r="D1155" s="2"/>
    </row>
    <row r="1156" spans="3:4" x14ac:dyDescent="0.25">
      <c r="C1156" s="1"/>
      <c r="D1156" s="2"/>
    </row>
    <row r="1157" spans="3:4" x14ac:dyDescent="0.25">
      <c r="C1157" s="1"/>
      <c r="D1157" s="2"/>
    </row>
    <row r="1158" spans="3:4" x14ac:dyDescent="0.25">
      <c r="C1158" s="1"/>
      <c r="D1158" s="2"/>
    </row>
    <row r="1159" spans="3:4" x14ac:dyDescent="0.25">
      <c r="C1159" s="1"/>
      <c r="D1159" s="2"/>
    </row>
    <row r="1160" spans="3:4" x14ac:dyDescent="0.25">
      <c r="C1160" s="1"/>
      <c r="D1160" s="2"/>
    </row>
    <row r="1161" spans="3:4" x14ac:dyDescent="0.25">
      <c r="C1161" s="1"/>
      <c r="D1161" s="2"/>
    </row>
    <row r="1162" spans="3:4" x14ac:dyDescent="0.25">
      <c r="C1162" s="1"/>
      <c r="D1162" s="2"/>
    </row>
    <row r="1163" spans="3:4" x14ac:dyDescent="0.25">
      <c r="C1163" s="1"/>
      <c r="D1163" s="2"/>
    </row>
    <row r="1164" spans="3:4" x14ac:dyDescent="0.25">
      <c r="C1164" s="1"/>
      <c r="D1164" s="2"/>
    </row>
    <row r="1165" spans="3:4" x14ac:dyDescent="0.25">
      <c r="C1165" s="1"/>
      <c r="D1165" s="2"/>
    </row>
    <row r="1166" spans="3:4" x14ac:dyDescent="0.25">
      <c r="C1166" s="1"/>
      <c r="D1166" s="2"/>
    </row>
    <row r="1167" spans="3:4" x14ac:dyDescent="0.25">
      <c r="C1167" s="1"/>
      <c r="D1167" s="2"/>
    </row>
    <row r="1168" spans="3:4" x14ac:dyDescent="0.25">
      <c r="C1168" s="1"/>
      <c r="D1168" s="2"/>
    </row>
    <row r="1169" spans="3:4" x14ac:dyDescent="0.25">
      <c r="C1169" s="1"/>
      <c r="D1169" s="2"/>
    </row>
    <row r="1170" spans="3:4" x14ac:dyDescent="0.25">
      <c r="C1170" s="1"/>
      <c r="D1170" s="2"/>
    </row>
    <row r="1171" spans="3:4" x14ac:dyDescent="0.25">
      <c r="C1171" s="1"/>
      <c r="D1171" s="2"/>
    </row>
    <row r="1172" spans="3:4" x14ac:dyDescent="0.25">
      <c r="C1172" s="1"/>
      <c r="D1172" s="2"/>
    </row>
    <row r="1173" spans="3:4" x14ac:dyDescent="0.25">
      <c r="C1173" s="1"/>
      <c r="D1173" s="2"/>
    </row>
    <row r="1174" spans="3:4" x14ac:dyDescent="0.25">
      <c r="C1174" s="1"/>
      <c r="D1174" s="2"/>
    </row>
    <row r="1175" spans="3:4" x14ac:dyDescent="0.25">
      <c r="C1175" s="1"/>
      <c r="D1175" s="2"/>
    </row>
    <row r="1176" spans="3:4" x14ac:dyDescent="0.25">
      <c r="C1176" s="1"/>
      <c r="D1176" s="2"/>
    </row>
    <row r="1177" spans="3:4" x14ac:dyDescent="0.25">
      <c r="C1177" s="1"/>
      <c r="D1177" s="2"/>
    </row>
    <row r="1178" spans="3:4" x14ac:dyDescent="0.25">
      <c r="C1178" s="1"/>
      <c r="D1178" s="2"/>
    </row>
    <row r="1179" spans="3:4" x14ac:dyDescent="0.25">
      <c r="C1179" s="1"/>
      <c r="D1179" s="2"/>
    </row>
    <row r="1180" spans="3:4" x14ac:dyDescent="0.25">
      <c r="C1180" s="1"/>
      <c r="D1180" s="2"/>
    </row>
    <row r="1181" spans="3:4" x14ac:dyDescent="0.25">
      <c r="C1181" s="1"/>
      <c r="D1181" s="2"/>
    </row>
    <row r="1182" spans="3:4" x14ac:dyDescent="0.25">
      <c r="C1182" s="1"/>
      <c r="D1182" s="2"/>
    </row>
    <row r="1183" spans="3:4" x14ac:dyDescent="0.25">
      <c r="C1183" s="1"/>
      <c r="D1183" s="2"/>
    </row>
    <row r="1184" spans="3:4" x14ac:dyDescent="0.25">
      <c r="C1184" s="1"/>
      <c r="D1184" s="2"/>
    </row>
    <row r="1185" spans="3:4" x14ac:dyDescent="0.25">
      <c r="C1185" s="1"/>
      <c r="D1185" s="2"/>
    </row>
    <row r="1186" spans="3:4" x14ac:dyDescent="0.25">
      <c r="C1186" s="1"/>
      <c r="D1186" s="2"/>
    </row>
    <row r="1187" spans="3:4" x14ac:dyDescent="0.25">
      <c r="C1187" s="1"/>
      <c r="D1187" s="2"/>
    </row>
    <row r="1188" spans="3:4" x14ac:dyDescent="0.25">
      <c r="C1188" s="1"/>
      <c r="D1188" s="2"/>
    </row>
    <row r="1189" spans="3:4" x14ac:dyDescent="0.25">
      <c r="C1189" s="1"/>
      <c r="D1189" s="2"/>
    </row>
    <row r="1190" spans="3:4" x14ac:dyDescent="0.25">
      <c r="C1190" s="1"/>
      <c r="D1190" s="2"/>
    </row>
    <row r="1191" spans="3:4" x14ac:dyDescent="0.25">
      <c r="C1191" s="1"/>
      <c r="D1191" s="2"/>
    </row>
    <row r="1192" spans="3:4" x14ac:dyDescent="0.25">
      <c r="C1192" s="1"/>
      <c r="D1192" s="2"/>
    </row>
    <row r="1193" spans="3:4" x14ac:dyDescent="0.25">
      <c r="C1193" s="1"/>
      <c r="D1193" s="2"/>
    </row>
    <row r="1194" spans="3:4" x14ac:dyDescent="0.25">
      <c r="C1194" s="1"/>
      <c r="D1194" s="2"/>
    </row>
    <row r="1195" spans="3:4" x14ac:dyDescent="0.25">
      <c r="C1195" s="1"/>
      <c r="D1195" s="2"/>
    </row>
    <row r="1196" spans="3:4" x14ac:dyDescent="0.25">
      <c r="C1196" s="1"/>
      <c r="D1196" s="2"/>
    </row>
    <row r="1197" spans="3:4" x14ac:dyDescent="0.25">
      <c r="C1197" s="1"/>
      <c r="D1197" s="2"/>
    </row>
    <row r="1198" spans="3:4" x14ac:dyDescent="0.25">
      <c r="C1198" s="1"/>
      <c r="D1198" s="2"/>
    </row>
    <row r="1199" spans="3:4" x14ac:dyDescent="0.25">
      <c r="C1199" s="1"/>
      <c r="D1199" s="2"/>
    </row>
    <row r="1200" spans="3:4" x14ac:dyDescent="0.25">
      <c r="C1200" s="1"/>
      <c r="D1200" s="2"/>
    </row>
    <row r="1201" spans="3:4" x14ac:dyDescent="0.25">
      <c r="C1201" s="1"/>
      <c r="D1201" s="2"/>
    </row>
    <row r="1202" spans="3:4" x14ac:dyDescent="0.25">
      <c r="C1202" s="1"/>
      <c r="D1202" s="2"/>
    </row>
    <row r="1203" spans="3:4" x14ac:dyDescent="0.25">
      <c r="C1203" s="1"/>
      <c r="D1203" s="2"/>
    </row>
    <row r="1204" spans="3:4" x14ac:dyDescent="0.25">
      <c r="C1204" s="1"/>
      <c r="D1204" s="2"/>
    </row>
    <row r="1205" spans="3:4" x14ac:dyDescent="0.25">
      <c r="C1205" s="1"/>
      <c r="D1205" s="2"/>
    </row>
    <row r="1206" spans="3:4" x14ac:dyDescent="0.25">
      <c r="C1206" s="1"/>
      <c r="D1206" s="2"/>
    </row>
    <row r="1207" spans="3:4" x14ac:dyDescent="0.25">
      <c r="C1207" s="1"/>
      <c r="D1207" s="2"/>
    </row>
    <row r="1208" spans="3:4" x14ac:dyDescent="0.25">
      <c r="C1208" s="1"/>
      <c r="D1208" s="2"/>
    </row>
    <row r="1209" spans="3:4" x14ac:dyDescent="0.25">
      <c r="C1209" s="1"/>
      <c r="D1209" s="2"/>
    </row>
    <row r="1210" spans="3:4" x14ac:dyDescent="0.25">
      <c r="C1210" s="1"/>
      <c r="D1210" s="2"/>
    </row>
    <row r="1211" spans="3:4" x14ac:dyDescent="0.25">
      <c r="C1211" s="1"/>
      <c r="D1211" s="2"/>
    </row>
    <row r="1212" spans="3:4" x14ac:dyDescent="0.25">
      <c r="C1212" s="1"/>
      <c r="D1212" s="2"/>
    </row>
    <row r="1213" spans="3:4" x14ac:dyDescent="0.25">
      <c r="C1213" s="1"/>
      <c r="D1213" s="2"/>
    </row>
    <row r="1214" spans="3:4" x14ac:dyDescent="0.25">
      <c r="C1214" s="1"/>
      <c r="D1214" s="2"/>
    </row>
    <row r="1215" spans="3:4" x14ac:dyDescent="0.25">
      <c r="C1215" s="1"/>
      <c r="D1215" s="2"/>
    </row>
    <row r="1216" spans="3:4" x14ac:dyDescent="0.25">
      <c r="C1216" s="1"/>
      <c r="D1216" s="2"/>
    </row>
    <row r="1217" spans="3:4" x14ac:dyDescent="0.25">
      <c r="C1217" s="1"/>
      <c r="D1217" s="2"/>
    </row>
    <row r="1218" spans="3:4" x14ac:dyDescent="0.25">
      <c r="C1218" s="1"/>
      <c r="D1218" s="2"/>
    </row>
    <row r="1219" spans="3:4" x14ac:dyDescent="0.25">
      <c r="C1219" s="1"/>
      <c r="D1219" s="2"/>
    </row>
    <row r="1220" spans="3:4" x14ac:dyDescent="0.25">
      <c r="C1220" s="1"/>
      <c r="D1220" s="2"/>
    </row>
    <row r="1221" spans="3:4" x14ac:dyDescent="0.25">
      <c r="C1221" s="1"/>
      <c r="D1221" s="2"/>
    </row>
    <row r="1222" spans="3:4" x14ac:dyDescent="0.25">
      <c r="C1222" s="1"/>
      <c r="D1222" s="2"/>
    </row>
    <row r="1223" spans="3:4" x14ac:dyDescent="0.25">
      <c r="C1223" s="1"/>
      <c r="D1223" s="2"/>
    </row>
    <row r="1224" spans="3:4" x14ac:dyDescent="0.25">
      <c r="C1224" s="1"/>
      <c r="D1224" s="2"/>
    </row>
    <row r="1225" spans="3:4" x14ac:dyDescent="0.25">
      <c r="C1225" s="1"/>
      <c r="D1225" s="2"/>
    </row>
    <row r="1226" spans="3:4" x14ac:dyDescent="0.25">
      <c r="C1226" s="1"/>
      <c r="D1226" s="2"/>
    </row>
    <row r="1227" spans="3:4" x14ac:dyDescent="0.25">
      <c r="C1227" s="1"/>
      <c r="D1227" s="2"/>
    </row>
    <row r="1228" spans="3:4" x14ac:dyDescent="0.25">
      <c r="C1228" s="1"/>
      <c r="D1228" s="2"/>
    </row>
    <row r="1229" spans="3:4" x14ac:dyDescent="0.25">
      <c r="C1229" s="1"/>
      <c r="D1229" s="2"/>
    </row>
    <row r="1230" spans="3:4" x14ac:dyDescent="0.25">
      <c r="C1230" s="1"/>
      <c r="D1230" s="2"/>
    </row>
    <row r="1231" spans="3:4" x14ac:dyDescent="0.25">
      <c r="C1231" s="1"/>
      <c r="D1231" s="2"/>
    </row>
    <row r="1232" spans="3:4" x14ac:dyDescent="0.25">
      <c r="C1232" s="1"/>
      <c r="D1232" s="2"/>
    </row>
    <row r="1233" spans="3:4" x14ac:dyDescent="0.25">
      <c r="C1233" s="1"/>
      <c r="D1233" s="2"/>
    </row>
    <row r="1234" spans="3:4" x14ac:dyDescent="0.25">
      <c r="C1234" s="1"/>
      <c r="D1234" s="2"/>
    </row>
    <row r="1235" spans="3:4" x14ac:dyDescent="0.25">
      <c r="C1235" s="1"/>
      <c r="D1235" s="2"/>
    </row>
    <row r="1236" spans="3:4" x14ac:dyDescent="0.25">
      <c r="C1236" s="1"/>
      <c r="D1236" s="2"/>
    </row>
    <row r="1237" spans="3:4" x14ac:dyDescent="0.25">
      <c r="C1237" s="1"/>
      <c r="D1237" s="2"/>
    </row>
    <row r="1238" spans="3:4" x14ac:dyDescent="0.25">
      <c r="C1238" s="1"/>
      <c r="D1238" s="2"/>
    </row>
    <row r="1239" spans="3:4" x14ac:dyDescent="0.25">
      <c r="C1239" s="1"/>
      <c r="D1239" s="2"/>
    </row>
    <row r="1240" spans="3:4" x14ac:dyDescent="0.25">
      <c r="C1240" s="1"/>
      <c r="D1240" s="2"/>
    </row>
    <row r="1241" spans="3:4" x14ac:dyDescent="0.25">
      <c r="C1241" s="1"/>
      <c r="D1241" s="2"/>
    </row>
    <row r="1242" spans="3:4" x14ac:dyDescent="0.25">
      <c r="C1242" s="1"/>
      <c r="D1242" s="2"/>
    </row>
    <row r="1243" spans="3:4" x14ac:dyDescent="0.25">
      <c r="C1243" s="1"/>
      <c r="D1243" s="2"/>
    </row>
    <row r="1244" spans="3:4" x14ac:dyDescent="0.25">
      <c r="C1244" s="1"/>
      <c r="D1244" s="2"/>
    </row>
    <row r="1245" spans="3:4" x14ac:dyDescent="0.25">
      <c r="C1245" s="1"/>
      <c r="D1245" s="2"/>
    </row>
    <row r="1246" spans="3:4" x14ac:dyDescent="0.25">
      <c r="C1246" s="1"/>
      <c r="D1246" s="2"/>
    </row>
    <row r="1247" spans="3:4" x14ac:dyDescent="0.25">
      <c r="C1247" s="1"/>
      <c r="D1247" s="2"/>
    </row>
    <row r="1248" spans="3:4" x14ac:dyDescent="0.25">
      <c r="C1248" s="1"/>
      <c r="D1248" s="2"/>
    </row>
    <row r="1249" spans="3:4" x14ac:dyDescent="0.25">
      <c r="C1249" s="1"/>
      <c r="D1249" s="2"/>
    </row>
    <row r="1250" spans="3:4" x14ac:dyDescent="0.25">
      <c r="C1250" s="1"/>
      <c r="D1250" s="2"/>
    </row>
    <row r="1251" spans="3:4" x14ac:dyDescent="0.25">
      <c r="C1251" s="1"/>
      <c r="D1251" s="2"/>
    </row>
    <row r="1252" spans="3:4" x14ac:dyDescent="0.25">
      <c r="C1252" s="1"/>
      <c r="D1252" s="2"/>
    </row>
    <row r="1253" spans="3:4" x14ac:dyDescent="0.25">
      <c r="C1253" s="1"/>
      <c r="D1253" s="2"/>
    </row>
    <row r="1254" spans="3:4" x14ac:dyDescent="0.25">
      <c r="C1254" s="1"/>
      <c r="D1254" s="2"/>
    </row>
    <row r="1255" spans="3:4" x14ac:dyDescent="0.25">
      <c r="C1255" s="1"/>
      <c r="D1255" s="2"/>
    </row>
    <row r="1256" spans="3:4" x14ac:dyDescent="0.25">
      <c r="C1256" s="1"/>
      <c r="D1256" s="2"/>
    </row>
    <row r="1257" spans="3:4" x14ac:dyDescent="0.25">
      <c r="C1257" s="1"/>
      <c r="D1257" s="2"/>
    </row>
    <row r="1258" spans="3:4" x14ac:dyDescent="0.25">
      <c r="C1258" s="1"/>
      <c r="D1258" s="2"/>
    </row>
    <row r="1259" spans="3:4" x14ac:dyDescent="0.25">
      <c r="C1259" s="1"/>
      <c r="D1259" s="2"/>
    </row>
    <row r="1260" spans="3:4" x14ac:dyDescent="0.25">
      <c r="C1260" s="1"/>
      <c r="D1260" s="2"/>
    </row>
    <row r="1261" spans="3:4" x14ac:dyDescent="0.25">
      <c r="C1261" s="1"/>
      <c r="D1261" s="2"/>
    </row>
    <row r="1262" spans="3:4" x14ac:dyDescent="0.25">
      <c r="C1262" s="1"/>
      <c r="D1262" s="2"/>
    </row>
    <row r="1263" spans="3:4" x14ac:dyDescent="0.25">
      <c r="C1263" s="1"/>
      <c r="D1263" s="2"/>
    </row>
    <row r="1264" spans="3:4" x14ac:dyDescent="0.25">
      <c r="C1264" s="1"/>
      <c r="D1264" s="2"/>
    </row>
    <row r="1265" spans="3:4" x14ac:dyDescent="0.25">
      <c r="C1265" s="1"/>
      <c r="D1265" s="2"/>
    </row>
    <row r="1266" spans="3:4" x14ac:dyDescent="0.25">
      <c r="C1266" s="1"/>
      <c r="D1266" s="2"/>
    </row>
    <row r="1267" spans="3:4" x14ac:dyDescent="0.25">
      <c r="C1267" s="1"/>
      <c r="D1267" s="2"/>
    </row>
    <row r="1268" spans="3:4" x14ac:dyDescent="0.25">
      <c r="C1268" s="1"/>
      <c r="D1268" s="2"/>
    </row>
    <row r="1269" spans="3:4" x14ac:dyDescent="0.25">
      <c r="C1269" s="1"/>
      <c r="D1269" s="2"/>
    </row>
    <row r="1270" spans="3:4" x14ac:dyDescent="0.25">
      <c r="C1270" s="1"/>
      <c r="D1270" s="2"/>
    </row>
    <row r="1271" spans="3:4" x14ac:dyDescent="0.25">
      <c r="C1271" s="1"/>
      <c r="D1271" s="2"/>
    </row>
    <row r="1272" spans="3:4" x14ac:dyDescent="0.25">
      <c r="C1272" s="1"/>
      <c r="D1272" s="2"/>
    </row>
    <row r="1273" spans="3:4" x14ac:dyDescent="0.25">
      <c r="C1273" s="1"/>
      <c r="D1273" s="2"/>
    </row>
    <row r="1274" spans="3:4" x14ac:dyDescent="0.25">
      <c r="C1274" s="1"/>
      <c r="D1274" s="2"/>
    </row>
    <row r="1275" spans="3:4" x14ac:dyDescent="0.25">
      <c r="C1275" s="1"/>
      <c r="D1275" s="2"/>
    </row>
    <row r="1276" spans="3:4" x14ac:dyDescent="0.25">
      <c r="C1276" s="1"/>
      <c r="D1276" s="2"/>
    </row>
    <row r="1277" spans="3:4" x14ac:dyDescent="0.25">
      <c r="C1277" s="1"/>
      <c r="D1277" s="2"/>
    </row>
    <row r="1278" spans="3:4" x14ac:dyDescent="0.25">
      <c r="C1278" s="1"/>
      <c r="D1278" s="2"/>
    </row>
    <row r="1279" spans="3:4" x14ac:dyDescent="0.25">
      <c r="C1279" s="1"/>
      <c r="D1279" s="2"/>
    </row>
    <row r="1280" spans="3:4" x14ac:dyDescent="0.25">
      <c r="C1280" s="1"/>
      <c r="D1280" s="2"/>
    </row>
    <row r="1281" spans="3:4" x14ac:dyDescent="0.25">
      <c r="C1281" s="1"/>
      <c r="D1281" s="2"/>
    </row>
    <row r="1282" spans="3:4" x14ac:dyDescent="0.25">
      <c r="C1282" s="1"/>
      <c r="D1282" s="2"/>
    </row>
    <row r="1283" spans="3:4" x14ac:dyDescent="0.25">
      <c r="C1283" s="1"/>
      <c r="D1283" s="2"/>
    </row>
    <row r="1284" spans="3:4" x14ac:dyDescent="0.25">
      <c r="C1284" s="1"/>
      <c r="D1284" s="2"/>
    </row>
    <row r="1285" spans="3:4" x14ac:dyDescent="0.25">
      <c r="C1285" s="1"/>
      <c r="D1285" s="2"/>
    </row>
    <row r="1286" spans="3:4" x14ac:dyDescent="0.25">
      <c r="C1286" s="1"/>
      <c r="D1286" s="2"/>
    </row>
    <row r="1287" spans="3:4" x14ac:dyDescent="0.25">
      <c r="C1287" s="1"/>
      <c r="D1287" s="2"/>
    </row>
    <row r="1288" spans="3:4" x14ac:dyDescent="0.25">
      <c r="C1288" s="1"/>
      <c r="D1288" s="2"/>
    </row>
    <row r="1289" spans="3:4" x14ac:dyDescent="0.25">
      <c r="C1289" s="1"/>
      <c r="D1289" s="2"/>
    </row>
    <row r="1290" spans="3:4" x14ac:dyDescent="0.25">
      <c r="C1290" s="1"/>
      <c r="D1290" s="2"/>
    </row>
    <row r="1291" spans="3:4" x14ac:dyDescent="0.25">
      <c r="C1291" s="1"/>
      <c r="D1291" s="2"/>
    </row>
    <row r="1292" spans="3:4" x14ac:dyDescent="0.25">
      <c r="C1292" s="1"/>
      <c r="D1292" s="2"/>
    </row>
    <row r="1293" spans="3:4" x14ac:dyDescent="0.25">
      <c r="C1293" s="1"/>
      <c r="D1293" s="2"/>
    </row>
    <row r="1294" spans="3:4" x14ac:dyDescent="0.25">
      <c r="C1294" s="1"/>
      <c r="D1294" s="2"/>
    </row>
    <row r="1295" spans="3:4" x14ac:dyDescent="0.25">
      <c r="C1295" s="1"/>
      <c r="D1295" s="2"/>
    </row>
    <row r="1296" spans="3:4" x14ac:dyDescent="0.25">
      <c r="C1296" s="1"/>
      <c r="D1296" s="2"/>
    </row>
    <row r="1297" spans="3:4" x14ac:dyDescent="0.25">
      <c r="C1297" s="1"/>
      <c r="D1297" s="2"/>
    </row>
    <row r="1298" spans="3:4" x14ac:dyDescent="0.25">
      <c r="C1298" s="1"/>
      <c r="D1298" s="2"/>
    </row>
    <row r="1299" spans="3:4" x14ac:dyDescent="0.25">
      <c r="C1299" s="1"/>
      <c r="D1299" s="2"/>
    </row>
    <row r="1300" spans="3:4" x14ac:dyDescent="0.25">
      <c r="C1300" s="1"/>
      <c r="D1300" s="2"/>
    </row>
    <row r="1301" spans="3:4" x14ac:dyDescent="0.25">
      <c r="C1301" s="1"/>
      <c r="D1301" s="2"/>
    </row>
    <row r="1302" spans="3:4" x14ac:dyDescent="0.25">
      <c r="C1302" s="1"/>
      <c r="D1302" s="2"/>
    </row>
    <row r="1303" spans="3:4" x14ac:dyDescent="0.25">
      <c r="C1303" s="1"/>
      <c r="D1303" s="2"/>
    </row>
    <row r="1304" spans="3:4" x14ac:dyDescent="0.25">
      <c r="C1304" s="1"/>
      <c r="D1304" s="2"/>
    </row>
    <row r="1305" spans="3:4" x14ac:dyDescent="0.25">
      <c r="C1305" s="1"/>
      <c r="D1305" s="2"/>
    </row>
    <row r="1306" spans="3:4" x14ac:dyDescent="0.25">
      <c r="C1306" s="1"/>
      <c r="D1306" s="2"/>
    </row>
    <row r="1307" spans="3:4" x14ac:dyDescent="0.25">
      <c r="C1307" s="1"/>
      <c r="D1307" s="2"/>
    </row>
    <row r="1308" spans="3:4" x14ac:dyDescent="0.25">
      <c r="C1308" s="1"/>
      <c r="D1308" s="2"/>
    </row>
    <row r="1309" spans="3:4" x14ac:dyDescent="0.25">
      <c r="C1309" s="1"/>
      <c r="D1309" s="2"/>
    </row>
    <row r="1310" spans="3:4" x14ac:dyDescent="0.25">
      <c r="C1310" s="1"/>
      <c r="D1310" s="2"/>
    </row>
    <row r="1311" spans="3:4" x14ac:dyDescent="0.25">
      <c r="C1311" s="1"/>
      <c r="D1311" s="2"/>
    </row>
    <row r="1312" spans="3:4" x14ac:dyDescent="0.25">
      <c r="C1312" s="1"/>
      <c r="D1312" s="2"/>
    </row>
    <row r="1313" spans="3:4" x14ac:dyDescent="0.25">
      <c r="C1313" s="1"/>
      <c r="D1313" s="2"/>
    </row>
    <row r="1314" spans="3:4" x14ac:dyDescent="0.25">
      <c r="C1314" s="1"/>
      <c r="D1314" s="2"/>
    </row>
    <row r="1315" spans="3:4" x14ac:dyDescent="0.25">
      <c r="C1315" s="1"/>
      <c r="D1315" s="2"/>
    </row>
    <row r="1316" spans="3:4" x14ac:dyDescent="0.25">
      <c r="C1316" s="1"/>
      <c r="D1316" s="2"/>
    </row>
    <row r="1317" spans="3:4" x14ac:dyDescent="0.25">
      <c r="C1317" s="1"/>
      <c r="D1317" s="2"/>
    </row>
    <row r="1318" spans="3:4" x14ac:dyDescent="0.25">
      <c r="C1318" s="1"/>
      <c r="D1318" s="2"/>
    </row>
    <row r="1319" spans="3:4" x14ac:dyDescent="0.25">
      <c r="C1319" s="1"/>
      <c r="D1319" s="2"/>
    </row>
    <row r="1320" spans="3:4" x14ac:dyDescent="0.25">
      <c r="C1320" s="1"/>
      <c r="D1320" s="2"/>
    </row>
    <row r="1321" spans="3:4" x14ac:dyDescent="0.25">
      <c r="C1321" s="1"/>
      <c r="D1321" s="2"/>
    </row>
    <row r="1322" spans="3:4" x14ac:dyDescent="0.25">
      <c r="C1322" s="1"/>
      <c r="D1322" s="2"/>
    </row>
    <row r="1323" spans="3:4" x14ac:dyDescent="0.25">
      <c r="C1323" s="1"/>
      <c r="D1323" s="2"/>
    </row>
    <row r="1324" spans="3:4" x14ac:dyDescent="0.25">
      <c r="C1324" s="1"/>
      <c r="D1324" s="2"/>
    </row>
    <row r="1325" spans="3:4" x14ac:dyDescent="0.25">
      <c r="C1325" s="1"/>
      <c r="D1325" s="2"/>
    </row>
    <row r="1326" spans="3:4" x14ac:dyDescent="0.25">
      <c r="C1326" s="1"/>
      <c r="D1326" s="2"/>
    </row>
    <row r="1327" spans="3:4" x14ac:dyDescent="0.25">
      <c r="C1327" s="1"/>
      <c r="D1327" s="2"/>
    </row>
    <row r="1328" spans="3:4" x14ac:dyDescent="0.25">
      <c r="C1328" s="1"/>
      <c r="D1328" s="2"/>
    </row>
    <row r="1329" spans="3:4" x14ac:dyDescent="0.25">
      <c r="C1329" s="1"/>
      <c r="D1329" s="2"/>
    </row>
    <row r="1330" spans="3:4" x14ac:dyDescent="0.25">
      <c r="C1330" s="1"/>
      <c r="D1330" s="2"/>
    </row>
    <row r="1331" spans="3:4" x14ac:dyDescent="0.25">
      <c r="C1331" s="1"/>
      <c r="D1331" s="2"/>
    </row>
    <row r="1332" spans="3:4" x14ac:dyDescent="0.25">
      <c r="C1332" s="1"/>
      <c r="D1332" s="2"/>
    </row>
    <row r="1333" spans="3:4" x14ac:dyDescent="0.25">
      <c r="C1333" s="1"/>
      <c r="D1333" s="2"/>
    </row>
    <row r="1334" spans="3:4" x14ac:dyDescent="0.25">
      <c r="C1334" s="1"/>
      <c r="D1334" s="2"/>
    </row>
    <row r="1335" spans="3:4" x14ac:dyDescent="0.25">
      <c r="C1335" s="1"/>
      <c r="D1335" s="2"/>
    </row>
    <row r="1336" spans="3:4" x14ac:dyDescent="0.25">
      <c r="C1336" s="1"/>
      <c r="D1336" s="2"/>
    </row>
    <row r="1337" spans="3:4" x14ac:dyDescent="0.25">
      <c r="C1337" s="1"/>
      <c r="D1337" s="2"/>
    </row>
    <row r="1338" spans="3:4" x14ac:dyDescent="0.25">
      <c r="C1338" s="1"/>
      <c r="D1338" s="2"/>
    </row>
    <row r="1339" spans="3:4" x14ac:dyDescent="0.25">
      <c r="C1339" s="1"/>
      <c r="D1339" s="2"/>
    </row>
    <row r="1340" spans="3:4" x14ac:dyDescent="0.25">
      <c r="C1340" s="1"/>
      <c r="D1340" s="2"/>
    </row>
    <row r="1341" spans="3:4" x14ac:dyDescent="0.25">
      <c r="C1341" s="1"/>
      <c r="D1341" s="2"/>
    </row>
    <row r="1342" spans="3:4" x14ac:dyDescent="0.25">
      <c r="C1342" s="1"/>
      <c r="D1342" s="2"/>
    </row>
    <row r="1343" spans="3:4" x14ac:dyDescent="0.25">
      <c r="C1343" s="1"/>
      <c r="D1343" s="2"/>
    </row>
    <row r="1344" spans="3:4" x14ac:dyDescent="0.25">
      <c r="C1344" s="1"/>
      <c r="D1344" s="2"/>
    </row>
    <row r="1345" spans="3:4" x14ac:dyDescent="0.25">
      <c r="C1345" s="1"/>
      <c r="D1345" s="2"/>
    </row>
    <row r="1346" spans="3:4" x14ac:dyDescent="0.25">
      <c r="C1346" s="1"/>
      <c r="D1346" s="2"/>
    </row>
    <row r="1347" spans="3:4" x14ac:dyDescent="0.25">
      <c r="C1347" s="1"/>
      <c r="D1347" s="2"/>
    </row>
    <row r="1348" spans="3:4" x14ac:dyDescent="0.25">
      <c r="C1348" s="1"/>
      <c r="D1348" s="2"/>
    </row>
    <row r="1349" spans="3:4" x14ac:dyDescent="0.25">
      <c r="C1349" s="1"/>
      <c r="D1349" s="2"/>
    </row>
    <row r="1350" spans="3:4" x14ac:dyDescent="0.25">
      <c r="C1350" s="1"/>
      <c r="D1350" s="2"/>
    </row>
    <row r="1351" spans="3:4" x14ac:dyDescent="0.25">
      <c r="C1351" s="1"/>
      <c r="D1351" s="2"/>
    </row>
    <row r="1352" spans="3:4" x14ac:dyDescent="0.25">
      <c r="C1352" s="1"/>
      <c r="D1352" s="2"/>
    </row>
    <row r="1353" spans="3:4" x14ac:dyDescent="0.25">
      <c r="C1353" s="1"/>
      <c r="D1353" s="2"/>
    </row>
    <row r="1354" spans="3:4" x14ac:dyDescent="0.25">
      <c r="C1354" s="1"/>
      <c r="D1354" s="2"/>
    </row>
    <row r="1355" spans="3:4" x14ac:dyDescent="0.25">
      <c r="C1355" s="1"/>
      <c r="D1355" s="2"/>
    </row>
    <row r="1356" spans="3:4" x14ac:dyDescent="0.25">
      <c r="C1356" s="1"/>
      <c r="D1356" s="2"/>
    </row>
    <row r="1357" spans="3:4" x14ac:dyDescent="0.25">
      <c r="C1357" s="1"/>
      <c r="D1357" s="2"/>
    </row>
    <row r="1358" spans="3:4" x14ac:dyDescent="0.25">
      <c r="C1358" s="1"/>
      <c r="D1358" s="2"/>
    </row>
    <row r="1359" spans="3:4" x14ac:dyDescent="0.25">
      <c r="C1359" s="1"/>
      <c r="D1359" s="2"/>
    </row>
    <row r="1360" spans="3:4" x14ac:dyDescent="0.25">
      <c r="C1360" s="1"/>
      <c r="D1360" s="2"/>
    </row>
    <row r="1361" spans="3:4" x14ac:dyDescent="0.25">
      <c r="C1361" s="1"/>
      <c r="D1361" s="2"/>
    </row>
    <row r="1362" spans="3:4" x14ac:dyDescent="0.25">
      <c r="C1362" s="1"/>
      <c r="D1362" s="2"/>
    </row>
    <row r="1363" spans="3:4" x14ac:dyDescent="0.25">
      <c r="C1363" s="1"/>
      <c r="D1363" s="2"/>
    </row>
    <row r="1364" spans="3:4" x14ac:dyDescent="0.25">
      <c r="C1364" s="1"/>
      <c r="D1364" s="2"/>
    </row>
    <row r="1365" spans="3:4" x14ac:dyDescent="0.25">
      <c r="C1365" s="1"/>
      <c r="D1365" s="2"/>
    </row>
    <row r="1366" spans="3:4" x14ac:dyDescent="0.25">
      <c r="C1366" s="1"/>
      <c r="D1366" s="2"/>
    </row>
    <row r="1367" spans="3:4" x14ac:dyDescent="0.25">
      <c r="C1367" s="1"/>
      <c r="D1367" s="2"/>
    </row>
    <row r="1368" spans="3:4" x14ac:dyDescent="0.25">
      <c r="C1368" s="1"/>
      <c r="D1368" s="2"/>
    </row>
    <row r="1369" spans="3:4" x14ac:dyDescent="0.25">
      <c r="C1369" s="1"/>
      <c r="D1369" s="2"/>
    </row>
    <row r="1370" spans="3:4" x14ac:dyDescent="0.25">
      <c r="C1370" s="1"/>
      <c r="D1370" s="2"/>
    </row>
    <row r="1371" spans="3:4" x14ac:dyDescent="0.25">
      <c r="C1371" s="1"/>
      <c r="D1371" s="2"/>
    </row>
    <row r="1372" spans="3:4" x14ac:dyDescent="0.25">
      <c r="C1372" s="1"/>
      <c r="D1372" s="2"/>
    </row>
    <row r="1373" spans="3:4" x14ac:dyDescent="0.25">
      <c r="C1373" s="1"/>
      <c r="D1373" s="2"/>
    </row>
    <row r="1374" spans="3:4" x14ac:dyDescent="0.25">
      <c r="C1374" s="1"/>
      <c r="D1374" s="2"/>
    </row>
    <row r="1375" spans="3:4" x14ac:dyDescent="0.25">
      <c r="C1375" s="1"/>
      <c r="D1375" s="2"/>
    </row>
    <row r="1376" spans="3:4" x14ac:dyDescent="0.25">
      <c r="C1376" s="1"/>
      <c r="D1376" s="2"/>
    </row>
    <row r="1377" spans="3:4" x14ac:dyDescent="0.25">
      <c r="C1377" s="1"/>
      <c r="D1377" s="2"/>
    </row>
    <row r="1378" spans="3:4" x14ac:dyDescent="0.25">
      <c r="C1378" s="1"/>
      <c r="D1378" s="2"/>
    </row>
    <row r="1379" spans="3:4" x14ac:dyDescent="0.25">
      <c r="C1379" s="1"/>
      <c r="D1379" s="2"/>
    </row>
    <row r="1380" spans="3:4" x14ac:dyDescent="0.25">
      <c r="C1380" s="1"/>
      <c r="D1380" s="2"/>
    </row>
    <row r="1381" spans="3:4" x14ac:dyDescent="0.25">
      <c r="C1381" s="1"/>
      <c r="D1381" s="2"/>
    </row>
    <row r="1382" spans="3:4" x14ac:dyDescent="0.25">
      <c r="C1382" s="1"/>
      <c r="D1382" s="2"/>
    </row>
    <row r="1383" spans="3:4" x14ac:dyDescent="0.25">
      <c r="C1383" s="1"/>
      <c r="D1383" s="2"/>
    </row>
    <row r="1384" spans="3:4" x14ac:dyDescent="0.25">
      <c r="C1384" s="1"/>
      <c r="D1384" s="2"/>
    </row>
    <row r="1385" spans="3:4" x14ac:dyDescent="0.25">
      <c r="C1385" s="1"/>
      <c r="D1385" s="2"/>
    </row>
    <row r="1386" spans="3:4" x14ac:dyDescent="0.25">
      <c r="C1386" s="1"/>
      <c r="D1386" s="2"/>
    </row>
    <row r="1387" spans="3:4" x14ac:dyDescent="0.25">
      <c r="C1387" s="1"/>
      <c r="D1387" s="2"/>
    </row>
    <row r="1388" spans="3:4" x14ac:dyDescent="0.25">
      <c r="C1388" s="1"/>
      <c r="D1388" s="2"/>
    </row>
    <row r="1389" spans="3:4" x14ac:dyDescent="0.25">
      <c r="C1389" s="1"/>
      <c r="D1389" s="2"/>
    </row>
    <row r="1390" spans="3:4" x14ac:dyDescent="0.25">
      <c r="C1390" s="1"/>
      <c r="D1390" s="2"/>
    </row>
    <row r="1391" spans="3:4" x14ac:dyDescent="0.25">
      <c r="C1391" s="1"/>
      <c r="D1391" s="2"/>
    </row>
    <row r="1392" spans="3:4" x14ac:dyDescent="0.25">
      <c r="C1392" s="1"/>
      <c r="D1392" s="2"/>
    </row>
    <row r="1393" spans="3:4" x14ac:dyDescent="0.25">
      <c r="C1393" s="1"/>
      <c r="D1393" s="2"/>
    </row>
    <row r="1394" spans="3:4" x14ac:dyDescent="0.25">
      <c r="C1394" s="1"/>
      <c r="D1394" s="2"/>
    </row>
    <row r="1395" spans="3:4" x14ac:dyDescent="0.25">
      <c r="C1395" s="1"/>
      <c r="D1395" s="2"/>
    </row>
    <row r="1396" spans="3:4" x14ac:dyDescent="0.25">
      <c r="C1396" s="1"/>
      <c r="D1396" s="2"/>
    </row>
    <row r="1397" spans="3:4" x14ac:dyDescent="0.25">
      <c r="C1397" s="1"/>
      <c r="D1397" s="2"/>
    </row>
    <row r="1398" spans="3:4" x14ac:dyDescent="0.25">
      <c r="C1398" s="1"/>
      <c r="D1398" s="2"/>
    </row>
    <row r="1399" spans="3:4" x14ac:dyDescent="0.25">
      <c r="C1399" s="1"/>
      <c r="D1399" s="2"/>
    </row>
    <row r="1400" spans="3:4" x14ac:dyDescent="0.25">
      <c r="C1400" s="1"/>
      <c r="D1400" s="2"/>
    </row>
    <row r="1401" spans="3:4" x14ac:dyDescent="0.25">
      <c r="C1401" s="1"/>
      <c r="D1401" s="2"/>
    </row>
    <row r="1402" spans="3:4" x14ac:dyDescent="0.25">
      <c r="C1402" s="1"/>
      <c r="D1402" s="2"/>
    </row>
    <row r="1403" spans="3:4" x14ac:dyDescent="0.25">
      <c r="C1403" s="1"/>
      <c r="D1403" s="2"/>
    </row>
    <row r="1404" spans="3:4" x14ac:dyDescent="0.25">
      <c r="C1404" s="1"/>
      <c r="D1404" s="2"/>
    </row>
    <row r="1405" spans="3:4" x14ac:dyDescent="0.25">
      <c r="C1405" s="1"/>
      <c r="D1405" s="2"/>
    </row>
    <row r="1406" spans="3:4" x14ac:dyDescent="0.25">
      <c r="C1406" s="1"/>
      <c r="D1406" s="2"/>
    </row>
    <row r="1407" spans="3:4" x14ac:dyDescent="0.25">
      <c r="C1407" s="1"/>
      <c r="D1407" s="2"/>
    </row>
    <row r="1408" spans="3:4" x14ac:dyDescent="0.25">
      <c r="C1408" s="1"/>
      <c r="D1408" s="2"/>
    </row>
    <row r="1409" spans="3:4" x14ac:dyDescent="0.25">
      <c r="C1409" s="1"/>
      <c r="D1409" s="2"/>
    </row>
    <row r="1410" spans="3:4" x14ac:dyDescent="0.25">
      <c r="C1410" s="1"/>
      <c r="D1410" s="2"/>
    </row>
    <row r="1411" spans="3:4" x14ac:dyDescent="0.25">
      <c r="C1411" s="1"/>
      <c r="D1411" s="2"/>
    </row>
    <row r="1412" spans="3:4" x14ac:dyDescent="0.25">
      <c r="C1412" s="1"/>
      <c r="D1412" s="2"/>
    </row>
    <row r="1413" spans="3:4" x14ac:dyDescent="0.25">
      <c r="C1413" s="1"/>
      <c r="D1413" s="2"/>
    </row>
    <row r="1414" spans="3:4" x14ac:dyDescent="0.25">
      <c r="C1414" s="1"/>
      <c r="D1414" s="2"/>
    </row>
    <row r="1415" spans="3:4" x14ac:dyDescent="0.25">
      <c r="C1415" s="1"/>
      <c r="D1415" s="2"/>
    </row>
    <row r="1416" spans="3:4" x14ac:dyDescent="0.25">
      <c r="C1416" s="1"/>
      <c r="D1416" s="2"/>
    </row>
    <row r="1417" spans="3:4" x14ac:dyDescent="0.25">
      <c r="C1417" s="1"/>
      <c r="D1417" s="2"/>
    </row>
    <row r="1418" spans="3:4" x14ac:dyDescent="0.25">
      <c r="C1418" s="1"/>
      <c r="D1418" s="2"/>
    </row>
    <row r="1419" spans="3:4" x14ac:dyDescent="0.25">
      <c r="C1419" s="1"/>
      <c r="D1419" s="2"/>
    </row>
    <row r="1420" spans="3:4" x14ac:dyDescent="0.25">
      <c r="C1420" s="1"/>
      <c r="D1420" s="2"/>
    </row>
    <row r="1421" spans="3:4" x14ac:dyDescent="0.25">
      <c r="C1421" s="1"/>
      <c r="D1421" s="2"/>
    </row>
    <row r="1422" spans="3:4" x14ac:dyDescent="0.25">
      <c r="C1422" s="1"/>
      <c r="D1422" s="2"/>
    </row>
    <row r="1423" spans="3:4" x14ac:dyDescent="0.25">
      <c r="C1423" s="1"/>
      <c r="D1423" s="2"/>
    </row>
    <row r="1424" spans="3:4" x14ac:dyDescent="0.25">
      <c r="C1424" s="1"/>
      <c r="D1424" s="2"/>
    </row>
    <row r="1425" spans="3:4" x14ac:dyDescent="0.25">
      <c r="C1425" s="1"/>
      <c r="D1425" s="2"/>
    </row>
    <row r="1426" spans="3:4" x14ac:dyDescent="0.25">
      <c r="C1426" s="1"/>
      <c r="D1426" s="2"/>
    </row>
    <row r="1427" spans="3:4" x14ac:dyDescent="0.25">
      <c r="C1427" s="1"/>
      <c r="D1427" s="2"/>
    </row>
    <row r="1428" spans="3:4" x14ac:dyDescent="0.25">
      <c r="C1428" s="1"/>
      <c r="D1428" s="2"/>
    </row>
    <row r="1429" spans="3:4" x14ac:dyDescent="0.25">
      <c r="C1429" s="1"/>
      <c r="D1429" s="2"/>
    </row>
    <row r="1430" spans="3:4" x14ac:dyDescent="0.25">
      <c r="C1430" s="1"/>
      <c r="D1430" s="2"/>
    </row>
    <row r="1431" spans="3:4" x14ac:dyDescent="0.25">
      <c r="C1431" s="1"/>
      <c r="D1431" s="2"/>
    </row>
    <row r="1432" spans="3:4" x14ac:dyDescent="0.25">
      <c r="C1432" s="1"/>
      <c r="D1432" s="2"/>
    </row>
    <row r="1433" spans="3:4" x14ac:dyDescent="0.25">
      <c r="C1433" s="1"/>
      <c r="D1433" s="2"/>
    </row>
    <row r="1434" spans="3:4" x14ac:dyDescent="0.25">
      <c r="C1434" s="1"/>
      <c r="D1434" s="2"/>
    </row>
    <row r="1435" spans="3:4" x14ac:dyDescent="0.25">
      <c r="C1435" s="1"/>
      <c r="D1435" s="2"/>
    </row>
    <row r="1436" spans="3:4" x14ac:dyDescent="0.25">
      <c r="C1436" s="1"/>
      <c r="D1436" s="2"/>
    </row>
    <row r="1437" spans="3:4" x14ac:dyDescent="0.25">
      <c r="C1437" s="1"/>
      <c r="D1437" s="2"/>
    </row>
    <row r="1438" spans="3:4" x14ac:dyDescent="0.25">
      <c r="C1438" s="1"/>
      <c r="D1438" s="2"/>
    </row>
    <row r="1439" spans="3:4" x14ac:dyDescent="0.25">
      <c r="C1439" s="1"/>
      <c r="D1439" s="2"/>
    </row>
    <row r="1440" spans="3:4" x14ac:dyDescent="0.25">
      <c r="C1440" s="1"/>
      <c r="D1440" s="2"/>
    </row>
    <row r="1441" spans="3:4" x14ac:dyDescent="0.25">
      <c r="C1441" s="1"/>
      <c r="D1441" s="2"/>
    </row>
    <row r="1442" spans="3:4" x14ac:dyDescent="0.25">
      <c r="C1442" s="1"/>
      <c r="D1442" s="2"/>
    </row>
    <row r="1443" spans="3:4" x14ac:dyDescent="0.25">
      <c r="C1443" s="1"/>
      <c r="D1443" s="2"/>
    </row>
    <row r="1444" spans="3:4" x14ac:dyDescent="0.25">
      <c r="C1444" s="1"/>
      <c r="D1444" s="2"/>
    </row>
    <row r="1445" spans="3:4" x14ac:dyDescent="0.25">
      <c r="C1445" s="1"/>
      <c r="D1445" s="2"/>
    </row>
    <row r="1446" spans="3:4" x14ac:dyDescent="0.25">
      <c r="C1446" s="1"/>
      <c r="D1446" s="2"/>
    </row>
    <row r="1447" spans="3:4" x14ac:dyDescent="0.25">
      <c r="C1447" s="1"/>
      <c r="D1447" s="2"/>
    </row>
    <row r="1448" spans="3:4" x14ac:dyDescent="0.25">
      <c r="C1448" s="1"/>
      <c r="D1448" s="2"/>
    </row>
    <row r="1449" spans="3:4" x14ac:dyDescent="0.25">
      <c r="C1449" s="1"/>
      <c r="D1449" s="2"/>
    </row>
    <row r="1450" spans="3:4" x14ac:dyDescent="0.25">
      <c r="C1450" s="1"/>
      <c r="D1450" s="2"/>
    </row>
    <row r="1451" spans="3:4" x14ac:dyDescent="0.25">
      <c r="C1451" s="1"/>
      <c r="D1451" s="2"/>
    </row>
    <row r="1452" spans="3:4" x14ac:dyDescent="0.25">
      <c r="C1452" s="1"/>
      <c r="D1452" s="2"/>
    </row>
    <row r="1453" spans="3:4" x14ac:dyDescent="0.25">
      <c r="C1453" s="1"/>
      <c r="D1453" s="2"/>
    </row>
    <row r="1454" spans="3:4" x14ac:dyDescent="0.25">
      <c r="C1454" s="1"/>
      <c r="D1454" s="2"/>
    </row>
    <row r="1455" spans="3:4" x14ac:dyDescent="0.25">
      <c r="C1455" s="1"/>
      <c r="D1455" s="2"/>
    </row>
    <row r="1456" spans="3:4" x14ac:dyDescent="0.25">
      <c r="C1456" s="1"/>
      <c r="D1456" s="2"/>
    </row>
    <row r="1457" spans="3:4" x14ac:dyDescent="0.25">
      <c r="C1457" s="1"/>
      <c r="D1457" s="2"/>
    </row>
    <row r="1458" spans="3:4" x14ac:dyDescent="0.25">
      <c r="C1458" s="1"/>
      <c r="D1458" s="2"/>
    </row>
    <row r="1459" spans="3:4" x14ac:dyDescent="0.25">
      <c r="C1459" s="1"/>
      <c r="D1459" s="2"/>
    </row>
    <row r="1460" spans="3:4" x14ac:dyDescent="0.25">
      <c r="C1460" s="1"/>
      <c r="D1460" s="2"/>
    </row>
    <row r="1461" spans="3:4" x14ac:dyDescent="0.25">
      <c r="C1461" s="1"/>
      <c r="D1461" s="2"/>
    </row>
    <row r="1462" spans="3:4" x14ac:dyDescent="0.25">
      <c r="C1462" s="1"/>
      <c r="D1462" s="2"/>
    </row>
    <row r="1463" spans="3:4" x14ac:dyDescent="0.25">
      <c r="C1463" s="1"/>
      <c r="D1463" s="2"/>
    </row>
    <row r="1464" spans="3:4" x14ac:dyDescent="0.25">
      <c r="C1464" s="1"/>
      <c r="D1464" s="2"/>
    </row>
    <row r="1465" spans="3:4" x14ac:dyDescent="0.25">
      <c r="C1465" s="1"/>
      <c r="D1465" s="2"/>
    </row>
    <row r="1466" spans="3:4" x14ac:dyDescent="0.25">
      <c r="C1466" s="1"/>
      <c r="D1466" s="2"/>
    </row>
    <row r="1467" spans="3:4" x14ac:dyDescent="0.25">
      <c r="C1467" s="1"/>
      <c r="D1467" s="2"/>
    </row>
    <row r="1468" spans="3:4" x14ac:dyDescent="0.25">
      <c r="C1468" s="1"/>
      <c r="D1468" s="2"/>
    </row>
    <row r="1469" spans="3:4" x14ac:dyDescent="0.25">
      <c r="C1469" s="1"/>
      <c r="D1469" s="2"/>
    </row>
    <row r="1470" spans="3:4" x14ac:dyDescent="0.25">
      <c r="C1470" s="1"/>
      <c r="D1470" s="2"/>
    </row>
    <row r="1471" spans="3:4" x14ac:dyDescent="0.25">
      <c r="C1471" s="1"/>
      <c r="D1471" s="2"/>
    </row>
    <row r="1472" spans="3:4" x14ac:dyDescent="0.25">
      <c r="C1472" s="1"/>
      <c r="D1472" s="2"/>
    </row>
    <row r="1473" spans="3:4" x14ac:dyDescent="0.25">
      <c r="C1473" s="1"/>
      <c r="D1473" s="2"/>
    </row>
    <row r="1474" spans="3:4" x14ac:dyDescent="0.25">
      <c r="C1474" s="1"/>
      <c r="D1474" s="2"/>
    </row>
    <row r="1475" spans="3:4" x14ac:dyDescent="0.25">
      <c r="C1475" s="1"/>
      <c r="D1475" s="2"/>
    </row>
    <row r="1476" spans="3:4" x14ac:dyDescent="0.25">
      <c r="C1476" s="1"/>
      <c r="D1476" s="2"/>
    </row>
    <row r="1477" spans="3:4" x14ac:dyDescent="0.25">
      <c r="C1477" s="1"/>
      <c r="D1477" s="2"/>
    </row>
    <row r="1478" spans="3:4" x14ac:dyDescent="0.25">
      <c r="C1478" s="1"/>
      <c r="D1478" s="2"/>
    </row>
    <row r="1479" spans="3:4" x14ac:dyDescent="0.25">
      <c r="C1479" s="1"/>
      <c r="D1479" s="2"/>
    </row>
    <row r="1480" spans="3:4" x14ac:dyDescent="0.25">
      <c r="C1480" s="1"/>
      <c r="D1480" s="2"/>
    </row>
    <row r="1481" spans="3:4" x14ac:dyDescent="0.25">
      <c r="C1481" s="1"/>
      <c r="D1481" s="2"/>
    </row>
    <row r="1482" spans="3:4" x14ac:dyDescent="0.25">
      <c r="C1482" s="1"/>
      <c r="D1482" s="2"/>
    </row>
    <row r="1483" spans="3:4" x14ac:dyDescent="0.25">
      <c r="C1483" s="1"/>
      <c r="D1483" s="2"/>
    </row>
    <row r="1484" spans="3:4" x14ac:dyDescent="0.25">
      <c r="C1484" s="1"/>
      <c r="D1484" s="2"/>
    </row>
    <row r="1485" spans="3:4" x14ac:dyDescent="0.25">
      <c r="C1485" s="1"/>
      <c r="D1485" s="2"/>
    </row>
    <row r="1486" spans="3:4" x14ac:dyDescent="0.25">
      <c r="C1486" s="1"/>
      <c r="D1486" s="2"/>
    </row>
    <row r="1487" spans="3:4" x14ac:dyDescent="0.25">
      <c r="C1487" s="1"/>
      <c r="D1487" s="2"/>
    </row>
    <row r="1488" spans="3:4" x14ac:dyDescent="0.25">
      <c r="C1488" s="1"/>
      <c r="D1488" s="2"/>
    </row>
    <row r="1489" spans="3:4" x14ac:dyDescent="0.25">
      <c r="C1489" s="1"/>
      <c r="D1489" s="2"/>
    </row>
    <row r="1490" spans="3:4" x14ac:dyDescent="0.25">
      <c r="C1490" s="1"/>
      <c r="D1490" s="2"/>
    </row>
    <row r="1491" spans="3:4" x14ac:dyDescent="0.25">
      <c r="C1491" s="1"/>
      <c r="D1491" s="2"/>
    </row>
    <row r="1492" spans="3:4" x14ac:dyDescent="0.25">
      <c r="C1492" s="1"/>
      <c r="D1492" s="2"/>
    </row>
    <row r="1493" spans="3:4" x14ac:dyDescent="0.25">
      <c r="C1493" s="1"/>
      <c r="D1493" s="2"/>
    </row>
    <row r="1494" spans="3:4" x14ac:dyDescent="0.25">
      <c r="C1494" s="1"/>
      <c r="D1494" s="2"/>
    </row>
    <row r="1495" spans="3:4" x14ac:dyDescent="0.25">
      <c r="C1495" s="1"/>
      <c r="D1495" s="2"/>
    </row>
    <row r="1496" spans="3:4" x14ac:dyDescent="0.25">
      <c r="C1496" s="1"/>
      <c r="D1496" s="2"/>
    </row>
    <row r="1497" spans="3:4" x14ac:dyDescent="0.25">
      <c r="C1497" s="1"/>
      <c r="D1497" s="2"/>
    </row>
    <row r="1498" spans="3:4" x14ac:dyDescent="0.25">
      <c r="C1498" s="1"/>
      <c r="D1498" s="2"/>
    </row>
    <row r="1499" spans="3:4" x14ac:dyDescent="0.25">
      <c r="C1499" s="1"/>
      <c r="D1499" s="2"/>
    </row>
    <row r="1500" spans="3:4" x14ac:dyDescent="0.25">
      <c r="C1500" s="1"/>
      <c r="D1500" s="2"/>
    </row>
    <row r="1501" spans="3:4" x14ac:dyDescent="0.25">
      <c r="C1501" s="1"/>
      <c r="D1501" s="2"/>
    </row>
    <row r="1502" spans="3:4" x14ac:dyDescent="0.25">
      <c r="C1502" s="1"/>
      <c r="D1502" s="2"/>
    </row>
    <row r="1503" spans="3:4" x14ac:dyDescent="0.25">
      <c r="C1503" s="1"/>
      <c r="D1503" s="2"/>
    </row>
    <row r="1504" spans="3:4" x14ac:dyDescent="0.25">
      <c r="C1504" s="1"/>
      <c r="D1504" s="2"/>
    </row>
    <row r="1505" spans="3:4" x14ac:dyDescent="0.25">
      <c r="C1505" s="1"/>
      <c r="D1505" s="2"/>
    </row>
    <row r="1506" spans="3:4" x14ac:dyDescent="0.25">
      <c r="C1506" s="1"/>
      <c r="D1506" s="2"/>
    </row>
    <row r="1507" spans="3:4" x14ac:dyDescent="0.25">
      <c r="C1507" s="1"/>
      <c r="D1507" s="2"/>
    </row>
    <row r="1508" spans="3:4" x14ac:dyDescent="0.25">
      <c r="C1508" s="1"/>
      <c r="D1508" s="2"/>
    </row>
    <row r="1509" spans="3:4" x14ac:dyDescent="0.25">
      <c r="C1509" s="1"/>
      <c r="D1509" s="2"/>
    </row>
    <row r="1510" spans="3:4" x14ac:dyDescent="0.25">
      <c r="C1510" s="1"/>
      <c r="D1510" s="2"/>
    </row>
    <row r="1511" spans="3:4" x14ac:dyDescent="0.25">
      <c r="C1511" s="1"/>
      <c r="D1511" s="2"/>
    </row>
    <row r="1512" spans="3:4" x14ac:dyDescent="0.25">
      <c r="C1512" s="1"/>
      <c r="D1512" s="2"/>
    </row>
    <row r="1513" spans="3:4" x14ac:dyDescent="0.25">
      <c r="C1513" s="1"/>
      <c r="D1513" s="2"/>
    </row>
    <row r="1514" spans="3:4" x14ac:dyDescent="0.25">
      <c r="C1514" s="1"/>
      <c r="D1514" s="2"/>
    </row>
    <row r="1515" spans="3:4" x14ac:dyDescent="0.25">
      <c r="C1515" s="1"/>
      <c r="D1515" s="2"/>
    </row>
    <row r="1516" spans="3:4" x14ac:dyDescent="0.25">
      <c r="C1516" s="1"/>
      <c r="D1516" s="2"/>
    </row>
    <row r="1517" spans="3:4" x14ac:dyDescent="0.25">
      <c r="C1517" s="1"/>
      <c r="D1517" s="2"/>
    </row>
    <row r="1518" spans="3:4" x14ac:dyDescent="0.25">
      <c r="C1518" s="1"/>
      <c r="D1518" s="2"/>
    </row>
    <row r="1519" spans="3:4" x14ac:dyDescent="0.25">
      <c r="C1519" s="1"/>
      <c r="D1519" s="2"/>
    </row>
    <row r="1520" spans="3:4" x14ac:dyDescent="0.25">
      <c r="C1520" s="1"/>
      <c r="D1520" s="2"/>
    </row>
    <row r="1521" spans="3:4" x14ac:dyDescent="0.25">
      <c r="C1521" s="1"/>
      <c r="D1521" s="2"/>
    </row>
    <row r="1522" spans="3:4" x14ac:dyDescent="0.25">
      <c r="C1522" s="1"/>
      <c r="D1522" s="2"/>
    </row>
    <row r="1523" spans="3:4" x14ac:dyDescent="0.25">
      <c r="C1523" s="1"/>
      <c r="D1523" s="2"/>
    </row>
    <row r="1524" spans="3:4" x14ac:dyDescent="0.25">
      <c r="C1524" s="1"/>
      <c r="D1524" s="2"/>
    </row>
    <row r="1525" spans="3:4" x14ac:dyDescent="0.25">
      <c r="C1525" s="1"/>
      <c r="D1525" s="2"/>
    </row>
    <row r="1526" spans="3:4" x14ac:dyDescent="0.25">
      <c r="C1526" s="1"/>
      <c r="D1526" s="2"/>
    </row>
    <row r="1527" spans="3:4" x14ac:dyDescent="0.25">
      <c r="C1527" s="1"/>
      <c r="D1527" s="2"/>
    </row>
    <row r="1528" spans="3:4" x14ac:dyDescent="0.25">
      <c r="C1528" s="1"/>
      <c r="D1528" s="2"/>
    </row>
    <row r="1529" spans="3:4" x14ac:dyDescent="0.25">
      <c r="C1529" s="1"/>
      <c r="D1529" s="2"/>
    </row>
    <row r="1530" spans="3:4" x14ac:dyDescent="0.25">
      <c r="C1530" s="1"/>
      <c r="D1530" s="2"/>
    </row>
    <row r="1531" spans="3:4" x14ac:dyDescent="0.25">
      <c r="C1531" s="1"/>
      <c r="D1531" s="2"/>
    </row>
    <row r="1532" spans="3:4" x14ac:dyDescent="0.25">
      <c r="C1532" s="1"/>
      <c r="D1532" s="2"/>
    </row>
    <row r="1533" spans="3:4" x14ac:dyDescent="0.25">
      <c r="C1533" s="1"/>
      <c r="D1533" s="2"/>
    </row>
    <row r="1534" spans="3:4" x14ac:dyDescent="0.25">
      <c r="C1534" s="1"/>
      <c r="D1534" s="2"/>
    </row>
    <row r="1535" spans="3:4" x14ac:dyDescent="0.25">
      <c r="C1535" s="1"/>
      <c r="D1535" s="2"/>
    </row>
    <row r="1536" spans="3:4" x14ac:dyDescent="0.25">
      <c r="C1536" s="1"/>
      <c r="D1536" s="2"/>
    </row>
    <row r="1537" spans="3:4" x14ac:dyDescent="0.25">
      <c r="C1537" s="1"/>
      <c r="D1537" s="2"/>
    </row>
    <row r="1538" spans="3:4" x14ac:dyDescent="0.25">
      <c r="C1538" s="1"/>
      <c r="D1538" s="2"/>
    </row>
    <row r="1539" spans="3:4" x14ac:dyDescent="0.25">
      <c r="C1539" s="1"/>
      <c r="D1539" s="2"/>
    </row>
    <row r="1540" spans="3:4" x14ac:dyDescent="0.25">
      <c r="C1540" s="1"/>
      <c r="D1540" s="2"/>
    </row>
    <row r="1541" spans="3:4" x14ac:dyDescent="0.25">
      <c r="C1541" s="1"/>
      <c r="D1541" s="2"/>
    </row>
    <row r="1542" spans="3:4" x14ac:dyDescent="0.25">
      <c r="C1542" s="1"/>
      <c r="D1542" s="2"/>
    </row>
    <row r="1543" spans="3:4" x14ac:dyDescent="0.25">
      <c r="C1543" s="1"/>
      <c r="D1543" s="2"/>
    </row>
    <row r="1544" spans="3:4" x14ac:dyDescent="0.25">
      <c r="C1544" s="1"/>
      <c r="D1544" s="2"/>
    </row>
    <row r="1545" spans="3:4" x14ac:dyDescent="0.25">
      <c r="C1545" s="1"/>
      <c r="D1545" s="2"/>
    </row>
    <row r="1546" spans="3:4" x14ac:dyDescent="0.25">
      <c r="C1546" s="1"/>
      <c r="D1546" s="2"/>
    </row>
    <row r="1547" spans="3:4" x14ac:dyDescent="0.25">
      <c r="C1547" s="1"/>
      <c r="D1547" s="2"/>
    </row>
    <row r="1548" spans="3:4" x14ac:dyDescent="0.25">
      <c r="C1548" s="1"/>
      <c r="D1548" s="2"/>
    </row>
    <row r="1549" spans="3:4" x14ac:dyDescent="0.25">
      <c r="C1549" s="1"/>
      <c r="D1549" s="2"/>
    </row>
    <row r="1550" spans="3:4" x14ac:dyDescent="0.25">
      <c r="C1550" s="1"/>
      <c r="D1550" s="2"/>
    </row>
    <row r="1551" spans="3:4" x14ac:dyDescent="0.25">
      <c r="C1551" s="1"/>
      <c r="D1551" s="2"/>
    </row>
    <row r="1552" spans="3:4" x14ac:dyDescent="0.25">
      <c r="C1552" s="1"/>
      <c r="D1552" s="2"/>
    </row>
    <row r="1553" spans="3:4" x14ac:dyDescent="0.25">
      <c r="C1553" s="1"/>
      <c r="D1553" s="2"/>
    </row>
    <row r="1554" spans="3:4" x14ac:dyDescent="0.25">
      <c r="C1554" s="1"/>
      <c r="D1554" s="2"/>
    </row>
    <row r="1555" spans="3:4" x14ac:dyDescent="0.25">
      <c r="C1555" s="1"/>
      <c r="D1555" s="2"/>
    </row>
    <row r="1556" spans="3:4" x14ac:dyDescent="0.25">
      <c r="C1556" s="1"/>
      <c r="D1556" s="2"/>
    </row>
    <row r="1557" spans="3:4" x14ac:dyDescent="0.25">
      <c r="C1557" s="1"/>
      <c r="D1557" s="2"/>
    </row>
    <row r="1558" spans="3:4" x14ac:dyDescent="0.25">
      <c r="C1558" s="1"/>
      <c r="D1558" s="2"/>
    </row>
    <row r="1559" spans="3:4" x14ac:dyDescent="0.25">
      <c r="C1559" s="1"/>
      <c r="D1559" s="2"/>
    </row>
    <row r="1560" spans="3:4" x14ac:dyDescent="0.25">
      <c r="C1560" s="1"/>
      <c r="D1560" s="2"/>
    </row>
    <row r="1561" spans="3:4" x14ac:dyDescent="0.25">
      <c r="C1561" s="1"/>
      <c r="D1561" s="2"/>
    </row>
    <row r="1562" spans="3:4" x14ac:dyDescent="0.25">
      <c r="C1562" s="1"/>
      <c r="D1562" s="2"/>
    </row>
    <row r="1563" spans="3:4" x14ac:dyDescent="0.25">
      <c r="C1563" s="1"/>
      <c r="D1563" s="2"/>
    </row>
    <row r="1564" spans="3:4" x14ac:dyDescent="0.25">
      <c r="C1564" s="1"/>
      <c r="D1564" s="2"/>
    </row>
    <row r="1565" spans="3:4" x14ac:dyDescent="0.25">
      <c r="C1565" s="1"/>
      <c r="D1565" s="2"/>
    </row>
    <row r="1566" spans="3:4" x14ac:dyDescent="0.25">
      <c r="C1566" s="1"/>
      <c r="D1566" s="2"/>
    </row>
    <row r="1567" spans="3:4" x14ac:dyDescent="0.25">
      <c r="C1567" s="1"/>
      <c r="D1567" s="2"/>
    </row>
    <row r="1568" spans="3:4" x14ac:dyDescent="0.25">
      <c r="C1568" s="1"/>
      <c r="D1568" s="2"/>
    </row>
    <row r="1569" spans="3:4" x14ac:dyDescent="0.25">
      <c r="C1569" s="1"/>
      <c r="D1569" s="2"/>
    </row>
    <row r="1570" spans="3:4" x14ac:dyDescent="0.25">
      <c r="C1570" s="1"/>
      <c r="D1570" s="2"/>
    </row>
    <row r="1571" spans="3:4" x14ac:dyDescent="0.25">
      <c r="C1571" s="1"/>
      <c r="D1571" s="2"/>
    </row>
    <row r="1572" spans="3:4" x14ac:dyDescent="0.25">
      <c r="C1572" s="1"/>
      <c r="D1572" s="2"/>
    </row>
    <row r="1573" spans="3:4" x14ac:dyDescent="0.25">
      <c r="C1573" s="1"/>
      <c r="D1573" s="2"/>
    </row>
    <row r="1574" spans="3:4" x14ac:dyDescent="0.25">
      <c r="C1574" s="1"/>
      <c r="D1574" s="2"/>
    </row>
    <row r="1575" spans="3:4" x14ac:dyDescent="0.25">
      <c r="C1575" s="1"/>
      <c r="D1575" s="2"/>
    </row>
    <row r="1576" spans="3:4" x14ac:dyDescent="0.25">
      <c r="C1576" s="1"/>
      <c r="D1576" s="2"/>
    </row>
    <row r="1577" spans="3:4" x14ac:dyDescent="0.25">
      <c r="C1577" s="1"/>
      <c r="D1577" s="2"/>
    </row>
    <row r="1578" spans="3:4" x14ac:dyDescent="0.25">
      <c r="C1578" s="1"/>
      <c r="D1578" s="2"/>
    </row>
    <row r="1579" spans="3:4" x14ac:dyDescent="0.25">
      <c r="C1579" s="1"/>
      <c r="D1579" s="2"/>
    </row>
    <row r="1580" spans="3:4" x14ac:dyDescent="0.25">
      <c r="C1580" s="1"/>
      <c r="D1580" s="2"/>
    </row>
    <row r="1581" spans="3:4" x14ac:dyDescent="0.25">
      <c r="C1581" s="1"/>
      <c r="D1581" s="2"/>
    </row>
    <row r="1582" spans="3:4" x14ac:dyDescent="0.25">
      <c r="C1582" s="1"/>
      <c r="D1582" s="2"/>
    </row>
    <row r="1583" spans="3:4" x14ac:dyDescent="0.25">
      <c r="C1583" s="1"/>
      <c r="D1583" s="2"/>
    </row>
    <row r="1584" spans="3:4" x14ac:dyDescent="0.25">
      <c r="C1584" s="1"/>
      <c r="D1584" s="2"/>
    </row>
    <row r="1585" spans="3:4" x14ac:dyDescent="0.25">
      <c r="C1585" s="1"/>
      <c r="D1585" s="2"/>
    </row>
    <row r="1586" spans="3:4" x14ac:dyDescent="0.25">
      <c r="C1586" s="1"/>
      <c r="D1586" s="2"/>
    </row>
    <row r="1587" spans="3:4" x14ac:dyDescent="0.25">
      <c r="C1587" s="1"/>
      <c r="D1587" s="2"/>
    </row>
    <row r="1588" spans="3:4" x14ac:dyDescent="0.25">
      <c r="C1588" s="1"/>
      <c r="D1588" s="2"/>
    </row>
    <row r="1589" spans="3:4" x14ac:dyDescent="0.25">
      <c r="C1589" s="1"/>
      <c r="D1589" s="2"/>
    </row>
    <row r="1590" spans="3:4" x14ac:dyDescent="0.25">
      <c r="C1590" s="1"/>
      <c r="D1590" s="2"/>
    </row>
    <row r="1591" spans="3:4" x14ac:dyDescent="0.25">
      <c r="C1591" s="1"/>
      <c r="D1591" s="2"/>
    </row>
    <row r="1592" spans="3:4" x14ac:dyDescent="0.25">
      <c r="C1592" s="1"/>
      <c r="D1592" s="2"/>
    </row>
    <row r="1593" spans="3:4" x14ac:dyDescent="0.25">
      <c r="C1593" s="1"/>
      <c r="D1593" s="2"/>
    </row>
    <row r="1594" spans="3:4" x14ac:dyDescent="0.25">
      <c r="C1594" s="1"/>
      <c r="D1594" s="2"/>
    </row>
    <row r="1595" spans="3:4" x14ac:dyDescent="0.25">
      <c r="C1595" s="1"/>
      <c r="D1595" s="2"/>
    </row>
    <row r="1596" spans="3:4" x14ac:dyDescent="0.25">
      <c r="C1596" s="1"/>
      <c r="D1596" s="2"/>
    </row>
    <row r="1597" spans="3:4" x14ac:dyDescent="0.25">
      <c r="C1597" s="1"/>
      <c r="D1597" s="2"/>
    </row>
    <row r="1598" spans="3:4" x14ac:dyDescent="0.25">
      <c r="C1598" s="1"/>
      <c r="D1598" s="2"/>
    </row>
    <row r="1599" spans="3:4" x14ac:dyDescent="0.25">
      <c r="C1599" s="1"/>
      <c r="D1599" s="2"/>
    </row>
    <row r="1600" spans="3:4" x14ac:dyDescent="0.25">
      <c r="C1600" s="1"/>
      <c r="D1600" s="2"/>
    </row>
    <row r="1601" spans="3:4" x14ac:dyDescent="0.25">
      <c r="C1601" s="1"/>
      <c r="D1601" s="2"/>
    </row>
    <row r="1602" spans="3:4" x14ac:dyDescent="0.25">
      <c r="C1602" s="1"/>
      <c r="D1602" s="2"/>
    </row>
    <row r="1603" spans="3:4" x14ac:dyDescent="0.25">
      <c r="C1603" s="1"/>
      <c r="D1603" s="2"/>
    </row>
    <row r="1604" spans="3:4" x14ac:dyDescent="0.25">
      <c r="C1604" s="1"/>
      <c r="D1604" s="2"/>
    </row>
    <row r="1605" spans="3:4" x14ac:dyDescent="0.25">
      <c r="C1605" s="1"/>
      <c r="D1605" s="2"/>
    </row>
    <row r="1606" spans="3:4" x14ac:dyDescent="0.25">
      <c r="C1606" s="1"/>
      <c r="D1606" s="2"/>
    </row>
    <row r="1607" spans="3:4" x14ac:dyDescent="0.25">
      <c r="C1607" s="1"/>
      <c r="D1607" s="2"/>
    </row>
    <row r="1608" spans="3:4" x14ac:dyDescent="0.25">
      <c r="C1608" s="1"/>
      <c r="D1608" s="2"/>
    </row>
    <row r="1609" spans="3:4" x14ac:dyDescent="0.25">
      <c r="C1609" s="1"/>
      <c r="D1609" s="2"/>
    </row>
    <row r="1610" spans="3:4" x14ac:dyDescent="0.25">
      <c r="C1610" s="1"/>
      <c r="D1610" s="2"/>
    </row>
    <row r="1611" spans="3:4" x14ac:dyDescent="0.25">
      <c r="C1611" s="1"/>
      <c r="D1611" s="2"/>
    </row>
    <row r="1612" spans="3:4" x14ac:dyDescent="0.25">
      <c r="C1612" s="1"/>
      <c r="D1612" s="2"/>
    </row>
    <row r="1613" spans="3:4" x14ac:dyDescent="0.25">
      <c r="C1613" s="1"/>
      <c r="D1613" s="2"/>
    </row>
    <row r="1614" spans="3:4" x14ac:dyDescent="0.25">
      <c r="C1614" s="1"/>
      <c r="D1614" s="2"/>
    </row>
    <row r="1615" spans="3:4" x14ac:dyDescent="0.25">
      <c r="C1615" s="1"/>
      <c r="D1615" s="2"/>
    </row>
    <row r="1616" spans="3:4" x14ac:dyDescent="0.25">
      <c r="C1616" s="1"/>
      <c r="D1616" s="2"/>
    </row>
    <row r="1617" spans="3:4" x14ac:dyDescent="0.25">
      <c r="C1617" s="1"/>
      <c r="D1617" s="2"/>
    </row>
    <row r="1618" spans="3:4" x14ac:dyDescent="0.25">
      <c r="C1618" s="1"/>
      <c r="D1618" s="2"/>
    </row>
    <row r="1619" spans="3:4" x14ac:dyDescent="0.25">
      <c r="C1619" s="1"/>
      <c r="D1619" s="2"/>
    </row>
    <row r="1620" spans="3:4" x14ac:dyDescent="0.25">
      <c r="C1620" s="1"/>
      <c r="D1620" s="2"/>
    </row>
    <row r="1621" spans="3:4" x14ac:dyDescent="0.25">
      <c r="C1621" s="1"/>
      <c r="D1621" s="2"/>
    </row>
    <row r="1622" spans="3:4" x14ac:dyDescent="0.25">
      <c r="C1622" s="1"/>
      <c r="D1622" s="2"/>
    </row>
    <row r="1623" spans="3:4" x14ac:dyDescent="0.25">
      <c r="C1623" s="1"/>
      <c r="D1623" s="2"/>
    </row>
    <row r="1624" spans="3:4" x14ac:dyDescent="0.25">
      <c r="C1624" s="1"/>
      <c r="D1624" s="2"/>
    </row>
    <row r="1625" spans="3:4" x14ac:dyDescent="0.25">
      <c r="C1625" s="1"/>
      <c r="D1625" s="2"/>
    </row>
    <row r="1626" spans="3:4" x14ac:dyDescent="0.25">
      <c r="C1626" s="1"/>
      <c r="D1626" s="2"/>
    </row>
    <row r="1627" spans="3:4" x14ac:dyDescent="0.25">
      <c r="C1627" s="1"/>
      <c r="D1627" s="2"/>
    </row>
    <row r="1628" spans="3:4" x14ac:dyDescent="0.25">
      <c r="C1628" s="1"/>
      <c r="D1628" s="2"/>
    </row>
    <row r="1629" spans="3:4" x14ac:dyDescent="0.25">
      <c r="C1629" s="1"/>
      <c r="D1629" s="2"/>
    </row>
    <row r="1630" spans="3:4" x14ac:dyDescent="0.25">
      <c r="C1630" s="1"/>
      <c r="D1630" s="2"/>
    </row>
    <row r="1631" spans="3:4" x14ac:dyDescent="0.25">
      <c r="C1631" s="1"/>
      <c r="D1631" s="2"/>
    </row>
    <row r="1632" spans="3:4" x14ac:dyDescent="0.25">
      <c r="C1632" s="1"/>
      <c r="D1632" s="2"/>
    </row>
    <row r="1633" spans="3:4" x14ac:dyDescent="0.25">
      <c r="C1633" s="1"/>
      <c r="D1633" s="2"/>
    </row>
    <row r="1634" spans="3:4" x14ac:dyDescent="0.25">
      <c r="C1634" s="1"/>
      <c r="D1634" s="2"/>
    </row>
    <row r="1635" spans="3:4" x14ac:dyDescent="0.25">
      <c r="C1635" s="1"/>
      <c r="D1635" s="2"/>
    </row>
    <row r="1636" spans="3:4" x14ac:dyDescent="0.25">
      <c r="C1636" s="1"/>
      <c r="D1636" s="2"/>
    </row>
    <row r="1637" spans="3:4" x14ac:dyDescent="0.25">
      <c r="C1637" s="1"/>
      <c r="D1637" s="2"/>
    </row>
    <row r="1638" spans="3:4" x14ac:dyDescent="0.25">
      <c r="C1638" s="1"/>
      <c r="D1638" s="2"/>
    </row>
    <row r="1639" spans="3:4" x14ac:dyDescent="0.25">
      <c r="C1639" s="1"/>
      <c r="D1639" s="2"/>
    </row>
    <row r="1640" spans="3:4" x14ac:dyDescent="0.25">
      <c r="C1640" s="1"/>
      <c r="D1640" s="2"/>
    </row>
    <row r="1641" spans="3:4" x14ac:dyDescent="0.25">
      <c r="C1641" s="1"/>
      <c r="D1641" s="2"/>
    </row>
    <row r="1642" spans="3:4" x14ac:dyDescent="0.25">
      <c r="C1642" s="1"/>
      <c r="D1642" s="2"/>
    </row>
    <row r="1643" spans="3:4" x14ac:dyDescent="0.25">
      <c r="C1643" s="1"/>
      <c r="D1643" s="2"/>
    </row>
    <row r="1644" spans="3:4" x14ac:dyDescent="0.25">
      <c r="C1644" s="1"/>
      <c r="D1644" s="2"/>
    </row>
    <row r="1645" spans="3:4" x14ac:dyDescent="0.25">
      <c r="C1645" s="1"/>
      <c r="D1645" s="2"/>
    </row>
    <row r="1646" spans="3:4" x14ac:dyDescent="0.25">
      <c r="C1646" s="1"/>
      <c r="D1646" s="2"/>
    </row>
    <row r="1647" spans="3:4" x14ac:dyDescent="0.25">
      <c r="C1647" s="1"/>
      <c r="D1647" s="2"/>
    </row>
    <row r="1648" spans="3:4" x14ac:dyDescent="0.25">
      <c r="C1648" s="1"/>
      <c r="D1648" s="2"/>
    </row>
    <row r="1649" spans="3:4" x14ac:dyDescent="0.25">
      <c r="C1649" s="1"/>
      <c r="D1649" s="2"/>
    </row>
    <row r="1650" spans="3:4" x14ac:dyDescent="0.25">
      <c r="C1650" s="1"/>
      <c r="D1650" s="2"/>
    </row>
    <row r="1651" spans="3:4" x14ac:dyDescent="0.25">
      <c r="C1651" s="1"/>
      <c r="D1651" s="2"/>
    </row>
    <row r="1652" spans="3:4" x14ac:dyDescent="0.25">
      <c r="C1652" s="1"/>
      <c r="D1652" s="2"/>
    </row>
    <row r="1653" spans="3:4" x14ac:dyDescent="0.25">
      <c r="C1653" s="1"/>
      <c r="D1653" s="2"/>
    </row>
    <row r="1654" spans="3:4" x14ac:dyDescent="0.25">
      <c r="C1654" s="1"/>
      <c r="D1654" s="2"/>
    </row>
    <row r="1655" spans="3:4" x14ac:dyDescent="0.25">
      <c r="C1655" s="1"/>
      <c r="D1655" s="2"/>
    </row>
    <row r="1656" spans="3:4" x14ac:dyDescent="0.25">
      <c r="C1656" s="1"/>
      <c r="D1656" s="2"/>
    </row>
    <row r="1657" spans="3:4" x14ac:dyDescent="0.25">
      <c r="C1657" s="1"/>
      <c r="D1657" s="2"/>
    </row>
    <row r="1658" spans="3:4" x14ac:dyDescent="0.25">
      <c r="C1658" s="1"/>
      <c r="D1658" s="2"/>
    </row>
    <row r="1659" spans="3:4" x14ac:dyDescent="0.25">
      <c r="C1659" s="1"/>
      <c r="D1659" s="2"/>
    </row>
    <row r="1660" spans="3:4" x14ac:dyDescent="0.25">
      <c r="C1660" s="1"/>
      <c r="D1660" s="2"/>
    </row>
    <row r="1661" spans="3:4" x14ac:dyDescent="0.25">
      <c r="C1661" s="1"/>
      <c r="D1661" s="2"/>
    </row>
    <row r="1662" spans="3:4" x14ac:dyDescent="0.25">
      <c r="C1662" s="1"/>
      <c r="D1662" s="2"/>
    </row>
    <row r="1663" spans="3:4" x14ac:dyDescent="0.25">
      <c r="C1663" s="1"/>
      <c r="D1663" s="2"/>
    </row>
    <row r="1664" spans="3:4" x14ac:dyDescent="0.25">
      <c r="C1664" s="1"/>
      <c r="D1664" s="2"/>
    </row>
    <row r="1665" spans="3:4" x14ac:dyDescent="0.25">
      <c r="C1665" s="1"/>
      <c r="D1665" s="2"/>
    </row>
    <row r="1666" spans="3:4" x14ac:dyDescent="0.25">
      <c r="C1666" s="1"/>
      <c r="D1666" s="2"/>
    </row>
    <row r="1667" spans="3:4" x14ac:dyDescent="0.25">
      <c r="C1667" s="1"/>
      <c r="D1667" s="2"/>
    </row>
    <row r="1668" spans="3:4" x14ac:dyDescent="0.25">
      <c r="C1668" s="1"/>
      <c r="D1668" s="2"/>
    </row>
    <row r="1669" spans="3:4" x14ac:dyDescent="0.25">
      <c r="C1669" s="1"/>
      <c r="D1669" s="2"/>
    </row>
    <row r="1670" spans="3:4" x14ac:dyDescent="0.25">
      <c r="C1670" s="1"/>
      <c r="D1670" s="2"/>
    </row>
    <row r="1671" spans="3:4" x14ac:dyDescent="0.25">
      <c r="C1671" s="1"/>
      <c r="D1671" s="2"/>
    </row>
    <row r="1672" spans="3:4" x14ac:dyDescent="0.25">
      <c r="C1672" s="1"/>
      <c r="D1672" s="2"/>
    </row>
    <row r="1673" spans="3:4" x14ac:dyDescent="0.25">
      <c r="C1673" s="1"/>
      <c r="D1673" s="2"/>
    </row>
    <row r="1674" spans="3:4" x14ac:dyDescent="0.25">
      <c r="C1674" s="1"/>
      <c r="D1674" s="2"/>
    </row>
    <row r="1675" spans="3:4" x14ac:dyDescent="0.25">
      <c r="C1675" s="1"/>
      <c r="D1675" s="2"/>
    </row>
    <row r="1676" spans="3:4" x14ac:dyDescent="0.25">
      <c r="C1676" s="1"/>
      <c r="D1676" s="2"/>
    </row>
    <row r="1677" spans="3:4" x14ac:dyDescent="0.25">
      <c r="C1677" s="1"/>
      <c r="D1677" s="2"/>
    </row>
    <row r="1678" spans="3:4" x14ac:dyDescent="0.25">
      <c r="C1678" s="1"/>
      <c r="D1678" s="2"/>
    </row>
    <row r="1679" spans="3:4" x14ac:dyDescent="0.25">
      <c r="C1679" s="1"/>
      <c r="D1679" s="2"/>
    </row>
    <row r="1680" spans="3:4" x14ac:dyDescent="0.25">
      <c r="C1680" s="1"/>
      <c r="D1680" s="2"/>
    </row>
    <row r="1681" spans="3:4" x14ac:dyDescent="0.25">
      <c r="C1681" s="1"/>
      <c r="D1681" s="2"/>
    </row>
    <row r="1682" spans="3:4" x14ac:dyDescent="0.25">
      <c r="C1682" s="1"/>
      <c r="D1682" s="2"/>
    </row>
    <row r="1683" spans="3:4" x14ac:dyDescent="0.25">
      <c r="C1683" s="1"/>
      <c r="D1683" s="2"/>
    </row>
    <row r="1684" spans="3:4" x14ac:dyDescent="0.25">
      <c r="C1684" s="1"/>
      <c r="D1684" s="2"/>
    </row>
    <row r="1685" spans="3:4" x14ac:dyDescent="0.25">
      <c r="C1685" s="1"/>
      <c r="D1685" s="2"/>
    </row>
    <row r="1686" spans="3:4" x14ac:dyDescent="0.25">
      <c r="C1686" s="1"/>
      <c r="D1686" s="2"/>
    </row>
    <row r="1687" spans="3:4" x14ac:dyDescent="0.25">
      <c r="C1687" s="1"/>
      <c r="D1687" s="2"/>
    </row>
    <row r="1688" spans="3:4" x14ac:dyDescent="0.25">
      <c r="C1688" s="1"/>
      <c r="D1688" s="2"/>
    </row>
    <row r="1689" spans="3:4" x14ac:dyDescent="0.25">
      <c r="C1689" s="1"/>
      <c r="D1689" s="2"/>
    </row>
    <row r="1690" spans="3:4" x14ac:dyDescent="0.25">
      <c r="C1690" s="1"/>
      <c r="D1690" s="2"/>
    </row>
    <row r="1691" spans="3:4" x14ac:dyDescent="0.25">
      <c r="C1691" s="1"/>
      <c r="D1691" s="2"/>
    </row>
    <row r="1692" spans="3:4" x14ac:dyDescent="0.25">
      <c r="C1692" s="1"/>
      <c r="D1692" s="2"/>
    </row>
    <row r="1693" spans="3:4" x14ac:dyDescent="0.25">
      <c r="C1693" s="1"/>
      <c r="D1693" s="2"/>
    </row>
    <row r="1694" spans="3:4" x14ac:dyDescent="0.25">
      <c r="C1694" s="1"/>
      <c r="D1694" s="2"/>
    </row>
    <row r="1695" spans="3:4" x14ac:dyDescent="0.25">
      <c r="C1695" s="1"/>
      <c r="D1695" s="2"/>
    </row>
    <row r="1696" spans="3:4" x14ac:dyDescent="0.25">
      <c r="C1696" s="1"/>
      <c r="D1696" s="2"/>
    </row>
    <row r="1697" spans="3:4" x14ac:dyDescent="0.25">
      <c r="C1697" s="1"/>
      <c r="D1697" s="2"/>
    </row>
    <row r="1698" spans="3:4" x14ac:dyDescent="0.25">
      <c r="C1698" s="1"/>
      <c r="D1698" s="2"/>
    </row>
    <row r="1699" spans="3:4" x14ac:dyDescent="0.25">
      <c r="C1699" s="1"/>
      <c r="D1699" s="2"/>
    </row>
    <row r="1700" spans="3:4" x14ac:dyDescent="0.25">
      <c r="C1700" s="1"/>
      <c r="D1700" s="2"/>
    </row>
    <row r="1701" spans="3:4" x14ac:dyDescent="0.25">
      <c r="C1701" s="1"/>
      <c r="D1701" s="2"/>
    </row>
    <row r="1702" spans="3:4" x14ac:dyDescent="0.25">
      <c r="C1702" s="1"/>
      <c r="D1702" s="2"/>
    </row>
    <row r="1703" spans="3:4" x14ac:dyDescent="0.25">
      <c r="C1703" s="1"/>
      <c r="D1703" s="2"/>
    </row>
    <row r="1704" spans="3:4" x14ac:dyDescent="0.25">
      <c r="C1704" s="1"/>
      <c r="D1704" s="2"/>
    </row>
    <row r="1705" spans="3:4" x14ac:dyDescent="0.25">
      <c r="C1705" s="1"/>
      <c r="D1705" s="2"/>
    </row>
    <row r="1706" spans="3:4" x14ac:dyDescent="0.25">
      <c r="C1706" s="1"/>
      <c r="D1706" s="2"/>
    </row>
    <row r="1707" spans="3:4" x14ac:dyDescent="0.25">
      <c r="C1707" s="1"/>
      <c r="D1707" s="2"/>
    </row>
    <row r="1708" spans="3:4" x14ac:dyDescent="0.25">
      <c r="C1708" s="1"/>
      <c r="D1708" s="2"/>
    </row>
    <row r="1709" spans="3:4" x14ac:dyDescent="0.25">
      <c r="C1709" s="1"/>
      <c r="D1709" s="2"/>
    </row>
    <row r="1710" spans="3:4" x14ac:dyDescent="0.25">
      <c r="C1710" s="1"/>
      <c r="D1710" s="2"/>
    </row>
    <row r="1711" spans="3:4" x14ac:dyDescent="0.25">
      <c r="C1711" s="1"/>
      <c r="D1711" s="2"/>
    </row>
    <row r="1712" spans="3:4" x14ac:dyDescent="0.25">
      <c r="C1712" s="1"/>
      <c r="D1712" s="2"/>
    </row>
    <row r="1713" spans="3:4" x14ac:dyDescent="0.25">
      <c r="C1713" s="1"/>
      <c r="D1713" s="2"/>
    </row>
    <row r="1714" spans="3:4" x14ac:dyDescent="0.25">
      <c r="C1714" s="1"/>
      <c r="D1714" s="2"/>
    </row>
    <row r="1715" spans="3:4" x14ac:dyDescent="0.25">
      <c r="C1715" s="1"/>
      <c r="D1715" s="2"/>
    </row>
    <row r="1716" spans="3:4" x14ac:dyDescent="0.25">
      <c r="C1716" s="1"/>
      <c r="D1716" s="2"/>
    </row>
    <row r="1717" spans="3:4" x14ac:dyDescent="0.25">
      <c r="C1717" s="1"/>
      <c r="D1717" s="2"/>
    </row>
    <row r="1718" spans="3:4" x14ac:dyDescent="0.25">
      <c r="C1718" s="1"/>
      <c r="D1718" s="2"/>
    </row>
    <row r="1719" spans="3:4" x14ac:dyDescent="0.25">
      <c r="C1719" s="1"/>
      <c r="D1719" s="2"/>
    </row>
    <row r="1720" spans="3:4" x14ac:dyDescent="0.25">
      <c r="C1720" s="1"/>
      <c r="D1720" s="2"/>
    </row>
    <row r="1721" spans="3:4" x14ac:dyDescent="0.25">
      <c r="C1721" s="1"/>
      <c r="D1721" s="2"/>
    </row>
    <row r="1722" spans="3:4" x14ac:dyDescent="0.25">
      <c r="C1722" s="1"/>
      <c r="D1722" s="2"/>
    </row>
    <row r="1723" spans="3:4" x14ac:dyDescent="0.25">
      <c r="C1723" s="1"/>
      <c r="D1723" s="2"/>
    </row>
    <row r="1724" spans="3:4" x14ac:dyDescent="0.25">
      <c r="C1724" s="1"/>
      <c r="D1724" s="2"/>
    </row>
    <row r="1725" spans="3:4" x14ac:dyDescent="0.25">
      <c r="C1725" s="1"/>
      <c r="D1725" s="2"/>
    </row>
    <row r="1726" spans="3:4" x14ac:dyDescent="0.25">
      <c r="C1726" s="1"/>
      <c r="D1726" s="2"/>
    </row>
    <row r="1727" spans="3:4" x14ac:dyDescent="0.25">
      <c r="C1727" s="1"/>
      <c r="D1727" s="2"/>
    </row>
    <row r="1728" spans="3:4" x14ac:dyDescent="0.25">
      <c r="C1728" s="1"/>
      <c r="D1728" s="2"/>
    </row>
    <row r="1729" spans="3:4" x14ac:dyDescent="0.25">
      <c r="C1729" s="1"/>
      <c r="D1729" s="2"/>
    </row>
    <row r="1730" spans="3:4" x14ac:dyDescent="0.25">
      <c r="C1730" s="1"/>
      <c r="D1730" s="2"/>
    </row>
    <row r="1731" spans="3:4" x14ac:dyDescent="0.25">
      <c r="C1731" s="1"/>
      <c r="D1731" s="2"/>
    </row>
    <row r="1732" spans="3:4" x14ac:dyDescent="0.25">
      <c r="C1732" s="1"/>
      <c r="D1732" s="2"/>
    </row>
    <row r="1733" spans="3:4" x14ac:dyDescent="0.25">
      <c r="C1733" s="1"/>
      <c r="D1733" s="2"/>
    </row>
    <row r="1734" spans="3:4" x14ac:dyDescent="0.25">
      <c r="C1734" s="1"/>
      <c r="D1734" s="2"/>
    </row>
    <row r="1735" spans="3:4" x14ac:dyDescent="0.25">
      <c r="C1735" s="1"/>
      <c r="D1735" s="2"/>
    </row>
    <row r="1736" spans="3:4" x14ac:dyDescent="0.25">
      <c r="C1736" s="1"/>
      <c r="D1736" s="2"/>
    </row>
    <row r="1737" spans="3:4" x14ac:dyDescent="0.25">
      <c r="C1737" s="1"/>
      <c r="D1737" s="2"/>
    </row>
    <row r="1738" spans="3:4" x14ac:dyDescent="0.25">
      <c r="C1738" s="1"/>
      <c r="D1738" s="2"/>
    </row>
    <row r="1739" spans="3:4" x14ac:dyDescent="0.25">
      <c r="C1739" s="1"/>
      <c r="D1739" s="2"/>
    </row>
    <row r="1740" spans="3:4" x14ac:dyDescent="0.25">
      <c r="C1740" s="1"/>
      <c r="D1740" s="2"/>
    </row>
    <row r="1741" spans="3:4" x14ac:dyDescent="0.25">
      <c r="C1741" s="1"/>
      <c r="D1741" s="2"/>
    </row>
    <row r="1742" spans="3:4" x14ac:dyDescent="0.25">
      <c r="C1742" s="1"/>
      <c r="D1742" s="2"/>
    </row>
    <row r="1743" spans="3:4" x14ac:dyDescent="0.25">
      <c r="C1743" s="1"/>
      <c r="D1743" s="2"/>
    </row>
    <row r="1744" spans="3:4" x14ac:dyDescent="0.25">
      <c r="C1744" s="1"/>
      <c r="D1744" s="2"/>
    </row>
    <row r="1745" spans="3:4" x14ac:dyDescent="0.25">
      <c r="C1745" s="1"/>
      <c r="D1745" s="2"/>
    </row>
    <row r="1746" spans="3:4" x14ac:dyDescent="0.25">
      <c r="C1746" s="1"/>
      <c r="D1746" s="2"/>
    </row>
    <row r="1747" spans="3:4" x14ac:dyDescent="0.25">
      <c r="C1747" s="1"/>
      <c r="D1747" s="2"/>
    </row>
    <row r="1748" spans="3:4" x14ac:dyDescent="0.25">
      <c r="C1748" s="1"/>
      <c r="D1748" s="2"/>
    </row>
    <row r="1749" spans="3:4" x14ac:dyDescent="0.25">
      <c r="C1749" s="1"/>
      <c r="D1749" s="2"/>
    </row>
    <row r="1750" spans="3:4" x14ac:dyDescent="0.25">
      <c r="C1750" s="1"/>
      <c r="D1750" s="2"/>
    </row>
    <row r="1751" spans="3:4" x14ac:dyDescent="0.25">
      <c r="C1751" s="1"/>
      <c r="D1751" s="2"/>
    </row>
    <row r="1752" spans="3:4" x14ac:dyDescent="0.25">
      <c r="C1752" s="1"/>
      <c r="D1752" s="2"/>
    </row>
    <row r="1753" spans="3:4" x14ac:dyDescent="0.25">
      <c r="C1753" s="1"/>
      <c r="D1753" s="2"/>
    </row>
    <row r="1754" spans="3:4" x14ac:dyDescent="0.25">
      <c r="C1754" s="1"/>
      <c r="D1754" s="2"/>
    </row>
    <row r="1755" spans="3:4" x14ac:dyDescent="0.25">
      <c r="C1755" s="1"/>
      <c r="D1755" s="2"/>
    </row>
    <row r="1756" spans="3:4" x14ac:dyDescent="0.25">
      <c r="C1756" s="1"/>
      <c r="D1756" s="2"/>
    </row>
    <row r="1757" spans="3:4" x14ac:dyDescent="0.25">
      <c r="C1757" s="1"/>
      <c r="D1757" s="2"/>
    </row>
    <row r="1758" spans="3:4" x14ac:dyDescent="0.25">
      <c r="C1758" s="1"/>
      <c r="D1758" s="2"/>
    </row>
    <row r="1759" spans="3:4" x14ac:dyDescent="0.25">
      <c r="C1759" s="1"/>
      <c r="D1759" s="2"/>
    </row>
    <row r="1760" spans="3:4" x14ac:dyDescent="0.25">
      <c r="C1760" s="1"/>
      <c r="D1760" s="2"/>
    </row>
    <row r="1761" spans="3:4" x14ac:dyDescent="0.25">
      <c r="C1761" s="1"/>
      <c r="D1761" s="2"/>
    </row>
    <row r="1762" spans="3:4" x14ac:dyDescent="0.25">
      <c r="C1762" s="1"/>
      <c r="D1762" s="2"/>
    </row>
    <row r="1763" spans="3:4" x14ac:dyDescent="0.25">
      <c r="C1763" s="1"/>
      <c r="D1763" s="2"/>
    </row>
    <row r="1764" spans="3:4" x14ac:dyDescent="0.25">
      <c r="C1764" s="1"/>
      <c r="D1764" s="2"/>
    </row>
    <row r="1765" spans="3:4" x14ac:dyDescent="0.25">
      <c r="C1765" s="1"/>
      <c r="D1765" s="2"/>
    </row>
    <row r="1766" spans="3:4" x14ac:dyDescent="0.25">
      <c r="C1766" s="1"/>
      <c r="D1766" s="2"/>
    </row>
    <row r="1767" spans="3:4" x14ac:dyDescent="0.25">
      <c r="C1767" s="1"/>
      <c r="D1767" s="2"/>
    </row>
    <row r="1768" spans="3:4" x14ac:dyDescent="0.25">
      <c r="C1768" s="1"/>
      <c r="D1768" s="2"/>
    </row>
    <row r="1769" spans="3:4" x14ac:dyDescent="0.25">
      <c r="C1769" s="1"/>
      <c r="D1769" s="2"/>
    </row>
    <row r="1770" spans="3:4" x14ac:dyDescent="0.25">
      <c r="C1770" s="1"/>
      <c r="D1770" s="2"/>
    </row>
    <row r="1771" spans="3:4" x14ac:dyDescent="0.25">
      <c r="C1771" s="1"/>
      <c r="D1771" s="2"/>
    </row>
    <row r="1772" spans="3:4" x14ac:dyDescent="0.25">
      <c r="C1772" s="1"/>
      <c r="D1772" s="2"/>
    </row>
    <row r="1773" spans="3:4" x14ac:dyDescent="0.25">
      <c r="C1773" s="1"/>
      <c r="D1773" s="2"/>
    </row>
    <row r="1774" spans="3:4" x14ac:dyDescent="0.25">
      <c r="C1774" s="1"/>
      <c r="D1774" s="2"/>
    </row>
    <row r="1775" spans="3:4" x14ac:dyDescent="0.25">
      <c r="C1775" s="1"/>
      <c r="D1775" s="2"/>
    </row>
    <row r="1776" spans="3:4" x14ac:dyDescent="0.25">
      <c r="C1776" s="1"/>
      <c r="D1776" s="2"/>
    </row>
    <row r="1777" spans="3:4" x14ac:dyDescent="0.25">
      <c r="C1777" s="1"/>
      <c r="D1777" s="2"/>
    </row>
    <row r="1778" spans="3:4" x14ac:dyDescent="0.25">
      <c r="C1778" s="1"/>
      <c r="D1778" s="2"/>
    </row>
    <row r="1779" spans="3:4" x14ac:dyDescent="0.25">
      <c r="C1779" s="1"/>
      <c r="D1779" s="2"/>
    </row>
    <row r="1780" spans="3:4" x14ac:dyDescent="0.25">
      <c r="C1780" s="1"/>
      <c r="D1780" s="2"/>
    </row>
    <row r="1781" spans="3:4" x14ac:dyDescent="0.25">
      <c r="C1781" s="1"/>
      <c r="D1781" s="2"/>
    </row>
    <row r="1782" spans="3:4" x14ac:dyDescent="0.25">
      <c r="C1782" s="1"/>
      <c r="D1782" s="2"/>
    </row>
    <row r="1783" spans="3:4" x14ac:dyDescent="0.25">
      <c r="C1783" s="1"/>
      <c r="D1783" s="2"/>
    </row>
    <row r="1784" spans="3:4" x14ac:dyDescent="0.25">
      <c r="C1784" s="1"/>
      <c r="D1784" s="2"/>
    </row>
    <row r="1785" spans="3:4" x14ac:dyDescent="0.25">
      <c r="C1785" s="1"/>
      <c r="D1785" s="2"/>
    </row>
    <row r="1786" spans="3:4" x14ac:dyDescent="0.25">
      <c r="C1786" s="1"/>
      <c r="D1786" s="2"/>
    </row>
    <row r="1787" spans="3:4" x14ac:dyDescent="0.25">
      <c r="C1787" s="1"/>
      <c r="D1787" s="2"/>
    </row>
    <row r="1788" spans="3:4" x14ac:dyDescent="0.25">
      <c r="C1788" s="1"/>
      <c r="D1788" s="2"/>
    </row>
    <row r="1789" spans="3:4" x14ac:dyDescent="0.25">
      <c r="C1789" s="1"/>
      <c r="D1789" s="2"/>
    </row>
    <row r="1790" spans="3:4" x14ac:dyDescent="0.25">
      <c r="C1790" s="1"/>
      <c r="D1790" s="2"/>
    </row>
    <row r="1791" spans="3:4" x14ac:dyDescent="0.25">
      <c r="C1791" s="1"/>
      <c r="D1791" s="2"/>
    </row>
    <row r="1792" spans="3:4" x14ac:dyDescent="0.25">
      <c r="C1792" s="1"/>
      <c r="D1792" s="2"/>
    </row>
    <row r="1793" spans="3:4" x14ac:dyDescent="0.25">
      <c r="C1793" s="1"/>
      <c r="D1793" s="2"/>
    </row>
    <row r="1794" spans="3:4" x14ac:dyDescent="0.25">
      <c r="C1794" s="1"/>
      <c r="D1794" s="2"/>
    </row>
    <row r="1795" spans="3:4" x14ac:dyDescent="0.25">
      <c r="C1795" s="1"/>
      <c r="D1795" s="2"/>
    </row>
    <row r="1796" spans="3:4" x14ac:dyDescent="0.25">
      <c r="C1796" s="1"/>
      <c r="D1796" s="2"/>
    </row>
    <row r="1797" spans="3:4" x14ac:dyDescent="0.25">
      <c r="C1797" s="1"/>
      <c r="D1797" s="2"/>
    </row>
    <row r="1798" spans="3:4" x14ac:dyDescent="0.25">
      <c r="C1798" s="1"/>
      <c r="D1798" s="2"/>
    </row>
    <row r="1799" spans="3:4" x14ac:dyDescent="0.25">
      <c r="C1799" s="1"/>
      <c r="D1799" s="2"/>
    </row>
    <row r="1800" spans="3:4" x14ac:dyDescent="0.25">
      <c r="C1800" s="1"/>
      <c r="D1800" s="2"/>
    </row>
    <row r="1801" spans="3:4" x14ac:dyDescent="0.25">
      <c r="C1801" s="1"/>
      <c r="D1801" s="2"/>
    </row>
    <row r="1802" spans="3:4" x14ac:dyDescent="0.25">
      <c r="C1802" s="1"/>
      <c r="D1802" s="2"/>
    </row>
    <row r="1803" spans="3:4" x14ac:dyDescent="0.25">
      <c r="C1803" s="1"/>
      <c r="D1803" s="2"/>
    </row>
    <row r="1804" spans="3:4" x14ac:dyDescent="0.25">
      <c r="C1804" s="1"/>
      <c r="D1804" s="2"/>
    </row>
    <row r="1805" spans="3:4" x14ac:dyDescent="0.25">
      <c r="C1805" s="1"/>
      <c r="D1805" s="2"/>
    </row>
    <row r="1806" spans="3:4" x14ac:dyDescent="0.25">
      <c r="C1806" s="1"/>
      <c r="D1806" s="2"/>
    </row>
    <row r="1807" spans="3:4" x14ac:dyDescent="0.25">
      <c r="C1807" s="1"/>
      <c r="D1807" s="2"/>
    </row>
    <row r="1808" spans="3:4" x14ac:dyDescent="0.25">
      <c r="C1808" s="1"/>
      <c r="D1808" s="2"/>
    </row>
    <row r="1809" spans="3:4" x14ac:dyDescent="0.25">
      <c r="C1809" s="1"/>
      <c r="D1809" s="2"/>
    </row>
    <row r="1810" spans="3:4" x14ac:dyDescent="0.25">
      <c r="C1810" s="1"/>
      <c r="D1810" s="2"/>
    </row>
    <row r="1811" spans="3:4" x14ac:dyDescent="0.25">
      <c r="C1811" s="1"/>
      <c r="D1811" s="2"/>
    </row>
    <row r="1812" spans="3:4" x14ac:dyDescent="0.25">
      <c r="C1812" s="1"/>
      <c r="D1812" s="2"/>
    </row>
    <row r="1813" spans="3:4" x14ac:dyDescent="0.25">
      <c r="C1813" s="1"/>
      <c r="D1813" s="2"/>
    </row>
    <row r="1814" spans="3:4" x14ac:dyDescent="0.25">
      <c r="C1814" s="1"/>
      <c r="D1814" s="2"/>
    </row>
    <row r="1815" spans="3:4" x14ac:dyDescent="0.25">
      <c r="C1815" s="1"/>
      <c r="D1815" s="2"/>
    </row>
    <row r="1816" spans="3:4" x14ac:dyDescent="0.25">
      <c r="C1816" s="1"/>
      <c r="D1816" s="2"/>
    </row>
    <row r="1817" spans="3:4" x14ac:dyDescent="0.25">
      <c r="C1817" s="1"/>
      <c r="D1817" s="2"/>
    </row>
    <row r="1818" spans="3:4" x14ac:dyDescent="0.25">
      <c r="C1818" s="1"/>
      <c r="D1818" s="2"/>
    </row>
    <row r="1819" spans="3:4" x14ac:dyDescent="0.25">
      <c r="C1819" s="1"/>
      <c r="D1819" s="2"/>
    </row>
    <row r="1820" spans="3:4" x14ac:dyDescent="0.25">
      <c r="C1820" s="1"/>
      <c r="D1820" s="2"/>
    </row>
    <row r="1821" spans="3:4" x14ac:dyDescent="0.25">
      <c r="C1821" s="1"/>
      <c r="D1821" s="2"/>
    </row>
    <row r="1822" spans="3:4" x14ac:dyDescent="0.25">
      <c r="C1822" s="1"/>
      <c r="D1822" s="2"/>
    </row>
    <row r="1823" spans="3:4" x14ac:dyDescent="0.25">
      <c r="C1823" s="1"/>
      <c r="D1823" s="2"/>
    </row>
    <row r="1824" spans="3:4" x14ac:dyDescent="0.25">
      <c r="C1824" s="1"/>
      <c r="D1824" s="2"/>
    </row>
    <row r="1825" spans="3:4" x14ac:dyDescent="0.25">
      <c r="C1825" s="1"/>
      <c r="D1825" s="2"/>
    </row>
    <row r="1826" spans="3:4" x14ac:dyDescent="0.25">
      <c r="C1826" s="1"/>
      <c r="D1826" s="2"/>
    </row>
    <row r="1827" spans="3:4" x14ac:dyDescent="0.25">
      <c r="C1827" s="1"/>
      <c r="D1827" s="2"/>
    </row>
    <row r="1828" spans="3:4" x14ac:dyDescent="0.25">
      <c r="C1828" s="1"/>
      <c r="D1828" s="2"/>
    </row>
    <row r="1829" spans="3:4" x14ac:dyDescent="0.25">
      <c r="C1829" s="1"/>
      <c r="D1829" s="2"/>
    </row>
    <row r="1830" spans="3:4" x14ac:dyDescent="0.25">
      <c r="C1830" s="1"/>
      <c r="D1830" s="2"/>
    </row>
    <row r="1831" spans="3:4" x14ac:dyDescent="0.25">
      <c r="C1831" s="1"/>
      <c r="D1831" s="2"/>
    </row>
    <row r="1832" spans="3:4" x14ac:dyDescent="0.25">
      <c r="C1832" s="1"/>
      <c r="D1832" s="2"/>
    </row>
    <row r="1833" spans="3:4" x14ac:dyDescent="0.25">
      <c r="C1833" s="1"/>
      <c r="D1833" s="2"/>
    </row>
    <row r="1834" spans="3:4" x14ac:dyDescent="0.25">
      <c r="C1834" s="1"/>
      <c r="D1834" s="2"/>
    </row>
    <row r="1835" spans="3:4" x14ac:dyDescent="0.25">
      <c r="C1835" s="1"/>
      <c r="D1835" s="2"/>
    </row>
    <row r="1836" spans="3:4" x14ac:dyDescent="0.25">
      <c r="C1836" s="1"/>
      <c r="D1836" s="2"/>
    </row>
    <row r="1837" spans="3:4" x14ac:dyDescent="0.25">
      <c r="C1837" s="1"/>
      <c r="D1837" s="2"/>
    </row>
    <row r="1838" spans="3:4" x14ac:dyDescent="0.25">
      <c r="C1838" s="1"/>
      <c r="D1838" s="2"/>
    </row>
    <row r="1839" spans="3:4" x14ac:dyDescent="0.25">
      <c r="C1839" s="1"/>
      <c r="D1839" s="2"/>
    </row>
    <row r="1840" spans="3:4" x14ac:dyDescent="0.25">
      <c r="C1840" s="1"/>
      <c r="D1840" s="2"/>
    </row>
    <row r="1841" spans="3:4" x14ac:dyDescent="0.25">
      <c r="C1841" s="1"/>
      <c r="D1841" s="2"/>
    </row>
    <row r="1842" spans="3:4" x14ac:dyDescent="0.25">
      <c r="C1842" s="1"/>
      <c r="D1842" s="2"/>
    </row>
    <row r="1843" spans="3:4" x14ac:dyDescent="0.25">
      <c r="C1843" s="1"/>
      <c r="D1843" s="2"/>
    </row>
    <row r="1844" spans="3:4" x14ac:dyDescent="0.25">
      <c r="C1844" s="1"/>
      <c r="D1844" s="2"/>
    </row>
    <row r="1845" spans="3:4" x14ac:dyDescent="0.25">
      <c r="C1845" s="1"/>
      <c r="D1845" s="2"/>
    </row>
    <row r="1846" spans="3:4" x14ac:dyDescent="0.25">
      <c r="C1846" s="1"/>
      <c r="D1846" s="2"/>
    </row>
    <row r="1847" spans="3:4" x14ac:dyDescent="0.25">
      <c r="C1847" s="1"/>
      <c r="D1847" s="2"/>
    </row>
    <row r="1848" spans="3:4" x14ac:dyDescent="0.25">
      <c r="C1848" s="1"/>
      <c r="D1848" s="2"/>
    </row>
    <row r="1849" spans="3:4" x14ac:dyDescent="0.25">
      <c r="C1849" s="1"/>
      <c r="D1849" s="2"/>
    </row>
    <row r="1850" spans="3:4" x14ac:dyDescent="0.25">
      <c r="C1850" s="1"/>
      <c r="D1850" s="2"/>
    </row>
    <row r="1851" spans="3:4" x14ac:dyDescent="0.25">
      <c r="C1851" s="1"/>
      <c r="D1851" s="2"/>
    </row>
    <row r="1852" spans="3:4" x14ac:dyDescent="0.25">
      <c r="C1852" s="1"/>
      <c r="D1852" s="2"/>
    </row>
    <row r="1853" spans="3:4" x14ac:dyDescent="0.25">
      <c r="C1853" s="1"/>
      <c r="D1853" s="2"/>
    </row>
    <row r="1854" spans="3:4" x14ac:dyDescent="0.25">
      <c r="C1854" s="1"/>
      <c r="D1854" s="2"/>
    </row>
    <row r="1855" spans="3:4" x14ac:dyDescent="0.25">
      <c r="C1855" s="1"/>
      <c r="D1855" s="2"/>
    </row>
    <row r="1856" spans="3:4" x14ac:dyDescent="0.25">
      <c r="C1856" s="1"/>
      <c r="D1856" s="2"/>
    </row>
    <row r="1857" spans="3:4" x14ac:dyDescent="0.25">
      <c r="C1857" s="1"/>
      <c r="D1857" s="2"/>
    </row>
    <row r="1858" spans="3:4" x14ac:dyDescent="0.25">
      <c r="C1858" s="1"/>
      <c r="D1858" s="2"/>
    </row>
    <row r="1859" spans="3:4" x14ac:dyDescent="0.25">
      <c r="C1859" s="1"/>
      <c r="D1859" s="2"/>
    </row>
    <row r="1860" spans="3:4" x14ac:dyDescent="0.25">
      <c r="C1860" s="1"/>
      <c r="D1860" s="2"/>
    </row>
    <row r="1861" spans="3:4" x14ac:dyDescent="0.25">
      <c r="C1861" s="1"/>
      <c r="D1861" s="2"/>
    </row>
    <row r="1862" spans="3:4" x14ac:dyDescent="0.25">
      <c r="C1862" s="1"/>
      <c r="D1862" s="2"/>
    </row>
    <row r="1863" spans="3:4" x14ac:dyDescent="0.25">
      <c r="C1863" s="1"/>
      <c r="D1863" s="2"/>
    </row>
    <row r="1864" spans="3:4" x14ac:dyDescent="0.25">
      <c r="C1864" s="1"/>
      <c r="D1864" s="2"/>
    </row>
    <row r="1865" spans="3:4" x14ac:dyDescent="0.25">
      <c r="C1865" s="1"/>
      <c r="D1865" s="2"/>
    </row>
    <row r="1866" spans="3:4" x14ac:dyDescent="0.25">
      <c r="C1866" s="1"/>
      <c r="D1866" s="2"/>
    </row>
    <row r="1867" spans="3:4" x14ac:dyDescent="0.25">
      <c r="C1867" s="1"/>
      <c r="D1867" s="2"/>
    </row>
    <row r="1868" spans="3:4" x14ac:dyDescent="0.25">
      <c r="C1868" s="1"/>
      <c r="D1868" s="2"/>
    </row>
    <row r="1869" spans="3:4" x14ac:dyDescent="0.25">
      <c r="C1869" s="1"/>
      <c r="D1869" s="2"/>
    </row>
    <row r="1870" spans="3:4" x14ac:dyDescent="0.25">
      <c r="C1870" s="1"/>
      <c r="D1870" s="2"/>
    </row>
    <row r="1871" spans="3:4" x14ac:dyDescent="0.25">
      <c r="C1871" s="1"/>
      <c r="D1871" s="2"/>
    </row>
    <row r="1872" spans="3:4" x14ac:dyDescent="0.25">
      <c r="C1872" s="1"/>
      <c r="D1872" s="2"/>
    </row>
    <row r="1873" spans="3:4" x14ac:dyDescent="0.25">
      <c r="C1873" s="1"/>
      <c r="D1873" s="2"/>
    </row>
    <row r="1874" spans="3:4" x14ac:dyDescent="0.25">
      <c r="C1874" s="1"/>
      <c r="D1874" s="2"/>
    </row>
    <row r="1875" spans="3:4" x14ac:dyDescent="0.25">
      <c r="C1875" s="1"/>
      <c r="D1875" s="2"/>
    </row>
    <row r="1876" spans="3:4" x14ac:dyDescent="0.25">
      <c r="C1876" s="1"/>
      <c r="D1876" s="2"/>
    </row>
    <row r="1877" spans="3:4" x14ac:dyDescent="0.25">
      <c r="C1877" s="1"/>
      <c r="D1877" s="2"/>
    </row>
    <row r="1878" spans="3:4" x14ac:dyDescent="0.25">
      <c r="C1878" s="1"/>
      <c r="D1878" s="2"/>
    </row>
    <row r="1879" spans="3:4" x14ac:dyDescent="0.25">
      <c r="C1879" s="1"/>
      <c r="D1879" s="2"/>
    </row>
    <row r="1880" spans="3:4" x14ac:dyDescent="0.25">
      <c r="C1880" s="1"/>
      <c r="D1880" s="2"/>
    </row>
    <row r="1881" spans="3:4" x14ac:dyDescent="0.25">
      <c r="C1881" s="1"/>
      <c r="D1881" s="2"/>
    </row>
    <row r="1882" spans="3:4" x14ac:dyDescent="0.25">
      <c r="C1882" s="1"/>
      <c r="D1882" s="2"/>
    </row>
    <row r="1883" spans="3:4" x14ac:dyDescent="0.25">
      <c r="C1883" s="1"/>
      <c r="D1883" s="2"/>
    </row>
    <row r="1884" spans="3:4" x14ac:dyDescent="0.25">
      <c r="C1884" s="1"/>
      <c r="D1884" s="2"/>
    </row>
    <row r="1885" spans="3:4" x14ac:dyDescent="0.25">
      <c r="C1885" s="1"/>
      <c r="D1885" s="2"/>
    </row>
    <row r="1886" spans="3:4" x14ac:dyDescent="0.25">
      <c r="C1886" s="1"/>
      <c r="D1886" s="2"/>
    </row>
    <row r="1887" spans="3:4" x14ac:dyDescent="0.25">
      <c r="C1887" s="1"/>
      <c r="D1887" s="2"/>
    </row>
    <row r="1888" spans="3:4" x14ac:dyDescent="0.25">
      <c r="C1888" s="1"/>
      <c r="D1888" s="2"/>
    </row>
    <row r="1889" spans="3:4" x14ac:dyDescent="0.25">
      <c r="C1889" s="1"/>
      <c r="D1889" s="2"/>
    </row>
    <row r="1890" spans="3:4" x14ac:dyDescent="0.25">
      <c r="C1890" s="1"/>
      <c r="D1890" s="2"/>
    </row>
    <row r="1891" spans="3:4" x14ac:dyDescent="0.25">
      <c r="C1891" s="1"/>
      <c r="D1891" s="2"/>
    </row>
    <row r="1892" spans="3:4" x14ac:dyDescent="0.25">
      <c r="C1892" s="1"/>
      <c r="D1892" s="2"/>
    </row>
    <row r="1893" spans="3:4" x14ac:dyDescent="0.25">
      <c r="C1893" s="1"/>
      <c r="D1893" s="2"/>
    </row>
    <row r="1894" spans="3:4" x14ac:dyDescent="0.25">
      <c r="C1894" s="1"/>
      <c r="D1894" s="2"/>
    </row>
    <row r="1895" spans="3:4" x14ac:dyDescent="0.25">
      <c r="C1895" s="1"/>
      <c r="D1895" s="2"/>
    </row>
    <row r="1896" spans="3:4" x14ac:dyDescent="0.25">
      <c r="C1896" s="1"/>
      <c r="D1896" s="2"/>
    </row>
    <row r="1897" spans="3:4" x14ac:dyDescent="0.25">
      <c r="C1897" s="1"/>
      <c r="D1897" s="2"/>
    </row>
    <row r="1898" spans="3:4" x14ac:dyDescent="0.25">
      <c r="C1898" s="1"/>
      <c r="D1898" s="2"/>
    </row>
    <row r="1899" spans="3:4" x14ac:dyDescent="0.25">
      <c r="C1899" s="1"/>
      <c r="D1899" s="2"/>
    </row>
    <row r="1900" spans="3:4" x14ac:dyDescent="0.25">
      <c r="C1900" s="1"/>
      <c r="D1900" s="2"/>
    </row>
    <row r="1901" spans="3:4" x14ac:dyDescent="0.25">
      <c r="C1901" s="1"/>
      <c r="D1901" s="2"/>
    </row>
    <row r="1902" spans="3:4" x14ac:dyDescent="0.25">
      <c r="C1902" s="1"/>
      <c r="D1902" s="2"/>
    </row>
    <row r="1903" spans="3:4" x14ac:dyDescent="0.25">
      <c r="C1903" s="1"/>
      <c r="D1903" s="2"/>
    </row>
    <row r="1904" spans="3:4" x14ac:dyDescent="0.25">
      <c r="C1904" s="1"/>
      <c r="D1904" s="2"/>
    </row>
    <row r="1905" spans="3:4" x14ac:dyDescent="0.25">
      <c r="C1905" s="1"/>
      <c r="D1905" s="2"/>
    </row>
    <row r="1906" spans="3:4" x14ac:dyDescent="0.25">
      <c r="C1906" s="1"/>
      <c r="D1906" s="2"/>
    </row>
    <row r="1907" spans="3:4" x14ac:dyDescent="0.25">
      <c r="C1907" s="1"/>
      <c r="D1907" s="2"/>
    </row>
    <row r="1908" spans="3:4" x14ac:dyDescent="0.25">
      <c r="C1908" s="1"/>
      <c r="D1908" s="2"/>
    </row>
    <row r="1909" spans="3:4" x14ac:dyDescent="0.25">
      <c r="C1909" s="1"/>
      <c r="D1909" s="2"/>
    </row>
    <row r="1910" spans="3:4" x14ac:dyDescent="0.25">
      <c r="C1910" s="1"/>
      <c r="D1910" s="2"/>
    </row>
    <row r="1911" spans="3:4" x14ac:dyDescent="0.25">
      <c r="C1911" s="1"/>
      <c r="D1911" s="2"/>
    </row>
    <row r="1912" spans="3:4" x14ac:dyDescent="0.25">
      <c r="C1912" s="1"/>
      <c r="D1912" s="2"/>
    </row>
    <row r="1913" spans="3:4" x14ac:dyDescent="0.25">
      <c r="C1913" s="1"/>
      <c r="D1913" s="2"/>
    </row>
    <row r="1914" spans="3:4" x14ac:dyDescent="0.25">
      <c r="C1914" s="1"/>
      <c r="D1914" s="2"/>
    </row>
    <row r="1915" spans="3:4" x14ac:dyDescent="0.25">
      <c r="C1915" s="1"/>
      <c r="D1915" s="2"/>
    </row>
    <row r="1916" spans="3:4" x14ac:dyDescent="0.25">
      <c r="C1916" s="1"/>
      <c r="D1916" s="2"/>
    </row>
    <row r="1917" spans="3:4" x14ac:dyDescent="0.25">
      <c r="C1917" s="1"/>
      <c r="D1917" s="2"/>
    </row>
    <row r="1918" spans="3:4" x14ac:dyDescent="0.25">
      <c r="C1918" s="1"/>
      <c r="D1918" s="2"/>
    </row>
    <row r="1919" spans="3:4" x14ac:dyDescent="0.25">
      <c r="C1919" s="1"/>
      <c r="D1919" s="2"/>
    </row>
    <row r="1920" spans="3:4" x14ac:dyDescent="0.25">
      <c r="C1920" s="1"/>
      <c r="D1920" s="2"/>
    </row>
    <row r="1921" spans="3:4" x14ac:dyDescent="0.25">
      <c r="C1921" s="1"/>
      <c r="D1921" s="2"/>
    </row>
    <row r="1922" spans="3:4" x14ac:dyDescent="0.25">
      <c r="C1922" s="1"/>
      <c r="D1922" s="2"/>
    </row>
    <row r="1923" spans="3:4" x14ac:dyDescent="0.25">
      <c r="C1923" s="1"/>
      <c r="D1923" s="2"/>
    </row>
    <row r="1924" spans="3:4" x14ac:dyDescent="0.25">
      <c r="C1924" s="1"/>
      <c r="D1924" s="2"/>
    </row>
    <row r="1925" spans="3:4" x14ac:dyDescent="0.25">
      <c r="C1925" s="1"/>
      <c r="D1925" s="2"/>
    </row>
    <row r="1926" spans="3:4" x14ac:dyDescent="0.25">
      <c r="C1926" s="1"/>
      <c r="D1926" s="2"/>
    </row>
    <row r="1927" spans="3:4" x14ac:dyDescent="0.25">
      <c r="C1927" s="1"/>
      <c r="D1927" s="2"/>
    </row>
    <row r="1928" spans="3:4" x14ac:dyDescent="0.25">
      <c r="C1928" s="1"/>
      <c r="D1928" s="2"/>
    </row>
    <row r="1929" spans="3:4" x14ac:dyDescent="0.25">
      <c r="C1929" s="1"/>
      <c r="D1929" s="2"/>
    </row>
    <row r="1930" spans="3:4" x14ac:dyDescent="0.25">
      <c r="C1930" s="1"/>
      <c r="D1930" s="2"/>
    </row>
    <row r="1931" spans="3:4" x14ac:dyDescent="0.25">
      <c r="C1931" s="1"/>
      <c r="D1931" s="2"/>
    </row>
    <row r="1932" spans="3:4" x14ac:dyDescent="0.25">
      <c r="C1932" s="1"/>
      <c r="D1932" s="2"/>
    </row>
    <row r="1933" spans="3:4" x14ac:dyDescent="0.25">
      <c r="C1933" s="1"/>
      <c r="D1933" s="2"/>
    </row>
    <row r="1934" spans="3:4" x14ac:dyDescent="0.25">
      <c r="C1934" s="1"/>
      <c r="D1934" s="2"/>
    </row>
    <row r="1935" spans="3:4" x14ac:dyDescent="0.25">
      <c r="C1935" s="1"/>
      <c r="D1935" s="2"/>
    </row>
    <row r="1936" spans="3:4" x14ac:dyDescent="0.25">
      <c r="C1936" s="1"/>
      <c r="D1936" s="2"/>
    </row>
    <row r="1937" spans="3:4" x14ac:dyDescent="0.25">
      <c r="C1937" s="1"/>
      <c r="D1937" s="2"/>
    </row>
    <row r="1938" spans="3:4" x14ac:dyDescent="0.25">
      <c r="C1938" s="1"/>
      <c r="D1938" s="2"/>
    </row>
    <row r="1939" spans="3:4" x14ac:dyDescent="0.25">
      <c r="C1939" s="1"/>
      <c r="D1939" s="2"/>
    </row>
    <row r="1940" spans="3:4" x14ac:dyDescent="0.25">
      <c r="C1940" s="1"/>
      <c r="D1940" s="2"/>
    </row>
    <row r="1941" spans="3:4" x14ac:dyDescent="0.25">
      <c r="C1941" s="1"/>
      <c r="D1941" s="2"/>
    </row>
    <row r="1942" spans="3:4" x14ac:dyDescent="0.25">
      <c r="C1942" s="1"/>
      <c r="D1942" s="2"/>
    </row>
    <row r="1943" spans="3:4" x14ac:dyDescent="0.25">
      <c r="C1943" s="1"/>
      <c r="D1943" s="2"/>
    </row>
    <row r="1944" spans="3:4" x14ac:dyDescent="0.25">
      <c r="C1944" s="1"/>
      <c r="D1944" s="2"/>
    </row>
    <row r="1945" spans="3:4" x14ac:dyDescent="0.25">
      <c r="C1945" s="1"/>
      <c r="D1945" s="2"/>
    </row>
    <row r="1946" spans="3:4" x14ac:dyDescent="0.25">
      <c r="C1946" s="1"/>
      <c r="D1946" s="2"/>
    </row>
    <row r="1947" spans="3:4" x14ac:dyDescent="0.25">
      <c r="C1947" s="1"/>
      <c r="D1947" s="2"/>
    </row>
    <row r="1948" spans="3:4" x14ac:dyDescent="0.25">
      <c r="C1948" s="1"/>
      <c r="D1948" s="2"/>
    </row>
    <row r="1949" spans="3:4" x14ac:dyDescent="0.25">
      <c r="C1949" s="1"/>
      <c r="D1949" s="2"/>
    </row>
    <row r="1950" spans="3:4" x14ac:dyDescent="0.25">
      <c r="C1950" s="1"/>
      <c r="D1950" s="2"/>
    </row>
    <row r="1951" spans="3:4" x14ac:dyDescent="0.25">
      <c r="C1951" s="1"/>
      <c r="D1951" s="2"/>
    </row>
    <row r="1952" spans="3:4" x14ac:dyDescent="0.25">
      <c r="C1952" s="1"/>
      <c r="D1952" s="2"/>
    </row>
    <row r="1953" spans="3:4" x14ac:dyDescent="0.25">
      <c r="C1953" s="1"/>
      <c r="D1953" s="2"/>
    </row>
    <row r="1954" spans="3:4" x14ac:dyDescent="0.25">
      <c r="C1954" s="1"/>
      <c r="D1954" s="2"/>
    </row>
    <row r="1955" spans="3:4" x14ac:dyDescent="0.25">
      <c r="C1955" s="1"/>
      <c r="D1955" s="2"/>
    </row>
    <row r="1956" spans="3:4" x14ac:dyDescent="0.25">
      <c r="C1956" s="1"/>
      <c r="D1956" s="2"/>
    </row>
    <row r="1957" spans="3:4" x14ac:dyDescent="0.25">
      <c r="C1957" s="1"/>
      <c r="D1957" s="2"/>
    </row>
    <row r="1958" spans="3:4" x14ac:dyDescent="0.25">
      <c r="C1958" s="1"/>
      <c r="D1958" s="2"/>
    </row>
    <row r="1959" spans="3:4" x14ac:dyDescent="0.25">
      <c r="C1959" s="1"/>
      <c r="D1959" s="2"/>
    </row>
    <row r="1960" spans="3:4" x14ac:dyDescent="0.25">
      <c r="C1960" s="1"/>
      <c r="D1960" s="2"/>
    </row>
    <row r="1961" spans="3:4" x14ac:dyDescent="0.25">
      <c r="C1961" s="1"/>
      <c r="D1961" s="2"/>
    </row>
    <row r="1962" spans="3:4" x14ac:dyDescent="0.25">
      <c r="C1962" s="1"/>
      <c r="D1962" s="2"/>
    </row>
    <row r="1963" spans="3:4" x14ac:dyDescent="0.25">
      <c r="C1963" s="1"/>
      <c r="D1963" s="2"/>
    </row>
    <row r="1964" spans="3:4" x14ac:dyDescent="0.25">
      <c r="C1964" s="1"/>
      <c r="D1964" s="2"/>
    </row>
    <row r="1965" spans="3:4" x14ac:dyDescent="0.25">
      <c r="C1965" s="1"/>
      <c r="D1965" s="2"/>
    </row>
    <row r="1966" spans="3:4" x14ac:dyDescent="0.25">
      <c r="C1966" s="1"/>
      <c r="D1966" s="2"/>
    </row>
    <row r="1967" spans="3:4" x14ac:dyDescent="0.25">
      <c r="C1967" s="1"/>
      <c r="D1967" s="2"/>
    </row>
    <row r="1968" spans="3:4" x14ac:dyDescent="0.25">
      <c r="C1968" s="1"/>
      <c r="D1968" s="2"/>
    </row>
    <row r="1969" spans="3:4" x14ac:dyDescent="0.25">
      <c r="C1969" s="1"/>
      <c r="D1969" s="2"/>
    </row>
    <row r="1970" spans="3:4" x14ac:dyDescent="0.25">
      <c r="C1970" s="1"/>
      <c r="D1970" s="2"/>
    </row>
    <row r="1971" spans="3:4" x14ac:dyDescent="0.25">
      <c r="C1971" s="1"/>
      <c r="D1971" s="2"/>
    </row>
    <row r="1972" spans="3:4" x14ac:dyDescent="0.25">
      <c r="C1972" s="1"/>
      <c r="D1972" s="2"/>
    </row>
    <row r="1973" spans="3:4" x14ac:dyDescent="0.25">
      <c r="C1973" s="1"/>
      <c r="D1973" s="2"/>
    </row>
    <row r="1974" spans="3:4" x14ac:dyDescent="0.25">
      <c r="C1974" s="1"/>
      <c r="D1974" s="2"/>
    </row>
    <row r="1975" spans="3:4" x14ac:dyDescent="0.25">
      <c r="C1975" s="1"/>
      <c r="D1975" s="2"/>
    </row>
    <row r="1976" spans="3:4" x14ac:dyDescent="0.25">
      <c r="C1976" s="1"/>
      <c r="D1976" s="2"/>
    </row>
    <row r="1977" spans="3:4" x14ac:dyDescent="0.25">
      <c r="C1977" s="1"/>
      <c r="D1977" s="2"/>
    </row>
    <row r="1978" spans="3:4" x14ac:dyDescent="0.25">
      <c r="C1978" s="1"/>
      <c r="D1978" s="2"/>
    </row>
    <row r="1979" spans="3:4" x14ac:dyDescent="0.25">
      <c r="C1979" s="1"/>
      <c r="D1979" s="2"/>
    </row>
    <row r="1980" spans="3:4" x14ac:dyDescent="0.25">
      <c r="C1980" s="1"/>
      <c r="D1980" s="2"/>
    </row>
    <row r="1981" spans="3:4" x14ac:dyDescent="0.25">
      <c r="C1981" s="1"/>
      <c r="D1981" s="2"/>
    </row>
    <row r="1982" spans="3:4" x14ac:dyDescent="0.25">
      <c r="C1982" s="1"/>
      <c r="D1982" s="2"/>
    </row>
    <row r="1983" spans="3:4" x14ac:dyDescent="0.25">
      <c r="C1983" s="1"/>
      <c r="D1983" s="2"/>
    </row>
    <row r="1984" spans="3:4" x14ac:dyDescent="0.25">
      <c r="C1984" s="1"/>
      <c r="D1984" s="2"/>
    </row>
    <row r="1985" spans="3:4" x14ac:dyDescent="0.25">
      <c r="C1985" s="1"/>
      <c r="D1985" s="2"/>
    </row>
    <row r="1986" spans="3:4" x14ac:dyDescent="0.25">
      <c r="C1986" s="1"/>
      <c r="D1986" s="2"/>
    </row>
    <row r="1987" spans="3:4" x14ac:dyDescent="0.25">
      <c r="C1987" s="1"/>
      <c r="D1987" s="2"/>
    </row>
    <row r="1988" spans="3:4" x14ac:dyDescent="0.25">
      <c r="C1988" s="1"/>
      <c r="D1988" s="2"/>
    </row>
    <row r="1989" spans="3:4" x14ac:dyDescent="0.25">
      <c r="C1989" s="1"/>
      <c r="D1989" s="2"/>
    </row>
    <row r="1990" spans="3:4" x14ac:dyDescent="0.25">
      <c r="C1990" s="1"/>
      <c r="D1990" s="2"/>
    </row>
    <row r="1991" spans="3:4" x14ac:dyDescent="0.25">
      <c r="C1991" s="1"/>
      <c r="D1991" s="2"/>
    </row>
    <row r="1992" spans="3:4" x14ac:dyDescent="0.25">
      <c r="C1992" s="1"/>
      <c r="D1992" s="2"/>
    </row>
    <row r="1993" spans="3:4" x14ac:dyDescent="0.25">
      <c r="C1993" s="1"/>
      <c r="D1993" s="2"/>
    </row>
    <row r="1994" spans="3:4" x14ac:dyDescent="0.25">
      <c r="C1994" s="1"/>
      <c r="D1994" s="2"/>
    </row>
    <row r="1995" spans="3:4" x14ac:dyDescent="0.25">
      <c r="C1995" s="1"/>
      <c r="D1995" s="2"/>
    </row>
    <row r="1996" spans="3:4" x14ac:dyDescent="0.25">
      <c r="C1996" s="1"/>
      <c r="D1996" s="2"/>
    </row>
    <row r="1997" spans="3:4" x14ac:dyDescent="0.25">
      <c r="C1997" s="1"/>
      <c r="D1997" s="2"/>
    </row>
    <row r="1998" spans="3:4" x14ac:dyDescent="0.25">
      <c r="C1998" s="1"/>
      <c r="D1998" s="2"/>
    </row>
    <row r="1999" spans="3:4" x14ac:dyDescent="0.25">
      <c r="C1999" s="1"/>
      <c r="D1999" s="2"/>
    </row>
    <row r="2000" spans="3:4" x14ac:dyDescent="0.25">
      <c r="C2000" s="1"/>
      <c r="D2000" s="2"/>
    </row>
    <row r="2001" spans="3:4" x14ac:dyDescent="0.25">
      <c r="C2001" s="1"/>
      <c r="D2001" s="2"/>
    </row>
    <row r="2002" spans="3:4" x14ac:dyDescent="0.25">
      <c r="C2002" s="1"/>
      <c r="D2002" s="2"/>
    </row>
    <row r="2003" spans="3:4" x14ac:dyDescent="0.25">
      <c r="C2003" s="1"/>
      <c r="D2003" s="2"/>
    </row>
    <row r="2004" spans="3:4" x14ac:dyDescent="0.25">
      <c r="C2004" s="1"/>
      <c r="D2004" s="2"/>
    </row>
    <row r="2005" spans="3:4" x14ac:dyDescent="0.25">
      <c r="C2005" s="1"/>
      <c r="D2005" s="2"/>
    </row>
    <row r="2006" spans="3:4" x14ac:dyDescent="0.25">
      <c r="C2006" s="1"/>
      <c r="D2006" s="2"/>
    </row>
    <row r="2007" spans="3:4" x14ac:dyDescent="0.25">
      <c r="C2007" s="1"/>
      <c r="D2007" s="2"/>
    </row>
    <row r="2008" spans="3:4" x14ac:dyDescent="0.25">
      <c r="C2008" s="1"/>
      <c r="D2008" s="2"/>
    </row>
    <row r="2009" spans="3:4" x14ac:dyDescent="0.25">
      <c r="C2009" s="1"/>
      <c r="D2009" s="2"/>
    </row>
    <row r="2010" spans="3:4" x14ac:dyDescent="0.25">
      <c r="C2010" s="1"/>
      <c r="D2010" s="2"/>
    </row>
    <row r="2011" spans="3:4" x14ac:dyDescent="0.25">
      <c r="C2011" s="1"/>
      <c r="D2011" s="2"/>
    </row>
    <row r="2012" spans="3:4" x14ac:dyDescent="0.25">
      <c r="C2012" s="1"/>
      <c r="D2012" s="2"/>
    </row>
    <row r="2013" spans="3:4" x14ac:dyDescent="0.25">
      <c r="C2013" s="1"/>
      <c r="D2013" s="2"/>
    </row>
    <row r="2014" spans="3:4" x14ac:dyDescent="0.25">
      <c r="C2014" s="1"/>
      <c r="D2014" s="2"/>
    </row>
    <row r="2015" spans="3:4" x14ac:dyDescent="0.25">
      <c r="C2015" s="1"/>
      <c r="D2015" s="2"/>
    </row>
    <row r="2016" spans="3:4" x14ac:dyDescent="0.25">
      <c r="C2016" s="1"/>
      <c r="D2016" s="2"/>
    </row>
    <row r="2017" spans="3:4" x14ac:dyDescent="0.25">
      <c r="C2017" s="1"/>
      <c r="D2017" s="2"/>
    </row>
    <row r="2018" spans="3:4" x14ac:dyDescent="0.25">
      <c r="C2018" s="1"/>
      <c r="D2018" s="2"/>
    </row>
    <row r="2019" spans="3:4" x14ac:dyDescent="0.25">
      <c r="C2019" s="1"/>
      <c r="D2019" s="2"/>
    </row>
    <row r="2020" spans="3:4" x14ac:dyDescent="0.25">
      <c r="C2020" s="1"/>
      <c r="D2020" s="2"/>
    </row>
    <row r="2021" spans="3:4" x14ac:dyDescent="0.25">
      <c r="C2021" s="1"/>
      <c r="D2021" s="2"/>
    </row>
    <row r="2022" spans="3:4" x14ac:dyDescent="0.25">
      <c r="C2022" s="1"/>
      <c r="D2022" s="2"/>
    </row>
    <row r="2023" spans="3:4" x14ac:dyDescent="0.25">
      <c r="C2023" s="1"/>
      <c r="D2023" s="2"/>
    </row>
    <row r="2024" spans="3:4" x14ac:dyDescent="0.25">
      <c r="C2024" s="1"/>
      <c r="D2024" s="2"/>
    </row>
    <row r="2025" spans="3:4" x14ac:dyDescent="0.25">
      <c r="C2025" s="1"/>
      <c r="D2025" s="2"/>
    </row>
    <row r="2026" spans="3:4" x14ac:dyDescent="0.25">
      <c r="C2026" s="1"/>
      <c r="D2026" s="2"/>
    </row>
    <row r="2027" spans="3:4" x14ac:dyDescent="0.25">
      <c r="C2027" s="1"/>
      <c r="D2027" s="2"/>
    </row>
    <row r="2028" spans="3:4" x14ac:dyDescent="0.25">
      <c r="C2028" s="1"/>
      <c r="D2028" s="2"/>
    </row>
    <row r="2029" spans="3:4" x14ac:dyDescent="0.25">
      <c r="C2029" s="1"/>
      <c r="D2029" s="2"/>
    </row>
    <row r="2030" spans="3:4" x14ac:dyDescent="0.25">
      <c r="C2030" s="1"/>
      <c r="D2030" s="2"/>
    </row>
    <row r="2031" spans="3:4" x14ac:dyDescent="0.25">
      <c r="C2031" s="1"/>
      <c r="D2031" s="2"/>
    </row>
    <row r="2032" spans="3:4" x14ac:dyDescent="0.25">
      <c r="C2032" s="1"/>
      <c r="D2032" s="2"/>
    </row>
    <row r="2033" spans="3:4" x14ac:dyDescent="0.25">
      <c r="C2033" s="1"/>
      <c r="D2033" s="2"/>
    </row>
    <row r="2034" spans="3:4" x14ac:dyDescent="0.25">
      <c r="C2034" s="1"/>
      <c r="D2034" s="2"/>
    </row>
    <row r="2035" spans="3:4" x14ac:dyDescent="0.25">
      <c r="C2035" s="1"/>
      <c r="D2035" s="2"/>
    </row>
    <row r="2036" spans="3:4" x14ac:dyDescent="0.25">
      <c r="C2036" s="1"/>
      <c r="D2036" s="2"/>
    </row>
    <row r="2037" spans="3:4" x14ac:dyDescent="0.25">
      <c r="C2037" s="1"/>
      <c r="D2037" s="2"/>
    </row>
    <row r="2038" spans="3:4" x14ac:dyDescent="0.25">
      <c r="C2038" s="1"/>
      <c r="D2038" s="2"/>
    </row>
    <row r="2039" spans="3:4" x14ac:dyDescent="0.25">
      <c r="C2039" s="1"/>
      <c r="D2039" s="2"/>
    </row>
    <row r="2040" spans="3:4" x14ac:dyDescent="0.25">
      <c r="C2040" s="1"/>
      <c r="D2040" s="2"/>
    </row>
    <row r="2041" spans="3:4" x14ac:dyDescent="0.25">
      <c r="C2041" s="1"/>
      <c r="D2041" s="2"/>
    </row>
    <row r="2042" spans="3:4" x14ac:dyDescent="0.25">
      <c r="C2042" s="1"/>
      <c r="D2042" s="2"/>
    </row>
    <row r="2043" spans="3:4" x14ac:dyDescent="0.25">
      <c r="C2043" s="1"/>
      <c r="D2043" s="2"/>
    </row>
    <row r="2044" spans="3:4" x14ac:dyDescent="0.25">
      <c r="C2044" s="1"/>
      <c r="D2044" s="2"/>
    </row>
    <row r="2045" spans="3:4" x14ac:dyDescent="0.25">
      <c r="C2045" s="1"/>
      <c r="D2045" s="2"/>
    </row>
    <row r="2046" spans="3:4" x14ac:dyDescent="0.25">
      <c r="C2046" s="1"/>
      <c r="D2046" s="2"/>
    </row>
    <row r="2047" spans="3:4" x14ac:dyDescent="0.25">
      <c r="C2047" s="1"/>
      <c r="D2047" s="2"/>
    </row>
    <row r="2048" spans="3:4" x14ac:dyDescent="0.25">
      <c r="C2048" s="1"/>
      <c r="D2048" s="2"/>
    </row>
    <row r="2049" spans="3:4" x14ac:dyDescent="0.25">
      <c r="C2049" s="1"/>
      <c r="D2049" s="2"/>
    </row>
    <row r="2050" spans="3:4" x14ac:dyDescent="0.25">
      <c r="C2050" s="1"/>
      <c r="D2050" s="2"/>
    </row>
    <row r="2051" spans="3:4" x14ac:dyDescent="0.25">
      <c r="C2051" s="1"/>
      <c r="D2051" s="2"/>
    </row>
    <row r="2052" spans="3:4" x14ac:dyDescent="0.25">
      <c r="C2052" s="1"/>
      <c r="D2052" s="2"/>
    </row>
    <row r="2053" spans="3:4" x14ac:dyDescent="0.25">
      <c r="C2053" s="1"/>
      <c r="D2053" s="2"/>
    </row>
    <row r="2054" spans="3:4" x14ac:dyDescent="0.25">
      <c r="C2054" s="1"/>
      <c r="D2054" s="2"/>
    </row>
    <row r="2055" spans="3:4" x14ac:dyDescent="0.25">
      <c r="C2055" s="1"/>
      <c r="D2055" s="2"/>
    </row>
    <row r="2056" spans="3:4" x14ac:dyDescent="0.25">
      <c r="C2056" s="1"/>
      <c r="D2056" s="2"/>
    </row>
    <row r="2057" spans="3:4" x14ac:dyDescent="0.25">
      <c r="C2057" s="1"/>
      <c r="D2057" s="2"/>
    </row>
    <row r="2058" spans="3:4" x14ac:dyDescent="0.25">
      <c r="C2058" s="1"/>
      <c r="D2058" s="2"/>
    </row>
    <row r="2059" spans="3:4" x14ac:dyDescent="0.25">
      <c r="C2059" s="1"/>
      <c r="D2059" s="2"/>
    </row>
    <row r="2060" spans="3:4" x14ac:dyDescent="0.25">
      <c r="C2060" s="1"/>
      <c r="D2060" s="2"/>
    </row>
    <row r="2061" spans="3:4" x14ac:dyDescent="0.25">
      <c r="C2061" s="1"/>
      <c r="D2061" s="2"/>
    </row>
    <row r="2062" spans="3:4" x14ac:dyDescent="0.25">
      <c r="C2062" s="1"/>
      <c r="D2062" s="2"/>
    </row>
    <row r="2063" spans="3:4" x14ac:dyDescent="0.25">
      <c r="C2063" s="1"/>
      <c r="D2063" s="2"/>
    </row>
    <row r="2064" spans="3:4" x14ac:dyDescent="0.25">
      <c r="C2064" s="1"/>
      <c r="D2064" s="2"/>
    </row>
    <row r="2065" spans="3:4" x14ac:dyDescent="0.25">
      <c r="C2065" s="1"/>
      <c r="D2065" s="2"/>
    </row>
    <row r="2066" spans="3:4" x14ac:dyDescent="0.25">
      <c r="C2066" s="1"/>
      <c r="D2066" s="2"/>
    </row>
    <row r="2067" spans="3:4" x14ac:dyDescent="0.25">
      <c r="C2067" s="1"/>
      <c r="D2067" s="2"/>
    </row>
    <row r="2068" spans="3:4" x14ac:dyDescent="0.25">
      <c r="C2068" s="1"/>
      <c r="D2068" s="2"/>
    </row>
    <row r="2069" spans="3:4" x14ac:dyDescent="0.25">
      <c r="C2069" s="1"/>
      <c r="D2069" s="2"/>
    </row>
    <row r="2070" spans="3:4" x14ac:dyDescent="0.25">
      <c r="C2070" s="1"/>
      <c r="D2070" s="2"/>
    </row>
    <row r="2071" spans="3:4" x14ac:dyDescent="0.25">
      <c r="C2071" s="1"/>
      <c r="D2071" s="2"/>
    </row>
    <row r="2072" spans="3:4" x14ac:dyDescent="0.25">
      <c r="C2072" s="1"/>
      <c r="D2072" s="2"/>
    </row>
    <row r="2073" spans="3:4" x14ac:dyDescent="0.25">
      <c r="C2073" s="1"/>
      <c r="D2073" s="2"/>
    </row>
    <row r="2074" spans="3:4" x14ac:dyDescent="0.25">
      <c r="C2074" s="1"/>
      <c r="D2074" s="2"/>
    </row>
    <row r="2075" spans="3:4" x14ac:dyDescent="0.25">
      <c r="C2075" s="1"/>
      <c r="D2075" s="2"/>
    </row>
    <row r="2076" spans="3:4" x14ac:dyDescent="0.25">
      <c r="C2076" s="1"/>
      <c r="D2076" s="2"/>
    </row>
    <row r="2077" spans="3:4" x14ac:dyDescent="0.25">
      <c r="C2077" s="1"/>
      <c r="D2077" s="2"/>
    </row>
    <row r="2078" spans="3:4" x14ac:dyDescent="0.25">
      <c r="C2078" s="1"/>
      <c r="D2078" s="2"/>
    </row>
    <row r="2079" spans="3:4" x14ac:dyDescent="0.25">
      <c r="C2079" s="1"/>
      <c r="D2079" s="2"/>
    </row>
    <row r="2080" spans="3:4" x14ac:dyDescent="0.25">
      <c r="C2080" s="1"/>
      <c r="D2080" s="2"/>
    </row>
    <row r="2081" spans="3:4" x14ac:dyDescent="0.25">
      <c r="C2081" s="1"/>
      <c r="D2081" s="2"/>
    </row>
    <row r="2082" spans="3:4" x14ac:dyDescent="0.25">
      <c r="C2082" s="1"/>
      <c r="D2082" s="2"/>
    </row>
    <row r="2083" spans="3:4" x14ac:dyDescent="0.25">
      <c r="C2083" s="1"/>
      <c r="D2083" s="2"/>
    </row>
    <row r="2084" spans="3:4" x14ac:dyDescent="0.25">
      <c r="C2084" s="1"/>
      <c r="D2084" s="2"/>
    </row>
    <row r="2085" spans="3:4" x14ac:dyDescent="0.25">
      <c r="C2085" s="1"/>
      <c r="D2085" s="2"/>
    </row>
    <row r="2086" spans="3:4" x14ac:dyDescent="0.25">
      <c r="C2086" s="1"/>
      <c r="D2086" s="2"/>
    </row>
    <row r="2087" spans="3:4" x14ac:dyDescent="0.25">
      <c r="C2087" s="1"/>
      <c r="D2087" s="2"/>
    </row>
    <row r="2088" spans="3:4" x14ac:dyDescent="0.25">
      <c r="C2088" s="1"/>
      <c r="D2088" s="2"/>
    </row>
    <row r="2089" spans="3:4" x14ac:dyDescent="0.25">
      <c r="C2089" s="1"/>
      <c r="D2089" s="2"/>
    </row>
    <row r="2090" spans="3:4" x14ac:dyDescent="0.25">
      <c r="C2090" s="1"/>
      <c r="D2090" s="2"/>
    </row>
    <row r="2091" spans="3:4" x14ac:dyDescent="0.25">
      <c r="C2091" s="1"/>
      <c r="D2091" s="2"/>
    </row>
    <row r="2092" spans="3:4" x14ac:dyDescent="0.25">
      <c r="C2092" s="1"/>
      <c r="D2092" s="2"/>
    </row>
    <row r="2093" spans="3:4" x14ac:dyDescent="0.25">
      <c r="C2093" s="1"/>
      <c r="D2093" s="2"/>
    </row>
    <row r="2094" spans="3:4" x14ac:dyDescent="0.25">
      <c r="C2094" s="1"/>
      <c r="D2094" s="2"/>
    </row>
    <row r="2095" spans="3:4" x14ac:dyDescent="0.25">
      <c r="C2095" s="1"/>
      <c r="D2095" s="2"/>
    </row>
    <row r="2096" spans="3:4" x14ac:dyDescent="0.25">
      <c r="C2096" s="1"/>
      <c r="D2096" s="2"/>
    </row>
    <row r="2097" spans="3:4" x14ac:dyDescent="0.25">
      <c r="C2097" s="1"/>
      <c r="D2097" s="2"/>
    </row>
    <row r="2098" spans="3:4" x14ac:dyDescent="0.25">
      <c r="C2098" s="1"/>
      <c r="D2098" s="2"/>
    </row>
    <row r="2099" spans="3:4" x14ac:dyDescent="0.25">
      <c r="C2099" s="1"/>
      <c r="D2099" s="2"/>
    </row>
    <row r="2100" spans="3:4" x14ac:dyDescent="0.25">
      <c r="C2100" s="1"/>
      <c r="D2100" s="2"/>
    </row>
    <row r="2101" spans="3:4" x14ac:dyDescent="0.25">
      <c r="C2101" s="1"/>
      <c r="D2101" s="2"/>
    </row>
    <row r="2102" spans="3:4" x14ac:dyDescent="0.25">
      <c r="C2102" s="1"/>
      <c r="D2102" s="2"/>
    </row>
    <row r="2103" spans="3:4" x14ac:dyDescent="0.25">
      <c r="C2103" s="1"/>
      <c r="D2103" s="2"/>
    </row>
    <row r="2104" spans="3:4" x14ac:dyDescent="0.25">
      <c r="C2104" s="1"/>
      <c r="D2104" s="2"/>
    </row>
    <row r="2105" spans="3:4" x14ac:dyDescent="0.25">
      <c r="C2105" s="1"/>
      <c r="D2105" s="2"/>
    </row>
    <row r="2106" spans="3:4" x14ac:dyDescent="0.25">
      <c r="C2106" s="1"/>
      <c r="D2106" s="2"/>
    </row>
    <row r="2107" spans="3:4" x14ac:dyDescent="0.25">
      <c r="C2107" s="1"/>
      <c r="D2107" s="2"/>
    </row>
    <row r="2108" spans="3:4" x14ac:dyDescent="0.25">
      <c r="C2108" s="1"/>
      <c r="D2108" s="2"/>
    </row>
    <row r="2109" spans="3:4" x14ac:dyDescent="0.25">
      <c r="C2109" s="1"/>
      <c r="D2109" s="2"/>
    </row>
    <row r="2110" spans="3:4" x14ac:dyDescent="0.25">
      <c r="C2110" s="1"/>
      <c r="D2110" s="2"/>
    </row>
    <row r="2111" spans="3:4" x14ac:dyDescent="0.25">
      <c r="C2111" s="1"/>
      <c r="D2111" s="2"/>
    </row>
    <row r="2112" spans="3:4" x14ac:dyDescent="0.25">
      <c r="C2112" s="1"/>
      <c r="D2112" s="2"/>
    </row>
    <row r="2113" spans="3:4" x14ac:dyDescent="0.25">
      <c r="C2113" s="1"/>
      <c r="D2113" s="2"/>
    </row>
    <row r="2114" spans="3:4" x14ac:dyDescent="0.25">
      <c r="C2114" s="1"/>
      <c r="D2114" s="2"/>
    </row>
    <row r="2115" spans="3:4" x14ac:dyDescent="0.25">
      <c r="C2115" s="1"/>
      <c r="D2115" s="2"/>
    </row>
    <row r="2116" spans="3:4" x14ac:dyDescent="0.25">
      <c r="C2116" s="1"/>
      <c r="D2116" s="2"/>
    </row>
    <row r="2117" spans="3:4" x14ac:dyDescent="0.25">
      <c r="C2117" s="1"/>
      <c r="D2117" s="2"/>
    </row>
    <row r="2118" spans="3:4" x14ac:dyDescent="0.25">
      <c r="C2118" s="1"/>
      <c r="D2118" s="2"/>
    </row>
    <row r="2119" spans="3:4" x14ac:dyDescent="0.25">
      <c r="C2119" s="1"/>
      <c r="D2119" s="2"/>
    </row>
    <row r="2120" spans="3:4" x14ac:dyDescent="0.25">
      <c r="C2120" s="1"/>
      <c r="D2120" s="2"/>
    </row>
    <row r="2121" spans="3:4" x14ac:dyDescent="0.25">
      <c r="C2121" s="1"/>
      <c r="D2121" s="2"/>
    </row>
    <row r="2122" spans="3:4" x14ac:dyDescent="0.25">
      <c r="C2122" s="1"/>
      <c r="D2122" s="2"/>
    </row>
    <row r="2123" spans="3:4" x14ac:dyDescent="0.25">
      <c r="C2123" s="1"/>
      <c r="D2123" s="2"/>
    </row>
    <row r="2124" spans="3:4" x14ac:dyDescent="0.25">
      <c r="C2124" s="1"/>
      <c r="D2124" s="2"/>
    </row>
    <row r="2125" spans="3:4" x14ac:dyDescent="0.25">
      <c r="C2125" s="1"/>
      <c r="D2125" s="2"/>
    </row>
    <row r="2126" spans="3:4" x14ac:dyDescent="0.25">
      <c r="C2126" s="1"/>
      <c r="D2126" s="2"/>
    </row>
    <row r="2127" spans="3:4" x14ac:dyDescent="0.25">
      <c r="C2127" s="1"/>
      <c r="D2127" s="2"/>
    </row>
    <row r="2128" spans="3:4" x14ac:dyDescent="0.25">
      <c r="C2128" s="1"/>
      <c r="D2128" s="2"/>
    </row>
    <row r="2129" spans="3:4" x14ac:dyDescent="0.25">
      <c r="C2129" s="1"/>
      <c r="D2129" s="2"/>
    </row>
    <row r="2130" spans="3:4" x14ac:dyDescent="0.25">
      <c r="C2130" s="1"/>
      <c r="D2130" s="2"/>
    </row>
    <row r="2131" spans="3:4" x14ac:dyDescent="0.25">
      <c r="C2131" s="1"/>
      <c r="D2131" s="2"/>
    </row>
    <row r="2132" spans="3:4" x14ac:dyDescent="0.25">
      <c r="C2132" s="1"/>
      <c r="D2132" s="2"/>
    </row>
    <row r="2133" spans="3:4" x14ac:dyDescent="0.25">
      <c r="C2133" s="1"/>
      <c r="D2133" s="2"/>
    </row>
    <row r="2134" spans="3:4" x14ac:dyDescent="0.25">
      <c r="C2134" s="1"/>
      <c r="D2134" s="2"/>
    </row>
    <row r="2135" spans="3:4" x14ac:dyDescent="0.25">
      <c r="C2135" s="1"/>
      <c r="D2135" s="2"/>
    </row>
    <row r="2136" spans="3:4" x14ac:dyDescent="0.25">
      <c r="C2136" s="1"/>
      <c r="D2136" s="2"/>
    </row>
    <row r="2137" spans="3:4" x14ac:dyDescent="0.25">
      <c r="C2137" s="1"/>
      <c r="D2137" s="2"/>
    </row>
    <row r="2138" spans="3:4" x14ac:dyDescent="0.25">
      <c r="C2138" s="1"/>
      <c r="D2138" s="2"/>
    </row>
    <row r="2139" spans="3:4" x14ac:dyDescent="0.25">
      <c r="C2139" s="1"/>
      <c r="D2139" s="2"/>
    </row>
    <row r="2140" spans="3:4" x14ac:dyDescent="0.25">
      <c r="C2140" s="1"/>
      <c r="D2140" s="2"/>
    </row>
    <row r="2141" spans="3:4" x14ac:dyDescent="0.25">
      <c r="C2141" s="1"/>
      <c r="D2141" s="2"/>
    </row>
    <row r="2142" spans="3:4" x14ac:dyDescent="0.25">
      <c r="C2142" s="1"/>
      <c r="D2142" s="2"/>
    </row>
    <row r="2143" spans="3:4" x14ac:dyDescent="0.25">
      <c r="C2143" s="1"/>
      <c r="D2143" s="2"/>
    </row>
    <row r="2144" spans="3:4" x14ac:dyDescent="0.25">
      <c r="C2144" s="1"/>
      <c r="D2144" s="2"/>
    </row>
    <row r="2145" spans="3:4" x14ac:dyDescent="0.25">
      <c r="C2145" s="1"/>
      <c r="D2145" s="2"/>
    </row>
    <row r="2146" spans="3:4" x14ac:dyDescent="0.25">
      <c r="C2146" s="1"/>
      <c r="D2146" s="2"/>
    </row>
    <row r="2147" spans="3:4" x14ac:dyDescent="0.25">
      <c r="C2147" s="1"/>
      <c r="D2147" s="2"/>
    </row>
    <row r="2148" spans="3:4" x14ac:dyDescent="0.25">
      <c r="C2148" s="1"/>
      <c r="D2148" s="2"/>
    </row>
    <row r="2149" spans="3:4" x14ac:dyDescent="0.25">
      <c r="C2149" s="1"/>
      <c r="D2149" s="2"/>
    </row>
    <row r="2150" spans="3:4" x14ac:dyDescent="0.25">
      <c r="C2150" s="1"/>
      <c r="D2150" s="2"/>
    </row>
    <row r="2151" spans="3:4" x14ac:dyDescent="0.25">
      <c r="C2151" s="1"/>
      <c r="D2151" s="2"/>
    </row>
    <row r="2152" spans="3:4" x14ac:dyDescent="0.25">
      <c r="C2152" s="1"/>
      <c r="D2152" s="2"/>
    </row>
    <row r="2153" spans="3:4" x14ac:dyDescent="0.25">
      <c r="C2153" s="1"/>
      <c r="D2153" s="2"/>
    </row>
    <row r="2154" spans="3:4" x14ac:dyDescent="0.25">
      <c r="C2154" s="1"/>
      <c r="D2154" s="2"/>
    </row>
    <row r="2155" spans="3:4" x14ac:dyDescent="0.25">
      <c r="C2155" s="1"/>
      <c r="D2155" s="2"/>
    </row>
    <row r="2156" spans="3:4" x14ac:dyDescent="0.25">
      <c r="C2156" s="1"/>
      <c r="D2156" s="2"/>
    </row>
    <row r="2157" spans="3:4" x14ac:dyDescent="0.25">
      <c r="C2157" s="1"/>
      <c r="D2157" s="2"/>
    </row>
    <row r="2158" spans="3:4" x14ac:dyDescent="0.25">
      <c r="C2158" s="1"/>
      <c r="D2158" s="2"/>
    </row>
    <row r="2159" spans="3:4" x14ac:dyDescent="0.25">
      <c r="C2159" s="1"/>
      <c r="D2159" s="2"/>
    </row>
    <row r="2160" spans="3:4" x14ac:dyDescent="0.25">
      <c r="C2160" s="1"/>
      <c r="D2160" s="2"/>
    </row>
    <row r="2161" spans="3:4" x14ac:dyDescent="0.25">
      <c r="C2161" s="1"/>
      <c r="D2161" s="2"/>
    </row>
    <row r="2162" spans="3:4" x14ac:dyDescent="0.25">
      <c r="C2162" s="1"/>
      <c r="D2162" s="2"/>
    </row>
    <row r="2163" spans="3:4" x14ac:dyDescent="0.25">
      <c r="C2163" s="1"/>
      <c r="D2163" s="2"/>
    </row>
    <row r="2164" spans="3:4" x14ac:dyDescent="0.25">
      <c r="C2164" s="1"/>
      <c r="D2164" s="2"/>
    </row>
    <row r="2165" spans="3:4" x14ac:dyDescent="0.25">
      <c r="C2165" s="1"/>
      <c r="D2165" s="2"/>
    </row>
    <row r="2166" spans="3:4" x14ac:dyDescent="0.25">
      <c r="C2166" s="1"/>
      <c r="D2166" s="2"/>
    </row>
    <row r="2167" spans="3:4" x14ac:dyDescent="0.25">
      <c r="C2167" s="1"/>
      <c r="D2167" s="2"/>
    </row>
    <row r="2168" spans="3:4" x14ac:dyDescent="0.25">
      <c r="C2168" s="1"/>
      <c r="D2168" s="2"/>
    </row>
    <row r="2169" spans="3:4" x14ac:dyDescent="0.25">
      <c r="C2169" s="1"/>
      <c r="D2169" s="2"/>
    </row>
    <row r="2170" spans="3:4" x14ac:dyDescent="0.25">
      <c r="C2170" s="1"/>
      <c r="D2170" s="2"/>
    </row>
    <row r="2171" spans="3:4" x14ac:dyDescent="0.25">
      <c r="C2171" s="1"/>
      <c r="D2171" s="2"/>
    </row>
    <row r="2172" spans="3:4" x14ac:dyDescent="0.25">
      <c r="C2172" s="1"/>
      <c r="D2172" s="2"/>
    </row>
    <row r="2173" spans="3:4" x14ac:dyDescent="0.25">
      <c r="C2173" s="1"/>
      <c r="D2173" s="2"/>
    </row>
    <row r="2174" spans="3:4" x14ac:dyDescent="0.25">
      <c r="C2174" s="1"/>
      <c r="D2174" s="2"/>
    </row>
    <row r="2175" spans="3:4" x14ac:dyDescent="0.25">
      <c r="C2175" s="1"/>
      <c r="D2175" s="2"/>
    </row>
    <row r="2176" spans="3:4" x14ac:dyDescent="0.25">
      <c r="C2176" s="1"/>
      <c r="D2176" s="2"/>
    </row>
    <row r="2177" spans="3:4" x14ac:dyDescent="0.25">
      <c r="C2177" s="1"/>
      <c r="D2177" s="2"/>
    </row>
    <row r="2178" spans="3:4" x14ac:dyDescent="0.25">
      <c r="C2178" s="1"/>
      <c r="D2178" s="2"/>
    </row>
    <row r="2179" spans="3:4" x14ac:dyDescent="0.25">
      <c r="C2179" s="1"/>
      <c r="D2179" s="2"/>
    </row>
    <row r="2180" spans="3:4" x14ac:dyDescent="0.25">
      <c r="C2180" s="1"/>
      <c r="D2180" s="2"/>
    </row>
    <row r="2181" spans="3:4" x14ac:dyDescent="0.25">
      <c r="C2181" s="1"/>
      <c r="D2181" s="2"/>
    </row>
    <row r="2182" spans="3:4" x14ac:dyDescent="0.25">
      <c r="C2182" s="1"/>
      <c r="D2182" s="2"/>
    </row>
    <row r="2183" spans="3:4" x14ac:dyDescent="0.25">
      <c r="C2183" s="1"/>
      <c r="D2183" s="2"/>
    </row>
    <row r="2184" spans="3:4" x14ac:dyDescent="0.25">
      <c r="C2184" s="1"/>
      <c r="D2184" s="2"/>
    </row>
    <row r="2185" spans="3:4" x14ac:dyDescent="0.25">
      <c r="C2185" s="1"/>
      <c r="D2185" s="2"/>
    </row>
    <row r="2186" spans="3:4" x14ac:dyDescent="0.25">
      <c r="C2186" s="1"/>
      <c r="D2186" s="2"/>
    </row>
    <row r="2187" spans="3:4" x14ac:dyDescent="0.25">
      <c r="C2187" s="1"/>
      <c r="D2187" s="2"/>
    </row>
    <row r="2188" spans="3:4" x14ac:dyDescent="0.25">
      <c r="C2188" s="1"/>
      <c r="D2188" s="2"/>
    </row>
    <row r="2189" spans="3:4" x14ac:dyDescent="0.25">
      <c r="C2189" s="1"/>
      <c r="D2189" s="2"/>
    </row>
    <row r="2190" spans="3:4" x14ac:dyDescent="0.25">
      <c r="C2190" s="1"/>
      <c r="D2190" s="2"/>
    </row>
    <row r="2191" spans="3:4" x14ac:dyDescent="0.25">
      <c r="C2191" s="1"/>
      <c r="D2191" s="2"/>
    </row>
    <row r="2192" spans="3:4" x14ac:dyDescent="0.25">
      <c r="C2192" s="1"/>
      <c r="D2192" s="2"/>
    </row>
    <row r="2193" spans="3:4" x14ac:dyDescent="0.25">
      <c r="C2193" s="1"/>
      <c r="D2193" s="2"/>
    </row>
    <row r="2194" spans="3:4" x14ac:dyDescent="0.25">
      <c r="C2194" s="1"/>
      <c r="D2194" s="2"/>
    </row>
    <row r="2195" spans="3:4" x14ac:dyDescent="0.25">
      <c r="C2195" s="1"/>
      <c r="D2195" s="2"/>
    </row>
    <row r="2196" spans="3:4" x14ac:dyDescent="0.25">
      <c r="C2196" s="1"/>
      <c r="D2196" s="2"/>
    </row>
    <row r="2197" spans="3:4" x14ac:dyDescent="0.25">
      <c r="C2197" s="1"/>
      <c r="D2197" s="2"/>
    </row>
    <row r="2198" spans="3:4" x14ac:dyDescent="0.25">
      <c r="C2198" s="1"/>
      <c r="D2198" s="2"/>
    </row>
    <row r="2199" spans="3:4" x14ac:dyDescent="0.25">
      <c r="C2199" s="1"/>
      <c r="D2199" s="2"/>
    </row>
    <row r="2200" spans="3:4" x14ac:dyDescent="0.25">
      <c r="C2200" s="1"/>
      <c r="D2200" s="2"/>
    </row>
    <row r="2201" spans="3:4" x14ac:dyDescent="0.25">
      <c r="C2201" s="1"/>
      <c r="D2201" s="2"/>
    </row>
    <row r="2202" spans="3:4" x14ac:dyDescent="0.25">
      <c r="C2202" s="1"/>
      <c r="D2202" s="2"/>
    </row>
    <row r="2203" spans="3:4" x14ac:dyDescent="0.25">
      <c r="C2203" s="1"/>
      <c r="D2203" s="2"/>
    </row>
    <row r="2204" spans="3:4" x14ac:dyDescent="0.25">
      <c r="C2204" s="1"/>
      <c r="D2204" s="2"/>
    </row>
    <row r="2205" spans="3:4" x14ac:dyDescent="0.25">
      <c r="C2205" s="1"/>
      <c r="D2205" s="2"/>
    </row>
    <row r="2206" spans="3:4" x14ac:dyDescent="0.25">
      <c r="C2206" s="1"/>
      <c r="D2206" s="2"/>
    </row>
    <row r="2207" spans="3:4" x14ac:dyDescent="0.25">
      <c r="C2207" s="1"/>
      <c r="D2207" s="2"/>
    </row>
    <row r="2208" spans="3:4" x14ac:dyDescent="0.25">
      <c r="C2208" s="1"/>
      <c r="D2208" s="2"/>
    </row>
    <row r="2209" spans="3:4" x14ac:dyDescent="0.25">
      <c r="C2209" s="1"/>
      <c r="D2209" s="2"/>
    </row>
    <row r="2210" spans="3:4" x14ac:dyDescent="0.25">
      <c r="C2210" s="1"/>
      <c r="D2210" s="2"/>
    </row>
    <row r="2211" spans="3:4" x14ac:dyDescent="0.25">
      <c r="C2211" s="1"/>
      <c r="D2211" s="2"/>
    </row>
    <row r="2212" spans="3:4" x14ac:dyDescent="0.25">
      <c r="C2212" s="1"/>
      <c r="D2212" s="2"/>
    </row>
    <row r="2213" spans="3:4" x14ac:dyDescent="0.25">
      <c r="C2213" s="1"/>
      <c r="D2213" s="2"/>
    </row>
    <row r="2214" spans="3:4" x14ac:dyDescent="0.25">
      <c r="C2214" s="1"/>
      <c r="D2214" s="2"/>
    </row>
    <row r="2215" spans="3:4" x14ac:dyDescent="0.25">
      <c r="C2215" s="1"/>
      <c r="D2215" s="2"/>
    </row>
    <row r="2216" spans="3:4" x14ac:dyDescent="0.25">
      <c r="C2216" s="1"/>
      <c r="D2216" s="2"/>
    </row>
    <row r="2217" spans="3:4" x14ac:dyDescent="0.25">
      <c r="C2217" s="1"/>
      <c r="D2217" s="2"/>
    </row>
    <row r="2218" spans="3:4" x14ac:dyDescent="0.25">
      <c r="C2218" s="1"/>
      <c r="D2218" s="2"/>
    </row>
    <row r="2219" spans="3:4" x14ac:dyDescent="0.25">
      <c r="C2219" s="1"/>
      <c r="D2219" s="2"/>
    </row>
    <row r="2220" spans="3:4" x14ac:dyDescent="0.25">
      <c r="C2220" s="1"/>
      <c r="D2220" s="2"/>
    </row>
    <row r="2221" spans="3:4" x14ac:dyDescent="0.25">
      <c r="C2221" s="1"/>
      <c r="D2221" s="2"/>
    </row>
    <row r="2222" spans="3:4" x14ac:dyDescent="0.25">
      <c r="C2222" s="1"/>
      <c r="D2222" s="2"/>
    </row>
    <row r="2223" spans="3:4" x14ac:dyDescent="0.25">
      <c r="C2223" s="1"/>
      <c r="D2223" s="2"/>
    </row>
    <row r="2224" spans="3:4" x14ac:dyDescent="0.25">
      <c r="C2224" s="1"/>
      <c r="D2224" s="2"/>
    </row>
    <row r="2225" spans="3:4" x14ac:dyDescent="0.25">
      <c r="C2225" s="1"/>
      <c r="D2225" s="2"/>
    </row>
    <row r="2226" spans="3:4" x14ac:dyDescent="0.25">
      <c r="C2226" s="1"/>
      <c r="D2226" s="2"/>
    </row>
    <row r="2227" spans="3:4" x14ac:dyDescent="0.25">
      <c r="C2227" s="1"/>
      <c r="D2227" s="2"/>
    </row>
    <row r="2228" spans="3:4" x14ac:dyDescent="0.25">
      <c r="C2228" s="1"/>
      <c r="D2228" s="2"/>
    </row>
    <row r="2229" spans="3:4" x14ac:dyDescent="0.25">
      <c r="C2229" s="1"/>
      <c r="D2229" s="2"/>
    </row>
    <row r="2230" spans="3:4" x14ac:dyDescent="0.25">
      <c r="C2230" s="1"/>
      <c r="D2230" s="2"/>
    </row>
    <row r="2231" spans="3:4" x14ac:dyDescent="0.25">
      <c r="C2231" s="1"/>
      <c r="D2231" s="2"/>
    </row>
    <row r="2232" spans="3:4" x14ac:dyDescent="0.25">
      <c r="C2232" s="1"/>
      <c r="D2232" s="2"/>
    </row>
    <row r="2233" spans="3:4" x14ac:dyDescent="0.25">
      <c r="C2233" s="1"/>
      <c r="D2233" s="2"/>
    </row>
    <row r="2234" spans="3:4" x14ac:dyDescent="0.25">
      <c r="C2234" s="1"/>
      <c r="D2234" s="2"/>
    </row>
    <row r="2235" spans="3:4" x14ac:dyDescent="0.25">
      <c r="C2235" s="1"/>
      <c r="D2235" s="2"/>
    </row>
    <row r="2236" spans="3:4" x14ac:dyDescent="0.25">
      <c r="C2236" s="1"/>
      <c r="D2236" s="2"/>
    </row>
    <row r="2237" spans="3:4" x14ac:dyDescent="0.25">
      <c r="C2237" s="1"/>
      <c r="D2237" s="2"/>
    </row>
    <row r="2238" spans="3:4" x14ac:dyDescent="0.25">
      <c r="C2238" s="1"/>
      <c r="D2238" s="2"/>
    </row>
    <row r="2239" spans="3:4" x14ac:dyDescent="0.25">
      <c r="C2239" s="1"/>
      <c r="D2239" s="2"/>
    </row>
    <row r="2240" spans="3:4" x14ac:dyDescent="0.25">
      <c r="C2240" s="1"/>
      <c r="D2240" s="2"/>
    </row>
    <row r="2241" spans="3:4" x14ac:dyDescent="0.25">
      <c r="C2241" s="1"/>
      <c r="D2241" s="2"/>
    </row>
    <row r="2242" spans="3:4" x14ac:dyDescent="0.25">
      <c r="C2242" s="1"/>
      <c r="D2242" s="2"/>
    </row>
    <row r="2243" spans="3:4" x14ac:dyDescent="0.25">
      <c r="C2243" s="1"/>
      <c r="D2243" s="2"/>
    </row>
    <row r="2244" spans="3:4" x14ac:dyDescent="0.25">
      <c r="C2244" s="1"/>
      <c r="D2244" s="2"/>
    </row>
    <row r="2245" spans="3:4" x14ac:dyDescent="0.25">
      <c r="C2245" s="1"/>
      <c r="D2245" s="2"/>
    </row>
    <row r="2246" spans="3:4" x14ac:dyDescent="0.25">
      <c r="C2246" s="1"/>
      <c r="D2246" s="2"/>
    </row>
    <row r="2247" spans="3:4" x14ac:dyDescent="0.25">
      <c r="C2247" s="1"/>
      <c r="D2247" s="2"/>
    </row>
    <row r="2248" spans="3:4" x14ac:dyDescent="0.25">
      <c r="C2248" s="1"/>
      <c r="D2248" s="2"/>
    </row>
    <row r="2249" spans="3:4" x14ac:dyDescent="0.25">
      <c r="C2249" s="1"/>
      <c r="D2249" s="2"/>
    </row>
    <row r="2250" spans="3:4" x14ac:dyDescent="0.25">
      <c r="C2250" s="1"/>
      <c r="D2250" s="2"/>
    </row>
    <row r="2251" spans="3:4" x14ac:dyDescent="0.25">
      <c r="C2251" s="1"/>
      <c r="D2251" s="2"/>
    </row>
    <row r="2252" spans="3:4" x14ac:dyDescent="0.25">
      <c r="C2252" s="1"/>
      <c r="D2252" s="2"/>
    </row>
    <row r="2253" spans="3:4" x14ac:dyDescent="0.25">
      <c r="C2253" s="1"/>
      <c r="D2253" s="2"/>
    </row>
    <row r="2254" spans="3:4" x14ac:dyDescent="0.25">
      <c r="C2254" s="1"/>
      <c r="D2254" s="2"/>
    </row>
    <row r="2255" spans="3:4" x14ac:dyDescent="0.25">
      <c r="C2255" s="1"/>
      <c r="D2255" s="2"/>
    </row>
    <row r="2256" spans="3:4" x14ac:dyDescent="0.25">
      <c r="C2256" s="1"/>
      <c r="D2256" s="2"/>
    </row>
    <row r="2257" spans="3:4" x14ac:dyDescent="0.25">
      <c r="C2257" s="1"/>
      <c r="D2257" s="2"/>
    </row>
    <row r="2258" spans="3:4" x14ac:dyDescent="0.25">
      <c r="C2258" s="1"/>
      <c r="D2258" s="2"/>
    </row>
    <row r="2259" spans="3:4" x14ac:dyDescent="0.25">
      <c r="C2259" s="1"/>
      <c r="D2259" s="2"/>
    </row>
    <row r="2260" spans="3:4" x14ac:dyDescent="0.25">
      <c r="C2260" s="1"/>
      <c r="D2260" s="2"/>
    </row>
    <row r="2261" spans="3:4" x14ac:dyDescent="0.25">
      <c r="C2261" s="1"/>
      <c r="D2261" s="2"/>
    </row>
    <row r="2262" spans="3:4" x14ac:dyDescent="0.25">
      <c r="C2262" s="1"/>
      <c r="D2262" s="2"/>
    </row>
    <row r="2263" spans="3:4" x14ac:dyDescent="0.25">
      <c r="C2263" s="1"/>
      <c r="D2263" s="2"/>
    </row>
    <row r="2264" spans="3:4" x14ac:dyDescent="0.25">
      <c r="C2264" s="1"/>
      <c r="D2264" s="2"/>
    </row>
    <row r="2265" spans="3:4" x14ac:dyDescent="0.25">
      <c r="C2265" s="1"/>
      <c r="D2265" s="2"/>
    </row>
    <row r="2266" spans="3:4" x14ac:dyDescent="0.25">
      <c r="C2266" s="1"/>
      <c r="D2266" s="2"/>
    </row>
    <row r="2267" spans="3:4" x14ac:dyDescent="0.25">
      <c r="C2267" s="1"/>
      <c r="D2267" s="2"/>
    </row>
    <row r="2268" spans="3:4" x14ac:dyDescent="0.25">
      <c r="C2268" s="1"/>
      <c r="D2268" s="2"/>
    </row>
    <row r="2269" spans="3:4" x14ac:dyDescent="0.25">
      <c r="C2269" s="1"/>
      <c r="D2269" s="2"/>
    </row>
    <row r="2270" spans="3:4" x14ac:dyDescent="0.25">
      <c r="C2270" s="1"/>
      <c r="D2270" s="2"/>
    </row>
    <row r="2271" spans="3:4" x14ac:dyDescent="0.25">
      <c r="C2271" s="1"/>
      <c r="D2271" s="2"/>
    </row>
    <row r="2272" spans="3:4" x14ac:dyDescent="0.25">
      <c r="C2272" s="1"/>
      <c r="D2272" s="2"/>
    </row>
    <row r="2273" spans="3:4" x14ac:dyDescent="0.25">
      <c r="C2273" s="1"/>
      <c r="D2273" s="2"/>
    </row>
    <row r="2274" spans="3:4" x14ac:dyDescent="0.25">
      <c r="C2274" s="1"/>
      <c r="D2274" s="2"/>
    </row>
    <row r="2275" spans="3:4" x14ac:dyDescent="0.25">
      <c r="C2275" s="1"/>
      <c r="D2275" s="2"/>
    </row>
    <row r="2276" spans="3:4" x14ac:dyDescent="0.25">
      <c r="C2276" s="1"/>
      <c r="D2276" s="2"/>
    </row>
    <row r="2277" spans="3:4" x14ac:dyDescent="0.25">
      <c r="C2277" s="1"/>
      <c r="D2277" s="2"/>
    </row>
    <row r="2278" spans="3:4" x14ac:dyDescent="0.25">
      <c r="C2278" s="1"/>
      <c r="D2278" s="2"/>
    </row>
    <row r="2279" spans="3:4" x14ac:dyDescent="0.25">
      <c r="C2279" s="1"/>
      <c r="D2279" s="2"/>
    </row>
    <row r="2280" spans="3:4" x14ac:dyDescent="0.25">
      <c r="C2280" s="1"/>
      <c r="D2280" s="2"/>
    </row>
    <row r="2281" spans="3:4" x14ac:dyDescent="0.25">
      <c r="C2281" s="1"/>
      <c r="D2281" s="2"/>
    </row>
    <row r="2282" spans="3:4" x14ac:dyDescent="0.25">
      <c r="C2282" s="1"/>
      <c r="D2282" s="2"/>
    </row>
    <row r="2283" spans="3:4" x14ac:dyDescent="0.25">
      <c r="C2283" s="1"/>
      <c r="D2283" s="2"/>
    </row>
    <row r="2284" spans="3:4" x14ac:dyDescent="0.25">
      <c r="C2284" s="1"/>
      <c r="D2284" s="2"/>
    </row>
    <row r="2285" spans="3:4" x14ac:dyDescent="0.25">
      <c r="C2285" s="1"/>
      <c r="D2285" s="2"/>
    </row>
    <row r="2286" spans="3:4" x14ac:dyDescent="0.25">
      <c r="C2286" s="1"/>
      <c r="D2286" s="2"/>
    </row>
    <row r="2287" spans="3:4" x14ac:dyDescent="0.25">
      <c r="C2287" s="1"/>
      <c r="D2287" s="2"/>
    </row>
    <row r="2288" spans="3:4" x14ac:dyDescent="0.25">
      <c r="C2288" s="1"/>
      <c r="D2288" s="2"/>
    </row>
    <row r="2289" spans="3:4" x14ac:dyDescent="0.25">
      <c r="C2289" s="1"/>
      <c r="D2289" s="2"/>
    </row>
    <row r="2290" spans="3:4" x14ac:dyDescent="0.25">
      <c r="C2290" s="1"/>
      <c r="D2290" s="2"/>
    </row>
    <row r="2291" spans="3:4" x14ac:dyDescent="0.25">
      <c r="C2291" s="1"/>
      <c r="D2291" s="2"/>
    </row>
    <row r="2292" spans="3:4" x14ac:dyDescent="0.25">
      <c r="C2292" s="1"/>
      <c r="D2292" s="2"/>
    </row>
    <row r="2293" spans="3:4" x14ac:dyDescent="0.25">
      <c r="C2293" s="1"/>
      <c r="D2293" s="2"/>
    </row>
    <row r="2294" spans="3:4" x14ac:dyDescent="0.25">
      <c r="C2294" s="1"/>
      <c r="D2294" s="2"/>
    </row>
    <row r="2295" spans="3:4" x14ac:dyDescent="0.25">
      <c r="C2295" s="1"/>
      <c r="D2295" s="2"/>
    </row>
    <row r="2296" spans="3:4" x14ac:dyDescent="0.25">
      <c r="C2296" s="1"/>
      <c r="D2296" s="2"/>
    </row>
    <row r="2297" spans="3:4" x14ac:dyDescent="0.25">
      <c r="C2297" s="1"/>
      <c r="D2297" s="2"/>
    </row>
    <row r="2298" spans="3:4" x14ac:dyDescent="0.25">
      <c r="C2298" s="1"/>
      <c r="D2298" s="2"/>
    </row>
    <row r="2299" spans="3:4" x14ac:dyDescent="0.25">
      <c r="C2299" s="1"/>
      <c r="D2299" s="2"/>
    </row>
    <row r="2300" spans="3:4" x14ac:dyDescent="0.25">
      <c r="C2300" s="1"/>
      <c r="D2300" s="2"/>
    </row>
    <row r="2301" spans="3:4" x14ac:dyDescent="0.25">
      <c r="C2301" s="1"/>
      <c r="D2301" s="2"/>
    </row>
    <row r="2302" spans="3:4" x14ac:dyDescent="0.25">
      <c r="C2302" s="1"/>
      <c r="D2302" s="2"/>
    </row>
    <row r="2303" spans="3:4" x14ac:dyDescent="0.25">
      <c r="C2303" s="1"/>
      <c r="D2303" s="2"/>
    </row>
    <row r="2304" spans="3:4" x14ac:dyDescent="0.25">
      <c r="C2304" s="1"/>
      <c r="D2304" s="2"/>
    </row>
    <row r="2305" spans="3:4" x14ac:dyDescent="0.25">
      <c r="C2305" s="1"/>
      <c r="D2305" s="2"/>
    </row>
    <row r="2306" spans="3:4" x14ac:dyDescent="0.25">
      <c r="C2306" s="1"/>
      <c r="D2306" s="2"/>
    </row>
    <row r="2307" spans="3:4" x14ac:dyDescent="0.25">
      <c r="C2307" s="1"/>
      <c r="D2307" s="2"/>
    </row>
    <row r="2308" spans="3:4" x14ac:dyDescent="0.25">
      <c r="C2308" s="1"/>
      <c r="D2308" s="2"/>
    </row>
    <row r="2309" spans="3:4" x14ac:dyDescent="0.25">
      <c r="C2309" s="1"/>
      <c r="D2309" s="2"/>
    </row>
    <row r="2310" spans="3:4" x14ac:dyDescent="0.25">
      <c r="C2310" s="1"/>
      <c r="D2310" s="2"/>
    </row>
    <row r="2311" spans="3:4" x14ac:dyDescent="0.25">
      <c r="C2311" s="1"/>
      <c r="D2311" s="2"/>
    </row>
    <row r="2312" spans="3:4" x14ac:dyDescent="0.25">
      <c r="C2312" s="1"/>
      <c r="D2312" s="2"/>
    </row>
    <row r="2313" spans="3:4" x14ac:dyDescent="0.25">
      <c r="C2313" s="1"/>
      <c r="D2313" s="2"/>
    </row>
    <row r="2314" spans="3:4" x14ac:dyDescent="0.25">
      <c r="C2314" s="1"/>
      <c r="D2314" s="2"/>
    </row>
    <row r="2315" spans="3:4" x14ac:dyDescent="0.25">
      <c r="C2315" s="1"/>
      <c r="D2315" s="2"/>
    </row>
    <row r="2316" spans="3:4" x14ac:dyDescent="0.25">
      <c r="C2316" s="1"/>
      <c r="D2316" s="2"/>
    </row>
    <row r="2317" spans="3:4" x14ac:dyDescent="0.25">
      <c r="C2317" s="1"/>
      <c r="D2317" s="2"/>
    </row>
    <row r="2318" spans="3:4" x14ac:dyDescent="0.25">
      <c r="C2318" s="1"/>
      <c r="D2318" s="2"/>
    </row>
    <row r="2319" spans="3:4" x14ac:dyDescent="0.25">
      <c r="C2319" s="1"/>
      <c r="D2319" s="2"/>
    </row>
    <row r="2320" spans="3:4" x14ac:dyDescent="0.25">
      <c r="C2320" s="1"/>
      <c r="D2320" s="2"/>
    </row>
    <row r="2321" spans="3:4" x14ac:dyDescent="0.25">
      <c r="C2321" s="1"/>
      <c r="D2321" s="2"/>
    </row>
    <row r="2322" spans="3:4" x14ac:dyDescent="0.25">
      <c r="C2322" s="1"/>
      <c r="D2322" s="2"/>
    </row>
    <row r="2323" spans="3:4" x14ac:dyDescent="0.25">
      <c r="C2323" s="1"/>
      <c r="D2323" s="2"/>
    </row>
    <row r="2324" spans="3:4" x14ac:dyDescent="0.25">
      <c r="C2324" s="1"/>
      <c r="D2324" s="2"/>
    </row>
    <row r="2325" spans="3:4" x14ac:dyDescent="0.25">
      <c r="C2325" s="1"/>
      <c r="D2325" s="2"/>
    </row>
    <row r="2326" spans="3:4" x14ac:dyDescent="0.25">
      <c r="C2326" s="1"/>
      <c r="D2326" s="2"/>
    </row>
    <row r="2327" spans="3:4" x14ac:dyDescent="0.25">
      <c r="C2327" s="1"/>
      <c r="D2327" s="2"/>
    </row>
    <row r="2328" spans="3:4" x14ac:dyDescent="0.25">
      <c r="C2328" s="1"/>
      <c r="D2328" s="2"/>
    </row>
    <row r="2329" spans="3:4" x14ac:dyDescent="0.25">
      <c r="C2329" s="1"/>
      <c r="D2329" s="2"/>
    </row>
    <row r="2330" spans="3:4" x14ac:dyDescent="0.25">
      <c r="C2330" s="1"/>
      <c r="D2330" s="2"/>
    </row>
    <row r="2331" spans="3:4" x14ac:dyDescent="0.25">
      <c r="C2331" s="1"/>
      <c r="D2331" s="2"/>
    </row>
    <row r="2332" spans="3:4" x14ac:dyDescent="0.25">
      <c r="C2332" s="1"/>
      <c r="D2332" s="2"/>
    </row>
    <row r="2333" spans="3:4" x14ac:dyDescent="0.25">
      <c r="C2333" s="1"/>
      <c r="D2333" s="2"/>
    </row>
    <row r="2334" spans="3:4" x14ac:dyDescent="0.25">
      <c r="C2334" s="1"/>
      <c r="D2334" s="2"/>
    </row>
    <row r="2335" spans="3:4" x14ac:dyDescent="0.25">
      <c r="C2335" s="1"/>
      <c r="D2335" s="2"/>
    </row>
    <row r="2336" spans="3:4" x14ac:dyDescent="0.25">
      <c r="C2336" s="1"/>
      <c r="D2336" s="2"/>
    </row>
    <row r="2337" spans="3:4" x14ac:dyDescent="0.25">
      <c r="C2337" s="1"/>
      <c r="D2337" s="2"/>
    </row>
    <row r="2338" spans="3:4" x14ac:dyDescent="0.25">
      <c r="C2338" s="1"/>
      <c r="D2338" s="2"/>
    </row>
    <row r="2339" spans="3:4" x14ac:dyDescent="0.25">
      <c r="C2339" s="1"/>
      <c r="D2339" s="2"/>
    </row>
    <row r="2340" spans="3:4" x14ac:dyDescent="0.25">
      <c r="C2340" s="1"/>
      <c r="D2340" s="2"/>
    </row>
    <row r="2341" spans="3:4" x14ac:dyDescent="0.25">
      <c r="C2341" s="1"/>
      <c r="D2341" s="2"/>
    </row>
    <row r="2342" spans="3:4" x14ac:dyDescent="0.25">
      <c r="C2342" s="1"/>
      <c r="D2342" s="2"/>
    </row>
    <row r="2343" spans="3:4" x14ac:dyDescent="0.25">
      <c r="C2343" s="1"/>
      <c r="D2343" s="2"/>
    </row>
    <row r="2344" spans="3:4" x14ac:dyDescent="0.25">
      <c r="C2344" s="1"/>
      <c r="D2344" s="2"/>
    </row>
    <row r="2345" spans="3:4" x14ac:dyDescent="0.25">
      <c r="C2345" s="1"/>
      <c r="D2345" s="2"/>
    </row>
    <row r="2346" spans="3:4" x14ac:dyDescent="0.25">
      <c r="C2346" s="1"/>
      <c r="D2346" s="2"/>
    </row>
    <row r="2347" spans="3:4" x14ac:dyDescent="0.25">
      <c r="C2347" s="1"/>
      <c r="D2347" s="2"/>
    </row>
    <row r="2348" spans="3:4" x14ac:dyDescent="0.25">
      <c r="C2348" s="1"/>
      <c r="D2348" s="2"/>
    </row>
    <row r="2349" spans="3:4" x14ac:dyDescent="0.25">
      <c r="C2349" s="1"/>
      <c r="D2349" s="2"/>
    </row>
    <row r="2350" spans="3:4" x14ac:dyDescent="0.25">
      <c r="C2350" s="1"/>
      <c r="D2350" s="2"/>
    </row>
    <row r="2351" spans="3:4" x14ac:dyDescent="0.25">
      <c r="C2351" s="1"/>
      <c r="D2351" s="2"/>
    </row>
    <row r="2352" spans="3:4" x14ac:dyDescent="0.25">
      <c r="C2352" s="1"/>
      <c r="D2352" s="2"/>
    </row>
    <row r="2353" spans="3:4" x14ac:dyDescent="0.25">
      <c r="C2353" s="1"/>
      <c r="D2353" s="2"/>
    </row>
    <row r="2354" spans="3:4" x14ac:dyDescent="0.25">
      <c r="C2354" s="1"/>
      <c r="D2354" s="2"/>
    </row>
    <row r="2355" spans="3:4" x14ac:dyDescent="0.25">
      <c r="C2355" s="1"/>
      <c r="D2355" s="2"/>
    </row>
    <row r="2356" spans="3:4" x14ac:dyDescent="0.25">
      <c r="C2356" s="1"/>
      <c r="D2356" s="2"/>
    </row>
    <row r="2357" spans="3:4" x14ac:dyDescent="0.25">
      <c r="C2357" s="1"/>
      <c r="D2357" s="2"/>
    </row>
    <row r="2358" spans="3:4" x14ac:dyDescent="0.25">
      <c r="C2358" s="1"/>
      <c r="D2358" s="2"/>
    </row>
    <row r="2359" spans="3:4" x14ac:dyDescent="0.25">
      <c r="C2359" s="1"/>
      <c r="D2359" s="2"/>
    </row>
    <row r="2360" spans="3:4" x14ac:dyDescent="0.25">
      <c r="C2360" s="1"/>
      <c r="D2360" s="2"/>
    </row>
    <row r="2361" spans="3:4" x14ac:dyDescent="0.25">
      <c r="C2361" s="1"/>
      <c r="D2361" s="2"/>
    </row>
    <row r="2362" spans="3:4" x14ac:dyDescent="0.25">
      <c r="C2362" s="1"/>
      <c r="D2362" s="2"/>
    </row>
    <row r="2363" spans="3:4" x14ac:dyDescent="0.25">
      <c r="C2363" s="1"/>
      <c r="D2363" s="2"/>
    </row>
    <row r="2364" spans="3:4" x14ac:dyDescent="0.25">
      <c r="C2364" s="1"/>
      <c r="D2364" s="2"/>
    </row>
    <row r="2365" spans="3:4" x14ac:dyDescent="0.25">
      <c r="C2365" s="1"/>
      <c r="D2365" s="2"/>
    </row>
    <row r="2366" spans="3:4" x14ac:dyDescent="0.25">
      <c r="C2366" s="1"/>
      <c r="D2366" s="2"/>
    </row>
    <row r="2367" spans="3:4" x14ac:dyDescent="0.25">
      <c r="C2367" s="1"/>
      <c r="D2367" s="2"/>
    </row>
    <row r="2368" spans="3:4" x14ac:dyDescent="0.25">
      <c r="C2368" s="1"/>
      <c r="D2368" s="2"/>
    </row>
    <row r="2369" spans="3:4" x14ac:dyDescent="0.25">
      <c r="C2369" s="1"/>
      <c r="D2369" s="2"/>
    </row>
    <row r="2370" spans="3:4" x14ac:dyDescent="0.25">
      <c r="C2370" s="1"/>
      <c r="D2370" s="2"/>
    </row>
    <row r="2371" spans="3:4" x14ac:dyDescent="0.25">
      <c r="C2371" s="1"/>
      <c r="D2371" s="2"/>
    </row>
    <row r="2372" spans="3:4" x14ac:dyDescent="0.25">
      <c r="C2372" s="1"/>
      <c r="D2372" s="2"/>
    </row>
    <row r="2373" spans="3:4" x14ac:dyDescent="0.25">
      <c r="C2373" s="1"/>
      <c r="D2373" s="2"/>
    </row>
    <row r="2374" spans="3:4" x14ac:dyDescent="0.25">
      <c r="C2374" s="1"/>
      <c r="D2374" s="2"/>
    </row>
    <row r="2375" spans="3:4" x14ac:dyDescent="0.25">
      <c r="C2375" s="1"/>
      <c r="D2375" s="2"/>
    </row>
    <row r="2376" spans="3:4" x14ac:dyDescent="0.25">
      <c r="C2376" s="1"/>
      <c r="D2376" s="2"/>
    </row>
    <row r="2377" spans="3:4" x14ac:dyDescent="0.25">
      <c r="C2377" s="1"/>
      <c r="D2377" s="2"/>
    </row>
    <row r="2378" spans="3:4" x14ac:dyDescent="0.25">
      <c r="C2378" s="1"/>
      <c r="D2378" s="2"/>
    </row>
    <row r="2379" spans="3:4" x14ac:dyDescent="0.25">
      <c r="C2379" s="1"/>
      <c r="D2379" s="2"/>
    </row>
    <row r="2380" spans="3:4" x14ac:dyDescent="0.25">
      <c r="C2380" s="1"/>
      <c r="D2380" s="2"/>
    </row>
    <row r="2381" spans="3:4" x14ac:dyDescent="0.25">
      <c r="C2381" s="1"/>
      <c r="D2381" s="2"/>
    </row>
    <row r="2382" spans="3:4" x14ac:dyDescent="0.25">
      <c r="C2382" s="1"/>
      <c r="D2382" s="2"/>
    </row>
    <row r="2383" spans="3:4" x14ac:dyDescent="0.25">
      <c r="C2383" s="1"/>
      <c r="D2383" s="2"/>
    </row>
    <row r="2384" spans="3:4" x14ac:dyDescent="0.25">
      <c r="C2384" s="1"/>
      <c r="D2384" s="2"/>
    </row>
    <row r="2385" spans="3:4" x14ac:dyDescent="0.25">
      <c r="C2385" s="1"/>
      <c r="D2385" s="2"/>
    </row>
    <row r="2386" spans="3:4" x14ac:dyDescent="0.25">
      <c r="C2386" s="1"/>
      <c r="D2386" s="2"/>
    </row>
    <row r="2387" spans="3:4" x14ac:dyDescent="0.25">
      <c r="C2387" s="1"/>
      <c r="D2387" s="2"/>
    </row>
    <row r="2388" spans="3:4" x14ac:dyDescent="0.25">
      <c r="C2388" s="1"/>
      <c r="D2388" s="2"/>
    </row>
    <row r="2389" spans="3:4" x14ac:dyDescent="0.25">
      <c r="C2389" s="1"/>
      <c r="D2389" s="2"/>
    </row>
    <row r="2390" spans="3:4" x14ac:dyDescent="0.25">
      <c r="C2390" s="1"/>
      <c r="D2390" s="2"/>
    </row>
    <row r="2391" spans="3:4" x14ac:dyDescent="0.25">
      <c r="C2391" s="1"/>
      <c r="D2391" s="2"/>
    </row>
    <row r="2392" spans="3:4" x14ac:dyDescent="0.25">
      <c r="C2392" s="1"/>
      <c r="D2392" s="2"/>
    </row>
    <row r="2393" spans="3:4" x14ac:dyDescent="0.25">
      <c r="C2393" s="1"/>
      <c r="D2393" s="2"/>
    </row>
    <row r="2394" spans="3:4" x14ac:dyDescent="0.25">
      <c r="C2394" s="1"/>
      <c r="D2394" s="2"/>
    </row>
    <row r="2395" spans="3:4" x14ac:dyDescent="0.25">
      <c r="C2395" s="1"/>
      <c r="D2395" s="2"/>
    </row>
    <row r="2396" spans="3:4" x14ac:dyDescent="0.25">
      <c r="C2396" s="1"/>
      <c r="D2396" s="2"/>
    </row>
    <row r="2397" spans="3:4" x14ac:dyDescent="0.25">
      <c r="C2397" s="1"/>
      <c r="D2397" s="2"/>
    </row>
    <row r="2398" spans="3:4" x14ac:dyDescent="0.25">
      <c r="C2398" s="1"/>
      <c r="D2398" s="2"/>
    </row>
    <row r="2399" spans="3:4" x14ac:dyDescent="0.25">
      <c r="C2399" s="1"/>
      <c r="D2399" s="2"/>
    </row>
    <row r="2400" spans="3:4" x14ac:dyDescent="0.25">
      <c r="C2400" s="1"/>
      <c r="D2400" s="2"/>
    </row>
    <row r="2401" spans="3:4" x14ac:dyDescent="0.25">
      <c r="C2401" s="1"/>
      <c r="D2401" s="2"/>
    </row>
    <row r="2402" spans="3:4" x14ac:dyDescent="0.25">
      <c r="C2402" s="1"/>
      <c r="D2402" s="2"/>
    </row>
    <row r="2403" spans="3:4" x14ac:dyDescent="0.25">
      <c r="C2403" s="1"/>
      <c r="D2403" s="2"/>
    </row>
    <row r="2404" spans="3:4" x14ac:dyDescent="0.25">
      <c r="C2404" s="1"/>
      <c r="D2404" s="2"/>
    </row>
    <row r="2405" spans="3:4" x14ac:dyDescent="0.25">
      <c r="C2405" s="1"/>
      <c r="D2405" s="2"/>
    </row>
    <row r="2406" spans="3:4" x14ac:dyDescent="0.25">
      <c r="C2406" s="1"/>
      <c r="D2406" s="2"/>
    </row>
    <row r="2407" spans="3:4" x14ac:dyDescent="0.25">
      <c r="C2407" s="1"/>
      <c r="D2407" s="2"/>
    </row>
    <row r="2408" spans="3:4" x14ac:dyDescent="0.25">
      <c r="C2408" s="1"/>
      <c r="D2408" s="2"/>
    </row>
    <row r="2409" spans="3:4" x14ac:dyDescent="0.25">
      <c r="C2409" s="1"/>
      <c r="D2409" s="2"/>
    </row>
    <row r="2410" spans="3:4" x14ac:dyDescent="0.25">
      <c r="C2410" s="1"/>
      <c r="D2410" s="2"/>
    </row>
    <row r="2411" spans="3:4" x14ac:dyDescent="0.25">
      <c r="C2411" s="1"/>
      <c r="D2411" s="2"/>
    </row>
    <row r="2412" spans="3:4" x14ac:dyDescent="0.25">
      <c r="C2412" s="1"/>
      <c r="D2412" s="2"/>
    </row>
    <row r="2413" spans="3:4" x14ac:dyDescent="0.25">
      <c r="C2413" s="1"/>
      <c r="D2413" s="2"/>
    </row>
    <row r="2414" spans="3:4" x14ac:dyDescent="0.25">
      <c r="C2414" s="1"/>
      <c r="D2414" s="2"/>
    </row>
    <row r="2415" spans="3:4" x14ac:dyDescent="0.25">
      <c r="C2415" s="1"/>
      <c r="D2415" s="2"/>
    </row>
    <row r="2416" spans="3:4" x14ac:dyDescent="0.25">
      <c r="C2416" s="1"/>
      <c r="D2416" s="2"/>
    </row>
    <row r="2417" spans="3:4" x14ac:dyDescent="0.25">
      <c r="C2417" s="1"/>
      <c r="D2417" s="2"/>
    </row>
    <row r="2418" spans="3:4" x14ac:dyDescent="0.25">
      <c r="C2418" s="1"/>
      <c r="D2418" s="2"/>
    </row>
    <row r="2419" spans="3:4" x14ac:dyDescent="0.25">
      <c r="C2419" s="1"/>
      <c r="D2419" s="2"/>
    </row>
    <row r="2420" spans="3:4" x14ac:dyDescent="0.25">
      <c r="C2420" s="1"/>
      <c r="D2420" s="2"/>
    </row>
    <row r="2421" spans="3:4" x14ac:dyDescent="0.25">
      <c r="C2421" s="1"/>
      <c r="D2421" s="2"/>
    </row>
    <row r="2422" spans="3:4" x14ac:dyDescent="0.25">
      <c r="C2422" s="1"/>
      <c r="D2422" s="2"/>
    </row>
    <row r="2423" spans="3:4" x14ac:dyDescent="0.25">
      <c r="C2423" s="1"/>
      <c r="D2423" s="2"/>
    </row>
    <row r="2424" spans="3:4" x14ac:dyDescent="0.25">
      <c r="C2424" s="1"/>
      <c r="D2424" s="2"/>
    </row>
    <row r="2425" spans="3:4" x14ac:dyDescent="0.25">
      <c r="C2425" s="1"/>
      <c r="D2425" s="2"/>
    </row>
    <row r="2426" spans="3:4" x14ac:dyDescent="0.25">
      <c r="C2426" s="1"/>
      <c r="D2426" s="2"/>
    </row>
    <row r="2427" spans="3:4" x14ac:dyDescent="0.25">
      <c r="C2427" s="1"/>
      <c r="D2427" s="2"/>
    </row>
    <row r="2428" spans="3:4" x14ac:dyDescent="0.25">
      <c r="C2428" s="1"/>
      <c r="D2428" s="2"/>
    </row>
    <row r="2429" spans="3:4" x14ac:dyDescent="0.25">
      <c r="C2429" s="1"/>
      <c r="D2429" s="2"/>
    </row>
    <row r="2430" spans="3:4" x14ac:dyDescent="0.25">
      <c r="C2430" s="1"/>
      <c r="D2430" s="2"/>
    </row>
    <row r="2431" spans="3:4" x14ac:dyDescent="0.25">
      <c r="C2431" s="1"/>
      <c r="D2431" s="2"/>
    </row>
    <row r="2432" spans="3:4" x14ac:dyDescent="0.25">
      <c r="C2432" s="1"/>
      <c r="D2432" s="2"/>
    </row>
    <row r="2433" spans="3:4" x14ac:dyDescent="0.25">
      <c r="C2433" s="1"/>
      <c r="D2433" s="2"/>
    </row>
    <row r="2434" spans="3:4" x14ac:dyDescent="0.25">
      <c r="C2434" s="1"/>
      <c r="D2434" s="2"/>
    </row>
    <row r="2435" spans="3:4" x14ac:dyDescent="0.25">
      <c r="C2435" s="1"/>
      <c r="D2435" s="2"/>
    </row>
    <row r="2436" spans="3:4" x14ac:dyDescent="0.25">
      <c r="C2436" s="1"/>
      <c r="D2436" s="2"/>
    </row>
    <row r="2437" spans="3:4" x14ac:dyDescent="0.25">
      <c r="C2437" s="1"/>
      <c r="D2437" s="2"/>
    </row>
    <row r="2438" spans="3:4" x14ac:dyDescent="0.25">
      <c r="C2438" s="1"/>
      <c r="D2438" s="2"/>
    </row>
    <row r="2439" spans="3:4" x14ac:dyDescent="0.25">
      <c r="C2439" s="1"/>
      <c r="D2439" s="2"/>
    </row>
    <row r="2440" spans="3:4" x14ac:dyDescent="0.25">
      <c r="C2440" s="1"/>
      <c r="D2440" s="2"/>
    </row>
    <row r="2441" spans="3:4" x14ac:dyDescent="0.25">
      <c r="C2441" s="1"/>
      <c r="D2441" s="2"/>
    </row>
    <row r="2442" spans="3:4" x14ac:dyDescent="0.25">
      <c r="C2442" s="1"/>
      <c r="D2442" s="2"/>
    </row>
    <row r="2443" spans="3:4" x14ac:dyDescent="0.25">
      <c r="C2443" s="1"/>
      <c r="D2443" s="2"/>
    </row>
    <row r="2444" spans="3:4" x14ac:dyDescent="0.25">
      <c r="C2444" s="1"/>
      <c r="D2444" s="2"/>
    </row>
    <row r="2445" spans="3:4" x14ac:dyDescent="0.25">
      <c r="C2445" s="1"/>
      <c r="D2445" s="2"/>
    </row>
    <row r="2446" spans="3:4" x14ac:dyDescent="0.25">
      <c r="C2446" s="1"/>
      <c r="D2446" s="2"/>
    </row>
    <row r="2447" spans="3:4" x14ac:dyDescent="0.25">
      <c r="C2447" s="1"/>
      <c r="D2447" s="2"/>
    </row>
    <row r="2448" spans="3:4" x14ac:dyDescent="0.25">
      <c r="C2448" s="1"/>
      <c r="D2448" s="2"/>
    </row>
    <row r="2449" spans="3:4" x14ac:dyDescent="0.25">
      <c r="C2449" s="1"/>
      <c r="D2449" s="2"/>
    </row>
    <row r="2450" spans="3:4" x14ac:dyDescent="0.25">
      <c r="C2450" s="1"/>
      <c r="D2450" s="2"/>
    </row>
    <row r="2451" spans="3:4" x14ac:dyDescent="0.25">
      <c r="C2451" s="1"/>
      <c r="D2451" s="2"/>
    </row>
    <row r="2452" spans="3:4" x14ac:dyDescent="0.25">
      <c r="C2452" s="1"/>
      <c r="D2452" s="2"/>
    </row>
    <row r="2453" spans="3:4" x14ac:dyDescent="0.25">
      <c r="C2453" s="1"/>
      <c r="D2453" s="2"/>
    </row>
    <row r="2454" spans="3:4" x14ac:dyDescent="0.25">
      <c r="C2454" s="1"/>
      <c r="D2454" s="2"/>
    </row>
    <row r="2455" spans="3:4" x14ac:dyDescent="0.25">
      <c r="C2455" s="1"/>
      <c r="D2455" s="2"/>
    </row>
    <row r="2456" spans="3:4" x14ac:dyDescent="0.25">
      <c r="C2456" s="1"/>
      <c r="D2456" s="2"/>
    </row>
    <row r="2457" spans="3:4" x14ac:dyDescent="0.25">
      <c r="C2457" s="1"/>
      <c r="D2457" s="2"/>
    </row>
    <row r="2458" spans="3:4" x14ac:dyDescent="0.25">
      <c r="C2458" s="1"/>
      <c r="D2458" s="2"/>
    </row>
    <row r="2459" spans="3:4" x14ac:dyDescent="0.25">
      <c r="C2459" s="1"/>
      <c r="D2459" s="2"/>
    </row>
    <row r="2460" spans="3:4" x14ac:dyDescent="0.25">
      <c r="C2460" s="1"/>
      <c r="D2460" s="2"/>
    </row>
    <row r="2461" spans="3:4" x14ac:dyDescent="0.25">
      <c r="C2461" s="1"/>
      <c r="D2461" s="2"/>
    </row>
    <row r="2462" spans="3:4" x14ac:dyDescent="0.25">
      <c r="C2462" s="1"/>
      <c r="D2462" s="2"/>
    </row>
    <row r="2463" spans="3:4" x14ac:dyDescent="0.25">
      <c r="C2463" s="1"/>
      <c r="D2463" s="2"/>
    </row>
    <row r="2464" spans="3:4" x14ac:dyDescent="0.25">
      <c r="C2464" s="1"/>
      <c r="D2464" s="2"/>
    </row>
    <row r="2465" spans="3:4" x14ac:dyDescent="0.25">
      <c r="C2465" s="1"/>
      <c r="D2465" s="2"/>
    </row>
    <row r="2466" spans="3:4" x14ac:dyDescent="0.25">
      <c r="C2466" s="1"/>
      <c r="D2466" s="2"/>
    </row>
    <row r="2467" spans="3:4" x14ac:dyDescent="0.25">
      <c r="C2467" s="1"/>
      <c r="D2467" s="2"/>
    </row>
    <row r="2468" spans="3:4" x14ac:dyDescent="0.25">
      <c r="C2468" s="1"/>
      <c r="D2468" s="2"/>
    </row>
    <row r="2469" spans="3:4" x14ac:dyDescent="0.25">
      <c r="C2469" s="1"/>
      <c r="D2469" s="2"/>
    </row>
    <row r="2470" spans="3:4" x14ac:dyDescent="0.25">
      <c r="C2470" s="1"/>
      <c r="D2470" s="2"/>
    </row>
    <row r="2471" spans="3:4" x14ac:dyDescent="0.25">
      <c r="C2471" s="1"/>
      <c r="D2471" s="2"/>
    </row>
    <row r="2472" spans="3:4" x14ac:dyDescent="0.25">
      <c r="C2472" s="1"/>
      <c r="D2472" s="2"/>
    </row>
    <row r="2473" spans="3:4" x14ac:dyDescent="0.25">
      <c r="C2473" s="1"/>
      <c r="D2473" s="2"/>
    </row>
    <row r="2474" spans="3:4" x14ac:dyDescent="0.25">
      <c r="C2474" s="1"/>
      <c r="D2474" s="2"/>
    </row>
    <row r="2475" spans="3:4" x14ac:dyDescent="0.25">
      <c r="C2475" s="1"/>
      <c r="D2475" s="2"/>
    </row>
    <row r="2476" spans="3:4" x14ac:dyDescent="0.25">
      <c r="C2476" s="1"/>
      <c r="D2476" s="2"/>
    </row>
    <row r="2477" spans="3:4" x14ac:dyDescent="0.25">
      <c r="C2477" s="1"/>
      <c r="D2477" s="2"/>
    </row>
    <row r="2478" spans="3:4" x14ac:dyDescent="0.25">
      <c r="C2478" s="1"/>
      <c r="D2478" s="2"/>
    </row>
    <row r="2479" spans="3:4" x14ac:dyDescent="0.25">
      <c r="C2479" s="1"/>
      <c r="D2479" s="2"/>
    </row>
    <row r="2480" spans="3:4" x14ac:dyDescent="0.25">
      <c r="C2480" s="1"/>
      <c r="D2480" s="2"/>
    </row>
    <row r="2481" spans="3:4" x14ac:dyDescent="0.25">
      <c r="C2481" s="1"/>
      <c r="D2481" s="2"/>
    </row>
    <row r="2482" spans="3:4" x14ac:dyDescent="0.25">
      <c r="C2482" s="1"/>
      <c r="D2482" s="2"/>
    </row>
    <row r="2483" spans="3:4" x14ac:dyDescent="0.25">
      <c r="C2483" s="1"/>
      <c r="D2483" s="2"/>
    </row>
    <row r="2484" spans="3:4" x14ac:dyDescent="0.25">
      <c r="C2484" s="1"/>
      <c r="D2484" s="2"/>
    </row>
    <row r="2485" spans="3:4" x14ac:dyDescent="0.25">
      <c r="C2485" s="1"/>
      <c r="D2485" s="2"/>
    </row>
    <row r="2486" spans="3:4" x14ac:dyDescent="0.25">
      <c r="C2486" s="1"/>
      <c r="D2486" s="2"/>
    </row>
    <row r="2487" spans="3:4" x14ac:dyDescent="0.25">
      <c r="C2487" s="1"/>
      <c r="D2487" s="2"/>
    </row>
    <row r="2488" spans="3:4" x14ac:dyDescent="0.25">
      <c r="C2488" s="1"/>
      <c r="D2488" s="2"/>
    </row>
    <row r="2489" spans="3:4" x14ac:dyDescent="0.25">
      <c r="C2489" s="1"/>
      <c r="D2489" s="2"/>
    </row>
    <row r="2490" spans="3:4" x14ac:dyDescent="0.25">
      <c r="C2490" s="1"/>
      <c r="D2490" s="2"/>
    </row>
    <row r="2491" spans="3:4" x14ac:dyDescent="0.25">
      <c r="C2491" s="1"/>
      <c r="D2491" s="2"/>
    </row>
    <row r="2492" spans="3:4" x14ac:dyDescent="0.25">
      <c r="C2492" s="1"/>
      <c r="D2492" s="2"/>
    </row>
    <row r="2493" spans="3:4" x14ac:dyDescent="0.25">
      <c r="C2493" s="1"/>
      <c r="D2493" s="2"/>
    </row>
    <row r="2494" spans="3:4" x14ac:dyDescent="0.25">
      <c r="C2494" s="1"/>
      <c r="D2494" s="2"/>
    </row>
    <row r="2495" spans="3:4" x14ac:dyDescent="0.25">
      <c r="C2495" s="1"/>
      <c r="D2495" s="2"/>
    </row>
    <row r="2496" spans="3:4" x14ac:dyDescent="0.25">
      <c r="C2496" s="1"/>
      <c r="D2496" s="2"/>
    </row>
    <row r="2497" spans="3:4" x14ac:dyDescent="0.25">
      <c r="C2497" s="1"/>
      <c r="D2497" s="2"/>
    </row>
    <row r="2498" spans="3:4" x14ac:dyDescent="0.25">
      <c r="C2498" s="1"/>
      <c r="D2498" s="2"/>
    </row>
    <row r="2499" spans="3:4" x14ac:dyDescent="0.25">
      <c r="C2499" s="1"/>
      <c r="D2499" s="2"/>
    </row>
    <row r="2500" spans="3:4" x14ac:dyDescent="0.25">
      <c r="C2500" s="1"/>
      <c r="D2500" s="2"/>
    </row>
    <row r="2501" spans="3:4" x14ac:dyDescent="0.25">
      <c r="C2501" s="1"/>
      <c r="D2501" s="2"/>
    </row>
    <row r="2502" spans="3:4" x14ac:dyDescent="0.25">
      <c r="C2502" s="1"/>
      <c r="D2502" s="2"/>
    </row>
    <row r="2503" spans="3:4" x14ac:dyDescent="0.25">
      <c r="C2503" s="1"/>
      <c r="D2503" s="2"/>
    </row>
    <row r="2504" spans="3:4" x14ac:dyDescent="0.25">
      <c r="C2504" s="1"/>
      <c r="D2504" s="2"/>
    </row>
    <row r="2505" spans="3:4" x14ac:dyDescent="0.25">
      <c r="C2505" s="1"/>
      <c r="D2505" s="2"/>
    </row>
    <row r="2506" spans="3:4" x14ac:dyDescent="0.25">
      <c r="C2506" s="1"/>
      <c r="D2506" s="2"/>
    </row>
    <row r="2507" spans="3:4" x14ac:dyDescent="0.25">
      <c r="C2507" s="1"/>
      <c r="D2507" s="2"/>
    </row>
    <row r="2508" spans="3:4" x14ac:dyDescent="0.25">
      <c r="C2508" s="1"/>
      <c r="D2508" s="2"/>
    </row>
    <row r="2509" spans="3:4" x14ac:dyDescent="0.25">
      <c r="C2509" s="1"/>
      <c r="D2509" s="2"/>
    </row>
    <row r="2510" spans="3:4" x14ac:dyDescent="0.25">
      <c r="C2510" s="1"/>
      <c r="D2510" s="2"/>
    </row>
    <row r="2511" spans="3:4" x14ac:dyDescent="0.25">
      <c r="C2511" s="1"/>
      <c r="D2511" s="2"/>
    </row>
    <row r="2512" spans="3:4" x14ac:dyDescent="0.25">
      <c r="C2512" s="1"/>
      <c r="D2512" s="2"/>
    </row>
    <row r="2513" spans="3:4" x14ac:dyDescent="0.25">
      <c r="C2513" s="1"/>
      <c r="D2513" s="2"/>
    </row>
    <row r="2514" spans="3:4" x14ac:dyDescent="0.25">
      <c r="C2514" s="1"/>
      <c r="D2514" s="2"/>
    </row>
    <row r="2515" spans="3:4" x14ac:dyDescent="0.25">
      <c r="C2515" s="1"/>
      <c r="D2515" s="2"/>
    </row>
    <row r="2516" spans="3:4" x14ac:dyDescent="0.25">
      <c r="C2516" s="1"/>
      <c r="D2516" s="2"/>
    </row>
    <row r="2517" spans="3:4" x14ac:dyDescent="0.25">
      <c r="C2517" s="1"/>
      <c r="D2517" s="2"/>
    </row>
    <row r="2518" spans="3:4" x14ac:dyDescent="0.25">
      <c r="C2518" s="1"/>
      <c r="D2518" s="2"/>
    </row>
    <row r="2519" spans="3:4" x14ac:dyDescent="0.25">
      <c r="C2519" s="1"/>
      <c r="D2519" s="2"/>
    </row>
    <row r="2520" spans="3:4" x14ac:dyDescent="0.25">
      <c r="C2520" s="1"/>
      <c r="D2520" s="2"/>
    </row>
    <row r="2521" spans="3:4" x14ac:dyDescent="0.25">
      <c r="C2521" s="1"/>
      <c r="D2521" s="2"/>
    </row>
    <row r="2522" spans="3:4" x14ac:dyDescent="0.25">
      <c r="C2522" s="1"/>
      <c r="D2522" s="2"/>
    </row>
    <row r="2523" spans="3:4" x14ac:dyDescent="0.25">
      <c r="C2523" s="1"/>
      <c r="D2523" s="2"/>
    </row>
    <row r="2524" spans="3:4" x14ac:dyDescent="0.25">
      <c r="C2524" s="1"/>
      <c r="D2524" s="2"/>
    </row>
    <row r="2525" spans="3:4" x14ac:dyDescent="0.25">
      <c r="C2525" s="1"/>
      <c r="D2525" s="2"/>
    </row>
    <row r="2526" spans="3:4" x14ac:dyDescent="0.25">
      <c r="C2526" s="1"/>
      <c r="D2526" s="2"/>
    </row>
    <row r="2527" spans="3:4" x14ac:dyDescent="0.25">
      <c r="C2527" s="1"/>
      <c r="D2527" s="2"/>
    </row>
    <row r="2528" spans="3:4" x14ac:dyDescent="0.25">
      <c r="C2528" s="1"/>
      <c r="D2528" s="2"/>
    </row>
    <row r="2529" spans="3:4" x14ac:dyDescent="0.25">
      <c r="C2529" s="1"/>
      <c r="D2529" s="2"/>
    </row>
    <row r="2530" spans="3:4" x14ac:dyDescent="0.25">
      <c r="C2530" s="1"/>
      <c r="D2530" s="2"/>
    </row>
    <row r="2531" spans="3:4" x14ac:dyDescent="0.25">
      <c r="C2531" s="1"/>
      <c r="D2531" s="2"/>
    </row>
    <row r="2532" spans="3:4" x14ac:dyDescent="0.25">
      <c r="C2532" s="1"/>
      <c r="D2532" s="2"/>
    </row>
    <row r="2533" spans="3:4" x14ac:dyDescent="0.25">
      <c r="C2533" s="1"/>
      <c r="D2533" s="2"/>
    </row>
    <row r="2534" spans="3:4" x14ac:dyDescent="0.25">
      <c r="C2534" s="1"/>
      <c r="D2534" s="2"/>
    </row>
    <row r="2535" spans="3:4" x14ac:dyDescent="0.25">
      <c r="C2535" s="1"/>
      <c r="D2535" s="2"/>
    </row>
    <row r="2536" spans="3:4" x14ac:dyDescent="0.25">
      <c r="C2536" s="1"/>
      <c r="D2536" s="2"/>
    </row>
    <row r="2537" spans="3:4" x14ac:dyDescent="0.25">
      <c r="C2537" s="1"/>
      <c r="D2537" s="2"/>
    </row>
    <row r="2538" spans="3:4" x14ac:dyDescent="0.25">
      <c r="C2538" s="1"/>
      <c r="D2538" s="2"/>
    </row>
    <row r="2539" spans="3:4" x14ac:dyDescent="0.25">
      <c r="C2539" s="1"/>
      <c r="D2539" s="2"/>
    </row>
    <row r="2540" spans="3:4" x14ac:dyDescent="0.25">
      <c r="C2540" s="1"/>
      <c r="D2540" s="2"/>
    </row>
    <row r="2541" spans="3:4" x14ac:dyDescent="0.25">
      <c r="C2541" s="1"/>
      <c r="D2541" s="2"/>
    </row>
    <row r="2542" spans="3:4" x14ac:dyDescent="0.25">
      <c r="C2542" s="1"/>
      <c r="D2542" s="2"/>
    </row>
    <row r="2543" spans="3:4" x14ac:dyDescent="0.25">
      <c r="C2543" s="1"/>
      <c r="D2543" s="2"/>
    </row>
    <row r="2544" spans="3:4" x14ac:dyDescent="0.25">
      <c r="C2544" s="1"/>
      <c r="D2544" s="2"/>
    </row>
    <row r="2545" spans="3:4" x14ac:dyDescent="0.25">
      <c r="C2545" s="1"/>
      <c r="D2545" s="2"/>
    </row>
    <row r="2546" spans="3:4" x14ac:dyDescent="0.25">
      <c r="C2546" s="1"/>
      <c r="D2546" s="2"/>
    </row>
    <row r="2547" spans="3:4" x14ac:dyDescent="0.25">
      <c r="C2547" s="1"/>
      <c r="D2547" s="2"/>
    </row>
    <row r="2548" spans="3:4" x14ac:dyDescent="0.25">
      <c r="C2548" s="1"/>
      <c r="D2548" s="2"/>
    </row>
    <row r="2549" spans="3:4" x14ac:dyDescent="0.25">
      <c r="C2549" s="1"/>
      <c r="D2549" s="2"/>
    </row>
    <row r="2550" spans="3:4" x14ac:dyDescent="0.25">
      <c r="C2550" s="1"/>
      <c r="D2550" s="2"/>
    </row>
    <row r="2551" spans="3:4" x14ac:dyDescent="0.25">
      <c r="C2551" s="1"/>
      <c r="D2551" s="2"/>
    </row>
    <row r="2552" spans="3:4" x14ac:dyDescent="0.25">
      <c r="C2552" s="1"/>
      <c r="D2552" s="2"/>
    </row>
    <row r="2553" spans="3:4" x14ac:dyDescent="0.25">
      <c r="C2553" s="1"/>
      <c r="D2553" s="2"/>
    </row>
    <row r="2554" spans="3:4" x14ac:dyDescent="0.25">
      <c r="C2554" s="1"/>
      <c r="D2554" s="2"/>
    </row>
    <row r="2555" spans="3:4" x14ac:dyDescent="0.25">
      <c r="C2555" s="1"/>
      <c r="D2555" s="2"/>
    </row>
    <row r="2556" spans="3:4" x14ac:dyDescent="0.25">
      <c r="C2556" s="1"/>
      <c r="D2556" s="2"/>
    </row>
    <row r="2557" spans="3:4" x14ac:dyDescent="0.25">
      <c r="C2557" s="1"/>
      <c r="D2557" s="2"/>
    </row>
    <row r="2558" spans="3:4" x14ac:dyDescent="0.25">
      <c r="C2558" s="1"/>
      <c r="D2558" s="2"/>
    </row>
    <row r="2559" spans="3:4" x14ac:dyDescent="0.25">
      <c r="C2559" s="1"/>
      <c r="D2559" s="2"/>
    </row>
    <row r="2560" spans="3:4" x14ac:dyDescent="0.25">
      <c r="C2560" s="1"/>
      <c r="D2560" s="2"/>
    </row>
    <row r="2561" spans="3:4" x14ac:dyDescent="0.25">
      <c r="C2561" s="1"/>
      <c r="D2561" s="2"/>
    </row>
    <row r="2562" spans="3:4" x14ac:dyDescent="0.25">
      <c r="C2562" s="1"/>
      <c r="D2562" s="2"/>
    </row>
    <row r="2563" spans="3:4" x14ac:dyDescent="0.25">
      <c r="C2563" s="1"/>
      <c r="D2563" s="2"/>
    </row>
    <row r="2564" spans="3:4" x14ac:dyDescent="0.25">
      <c r="C2564" s="1"/>
      <c r="D2564" s="2"/>
    </row>
    <row r="2565" spans="3:4" x14ac:dyDescent="0.25">
      <c r="C2565" s="1"/>
      <c r="D2565" s="2"/>
    </row>
    <row r="2566" spans="3:4" x14ac:dyDescent="0.25">
      <c r="C2566" s="1"/>
      <c r="D2566" s="2"/>
    </row>
    <row r="2567" spans="3:4" x14ac:dyDescent="0.25">
      <c r="C2567" s="1"/>
      <c r="D2567" s="2"/>
    </row>
    <row r="2568" spans="3:4" x14ac:dyDescent="0.25">
      <c r="C2568" s="1"/>
      <c r="D2568" s="2"/>
    </row>
    <row r="2569" spans="3:4" x14ac:dyDescent="0.25">
      <c r="C2569" s="1"/>
      <c r="D2569" s="2"/>
    </row>
    <row r="2570" spans="3:4" x14ac:dyDescent="0.25">
      <c r="C2570" s="1"/>
      <c r="D2570" s="2"/>
    </row>
    <row r="2571" spans="3:4" x14ac:dyDescent="0.25">
      <c r="C2571" s="1"/>
      <c r="D2571" s="2"/>
    </row>
    <row r="2572" spans="3:4" x14ac:dyDescent="0.25">
      <c r="C2572" s="1"/>
      <c r="D2572" s="2"/>
    </row>
    <row r="2573" spans="3:4" x14ac:dyDescent="0.25">
      <c r="C2573" s="1"/>
      <c r="D2573" s="2"/>
    </row>
    <row r="2574" spans="3:4" x14ac:dyDescent="0.25">
      <c r="C2574" s="1"/>
      <c r="D2574" s="2"/>
    </row>
    <row r="2575" spans="3:4" x14ac:dyDescent="0.25">
      <c r="C2575" s="1"/>
      <c r="D2575" s="2"/>
    </row>
    <row r="2576" spans="3:4" x14ac:dyDescent="0.25">
      <c r="C2576" s="1"/>
      <c r="D2576" s="2"/>
    </row>
    <row r="2577" spans="3:4" x14ac:dyDescent="0.25">
      <c r="C2577" s="1"/>
      <c r="D2577" s="2"/>
    </row>
    <row r="2578" spans="3:4" x14ac:dyDescent="0.25">
      <c r="C2578" s="1"/>
      <c r="D2578" s="2"/>
    </row>
    <row r="2579" spans="3:4" x14ac:dyDescent="0.25">
      <c r="C2579" s="1"/>
      <c r="D2579" s="2"/>
    </row>
    <row r="2580" spans="3:4" x14ac:dyDescent="0.25">
      <c r="C2580" s="1"/>
      <c r="D2580" s="2"/>
    </row>
    <row r="2581" spans="3:4" x14ac:dyDescent="0.25">
      <c r="C2581" s="1"/>
      <c r="D2581" s="2"/>
    </row>
    <row r="2582" spans="3:4" x14ac:dyDescent="0.25">
      <c r="C2582" s="1"/>
      <c r="D2582" s="2"/>
    </row>
    <row r="2583" spans="3:4" x14ac:dyDescent="0.25">
      <c r="C2583" s="1"/>
      <c r="D2583" s="2"/>
    </row>
    <row r="2584" spans="3:4" x14ac:dyDescent="0.25">
      <c r="C2584" s="1"/>
      <c r="D2584" s="2"/>
    </row>
    <row r="2585" spans="3:4" x14ac:dyDescent="0.25">
      <c r="C2585" s="1"/>
      <c r="D2585" s="2"/>
    </row>
    <row r="2586" spans="3:4" x14ac:dyDescent="0.25">
      <c r="C2586" s="1"/>
      <c r="D2586" s="2"/>
    </row>
    <row r="2587" spans="3:4" x14ac:dyDescent="0.25">
      <c r="C2587" s="1"/>
      <c r="D2587" s="2"/>
    </row>
    <row r="2588" spans="3:4" x14ac:dyDescent="0.25">
      <c r="C2588" s="1"/>
      <c r="D2588" s="2"/>
    </row>
    <row r="2589" spans="3:4" x14ac:dyDescent="0.25">
      <c r="C2589" s="1"/>
      <c r="D2589" s="2"/>
    </row>
    <row r="2590" spans="3:4" x14ac:dyDescent="0.25">
      <c r="C2590" s="1"/>
      <c r="D2590" s="2"/>
    </row>
    <row r="2591" spans="3:4" x14ac:dyDescent="0.25">
      <c r="C2591" s="1"/>
      <c r="D2591" s="2"/>
    </row>
    <row r="2592" spans="3:4" x14ac:dyDescent="0.25">
      <c r="C2592" s="1"/>
      <c r="D2592" s="2"/>
    </row>
    <row r="2593" spans="3:4" x14ac:dyDescent="0.25">
      <c r="C2593" s="1"/>
      <c r="D2593" s="2"/>
    </row>
    <row r="2594" spans="3:4" x14ac:dyDescent="0.25">
      <c r="C2594" s="1"/>
      <c r="D2594" s="2"/>
    </row>
    <row r="2595" spans="3:4" x14ac:dyDescent="0.25">
      <c r="C2595" s="1"/>
      <c r="D2595" s="2"/>
    </row>
    <row r="2596" spans="3:4" x14ac:dyDescent="0.25">
      <c r="C2596" s="1"/>
      <c r="D2596" s="2"/>
    </row>
    <row r="2597" spans="3:4" x14ac:dyDescent="0.25">
      <c r="C2597" s="1"/>
      <c r="D2597" s="2"/>
    </row>
    <row r="2598" spans="3:4" x14ac:dyDescent="0.25">
      <c r="C2598" s="1"/>
      <c r="D2598" s="2"/>
    </row>
    <row r="2599" spans="3:4" x14ac:dyDescent="0.25">
      <c r="C2599" s="1"/>
      <c r="D2599" s="2"/>
    </row>
    <row r="2600" spans="3:4" x14ac:dyDescent="0.25">
      <c r="C2600" s="1"/>
      <c r="D2600" s="2"/>
    </row>
    <row r="2601" spans="3:4" x14ac:dyDescent="0.25">
      <c r="C2601" s="1"/>
      <c r="D2601" s="2"/>
    </row>
    <row r="2602" spans="3:4" x14ac:dyDescent="0.25">
      <c r="C2602" s="1"/>
      <c r="D2602" s="2"/>
    </row>
    <row r="2603" spans="3:4" x14ac:dyDescent="0.25">
      <c r="C2603" s="1"/>
      <c r="D2603" s="2"/>
    </row>
    <row r="2604" spans="3:4" x14ac:dyDescent="0.25">
      <c r="C2604" s="1"/>
      <c r="D2604" s="2"/>
    </row>
    <row r="2605" spans="3:4" x14ac:dyDescent="0.25">
      <c r="C2605" s="1"/>
      <c r="D2605" s="2"/>
    </row>
    <row r="2606" spans="3:4" x14ac:dyDescent="0.25">
      <c r="C2606" s="1"/>
      <c r="D2606" s="2"/>
    </row>
    <row r="2607" spans="3:4" x14ac:dyDescent="0.25">
      <c r="C2607" s="1"/>
      <c r="D2607" s="2"/>
    </row>
    <row r="2608" spans="3:4" x14ac:dyDescent="0.25">
      <c r="C2608" s="1"/>
      <c r="D2608" s="2"/>
    </row>
    <row r="2609" spans="3:4" x14ac:dyDescent="0.25">
      <c r="C2609" s="1"/>
      <c r="D2609" s="2"/>
    </row>
    <row r="2610" spans="3:4" x14ac:dyDescent="0.25">
      <c r="C2610" s="1"/>
      <c r="D2610" s="2"/>
    </row>
    <row r="2611" spans="3:4" x14ac:dyDescent="0.25">
      <c r="C2611" s="1"/>
      <c r="D2611" s="2"/>
    </row>
    <row r="2612" spans="3:4" x14ac:dyDescent="0.25">
      <c r="C2612" s="1"/>
      <c r="D2612" s="2"/>
    </row>
    <row r="2613" spans="3:4" x14ac:dyDescent="0.25">
      <c r="C2613" s="1"/>
      <c r="D2613" s="2"/>
    </row>
    <row r="2614" spans="3:4" x14ac:dyDescent="0.25">
      <c r="C2614" s="1"/>
      <c r="D2614" s="2"/>
    </row>
    <row r="2615" spans="3:4" x14ac:dyDescent="0.25">
      <c r="C2615" s="1"/>
      <c r="D2615" s="2"/>
    </row>
    <row r="2616" spans="3:4" x14ac:dyDescent="0.25">
      <c r="C2616" s="1"/>
      <c r="D2616" s="2"/>
    </row>
    <row r="2617" spans="3:4" x14ac:dyDescent="0.25">
      <c r="C2617" s="1"/>
      <c r="D2617" s="2"/>
    </row>
    <row r="2618" spans="3:4" x14ac:dyDescent="0.25">
      <c r="C2618" s="1"/>
      <c r="D2618" s="2"/>
    </row>
    <row r="2619" spans="3:4" x14ac:dyDescent="0.25">
      <c r="C2619" s="1"/>
      <c r="D2619" s="2"/>
    </row>
    <row r="2620" spans="3:4" x14ac:dyDescent="0.25">
      <c r="C2620" s="1"/>
      <c r="D2620" s="2"/>
    </row>
    <row r="2621" spans="3:4" x14ac:dyDescent="0.25">
      <c r="C2621" s="1"/>
      <c r="D2621" s="2"/>
    </row>
    <row r="2622" spans="3:4" x14ac:dyDescent="0.25">
      <c r="C2622" s="1"/>
      <c r="D2622" s="2"/>
    </row>
    <row r="2623" spans="3:4" x14ac:dyDescent="0.25">
      <c r="C2623" s="1"/>
      <c r="D2623" s="2"/>
    </row>
    <row r="2624" spans="3:4" x14ac:dyDescent="0.25">
      <c r="C2624" s="1"/>
      <c r="D2624" s="2"/>
    </row>
    <row r="2625" spans="3:4" x14ac:dyDescent="0.25">
      <c r="C2625" s="1"/>
      <c r="D2625" s="2"/>
    </row>
    <row r="2626" spans="3:4" x14ac:dyDescent="0.25">
      <c r="C2626" s="1"/>
      <c r="D2626" s="2"/>
    </row>
    <row r="2627" spans="3:4" x14ac:dyDescent="0.25">
      <c r="C2627" s="1"/>
      <c r="D2627" s="2"/>
    </row>
    <row r="2628" spans="3:4" x14ac:dyDescent="0.25">
      <c r="C2628" s="1"/>
      <c r="D2628" s="2"/>
    </row>
    <row r="2629" spans="3:4" x14ac:dyDescent="0.25">
      <c r="C2629" s="1"/>
      <c r="D2629" s="2"/>
    </row>
    <row r="2630" spans="3:4" x14ac:dyDescent="0.25">
      <c r="C2630" s="1"/>
      <c r="D2630" s="2"/>
    </row>
    <row r="2631" spans="3:4" x14ac:dyDescent="0.25">
      <c r="C2631" s="1"/>
      <c r="D2631" s="2"/>
    </row>
    <row r="2632" spans="3:4" x14ac:dyDescent="0.25">
      <c r="C2632" s="1"/>
      <c r="D2632" s="2"/>
    </row>
    <row r="2633" spans="3:4" x14ac:dyDescent="0.25">
      <c r="C2633" s="1"/>
      <c r="D2633" s="2"/>
    </row>
    <row r="2634" spans="3:4" x14ac:dyDescent="0.25">
      <c r="C2634" s="1"/>
      <c r="D2634" s="2"/>
    </row>
    <row r="2635" spans="3:4" x14ac:dyDescent="0.25">
      <c r="C2635" s="1"/>
      <c r="D2635" s="2"/>
    </row>
    <row r="2636" spans="3:4" x14ac:dyDescent="0.25">
      <c r="C2636" s="1"/>
      <c r="D2636" s="2"/>
    </row>
    <row r="2637" spans="3:4" x14ac:dyDescent="0.25">
      <c r="C2637" s="1"/>
      <c r="D2637" s="2"/>
    </row>
    <row r="2638" spans="3:4" x14ac:dyDescent="0.25">
      <c r="C2638" s="1"/>
      <c r="D2638" s="2"/>
    </row>
    <row r="2639" spans="3:4" x14ac:dyDescent="0.25">
      <c r="C2639" s="1"/>
      <c r="D2639" s="2"/>
    </row>
    <row r="2640" spans="3:4" x14ac:dyDescent="0.25">
      <c r="C2640" s="1"/>
      <c r="D2640" s="2"/>
    </row>
    <row r="2641" spans="3:4" x14ac:dyDescent="0.25">
      <c r="C2641" s="1"/>
      <c r="D2641" s="2"/>
    </row>
    <row r="2642" spans="3:4" x14ac:dyDescent="0.25">
      <c r="C2642" s="1"/>
      <c r="D2642" s="2"/>
    </row>
    <row r="2643" spans="3:4" x14ac:dyDescent="0.25">
      <c r="C2643" s="1"/>
      <c r="D2643" s="2"/>
    </row>
    <row r="2644" spans="3:4" x14ac:dyDescent="0.25">
      <c r="C2644" s="1"/>
      <c r="D2644" s="2"/>
    </row>
    <row r="2645" spans="3:4" x14ac:dyDescent="0.25">
      <c r="C2645" s="1"/>
      <c r="D2645" s="2"/>
    </row>
    <row r="2646" spans="3:4" x14ac:dyDescent="0.25">
      <c r="C2646" s="1"/>
      <c r="D2646" s="2"/>
    </row>
    <row r="2647" spans="3:4" x14ac:dyDescent="0.25">
      <c r="C2647" s="1"/>
      <c r="D2647" s="2"/>
    </row>
    <row r="2648" spans="3:4" x14ac:dyDescent="0.25">
      <c r="C2648" s="1"/>
      <c r="D2648" s="2"/>
    </row>
    <row r="2649" spans="3:4" x14ac:dyDescent="0.25">
      <c r="C2649" s="1"/>
      <c r="D2649" s="2"/>
    </row>
    <row r="2650" spans="3:4" x14ac:dyDescent="0.25">
      <c r="C2650" s="1"/>
      <c r="D2650" s="2"/>
    </row>
    <row r="2651" spans="3:4" x14ac:dyDescent="0.25">
      <c r="C2651" s="1"/>
      <c r="D2651" s="2"/>
    </row>
    <row r="2652" spans="3:4" x14ac:dyDescent="0.25">
      <c r="C2652" s="1"/>
      <c r="D2652" s="2"/>
    </row>
    <row r="2653" spans="3:4" x14ac:dyDescent="0.25">
      <c r="C2653" s="1"/>
      <c r="D2653" s="2"/>
    </row>
    <row r="2654" spans="3:4" x14ac:dyDescent="0.25">
      <c r="C2654" s="1"/>
      <c r="D2654" s="2"/>
    </row>
    <row r="2655" spans="3:4" x14ac:dyDescent="0.25">
      <c r="C2655" s="1"/>
      <c r="D2655" s="2"/>
    </row>
    <row r="2656" spans="3:4" x14ac:dyDescent="0.25">
      <c r="C2656" s="1"/>
      <c r="D2656" s="2"/>
    </row>
    <row r="2657" spans="3:4" x14ac:dyDescent="0.25">
      <c r="C2657" s="1"/>
      <c r="D2657" s="2"/>
    </row>
    <row r="2658" spans="3:4" x14ac:dyDescent="0.25">
      <c r="C2658" s="1"/>
      <c r="D2658" s="2"/>
    </row>
    <row r="2659" spans="3:4" x14ac:dyDescent="0.25">
      <c r="C2659" s="1"/>
      <c r="D2659" s="2"/>
    </row>
    <row r="2660" spans="3:4" x14ac:dyDescent="0.25">
      <c r="C2660" s="1"/>
      <c r="D2660" s="2"/>
    </row>
    <row r="2661" spans="3:4" x14ac:dyDescent="0.25">
      <c r="C2661" s="1"/>
      <c r="D2661" s="2"/>
    </row>
    <row r="2662" spans="3:4" x14ac:dyDescent="0.25">
      <c r="C2662" s="1"/>
      <c r="D2662" s="2"/>
    </row>
    <row r="2663" spans="3:4" x14ac:dyDescent="0.25">
      <c r="C2663" s="1"/>
      <c r="D2663" s="2"/>
    </row>
    <row r="2664" spans="3:4" x14ac:dyDescent="0.25">
      <c r="C2664" s="1"/>
      <c r="D2664" s="2"/>
    </row>
    <row r="2665" spans="3:4" x14ac:dyDescent="0.25">
      <c r="C2665" s="1"/>
      <c r="D2665" s="2"/>
    </row>
    <row r="2666" spans="3:4" x14ac:dyDescent="0.25">
      <c r="C2666" s="1"/>
      <c r="D2666" s="2"/>
    </row>
    <row r="2667" spans="3:4" x14ac:dyDescent="0.25">
      <c r="C2667" s="1"/>
      <c r="D2667" s="2"/>
    </row>
    <row r="2668" spans="3:4" x14ac:dyDescent="0.25">
      <c r="C2668" s="1"/>
      <c r="D2668" s="2"/>
    </row>
    <row r="2669" spans="3:4" x14ac:dyDescent="0.25">
      <c r="C2669" s="1"/>
      <c r="D2669" s="2"/>
    </row>
    <row r="2670" spans="3:4" x14ac:dyDescent="0.25">
      <c r="C2670" s="1"/>
      <c r="D2670" s="2"/>
    </row>
    <row r="2671" spans="3:4" x14ac:dyDescent="0.25">
      <c r="C2671" s="1"/>
      <c r="D2671" s="2"/>
    </row>
    <row r="2672" spans="3:4" x14ac:dyDescent="0.25">
      <c r="C2672" s="1"/>
      <c r="D2672" s="2"/>
    </row>
    <row r="2673" spans="3:4" x14ac:dyDescent="0.25">
      <c r="C2673" s="1"/>
      <c r="D2673" s="2"/>
    </row>
    <row r="2674" spans="3:4" x14ac:dyDescent="0.25">
      <c r="C2674" s="1"/>
      <c r="D2674" s="2"/>
    </row>
    <row r="2675" spans="3:4" x14ac:dyDescent="0.25">
      <c r="C2675" s="1"/>
      <c r="D2675" s="2"/>
    </row>
    <row r="2676" spans="3:4" x14ac:dyDescent="0.25">
      <c r="C2676" s="1"/>
      <c r="D2676" s="2"/>
    </row>
    <row r="2677" spans="3:4" x14ac:dyDescent="0.25">
      <c r="C2677" s="1"/>
      <c r="D2677" s="2"/>
    </row>
    <row r="2678" spans="3:4" x14ac:dyDescent="0.25">
      <c r="C2678" s="1"/>
      <c r="D2678" s="2"/>
    </row>
    <row r="2679" spans="3:4" x14ac:dyDescent="0.25">
      <c r="C2679" s="1"/>
      <c r="D2679" s="2"/>
    </row>
    <row r="2680" spans="3:4" x14ac:dyDescent="0.25">
      <c r="C2680" s="1"/>
      <c r="D2680" s="2"/>
    </row>
    <row r="2681" spans="3:4" x14ac:dyDescent="0.25">
      <c r="C2681" s="1"/>
      <c r="D2681" s="2"/>
    </row>
    <row r="2682" spans="3:4" x14ac:dyDescent="0.25">
      <c r="C2682" s="1"/>
      <c r="D2682" s="2"/>
    </row>
    <row r="2683" spans="3:4" x14ac:dyDescent="0.25">
      <c r="C2683" s="1"/>
      <c r="D2683" s="2"/>
    </row>
    <row r="2684" spans="3:4" x14ac:dyDescent="0.25">
      <c r="C2684" s="1"/>
      <c r="D2684" s="2"/>
    </row>
    <row r="2685" spans="3:4" x14ac:dyDescent="0.25">
      <c r="C2685" s="1"/>
      <c r="D2685" s="2"/>
    </row>
    <row r="2686" spans="3:4" x14ac:dyDescent="0.25">
      <c r="C2686" s="1"/>
      <c r="D2686" s="2"/>
    </row>
    <row r="2687" spans="3:4" x14ac:dyDescent="0.25">
      <c r="C2687" s="1"/>
      <c r="D2687" s="2"/>
    </row>
    <row r="2688" spans="3:4" x14ac:dyDescent="0.25">
      <c r="C2688" s="1"/>
      <c r="D2688" s="2"/>
    </row>
    <row r="2689" spans="3:4" x14ac:dyDescent="0.25">
      <c r="C2689" s="1"/>
      <c r="D2689" s="2"/>
    </row>
    <row r="2690" spans="3:4" x14ac:dyDescent="0.25">
      <c r="C2690" s="1"/>
      <c r="D2690" s="2"/>
    </row>
    <row r="2691" spans="3:4" x14ac:dyDescent="0.25">
      <c r="C2691" s="1"/>
      <c r="D2691" s="2"/>
    </row>
    <row r="2692" spans="3:4" x14ac:dyDescent="0.25">
      <c r="C2692" s="1"/>
      <c r="D2692" s="2"/>
    </row>
    <row r="2693" spans="3:4" x14ac:dyDescent="0.25">
      <c r="C2693" s="1"/>
      <c r="D2693" s="2"/>
    </row>
    <row r="2694" spans="3:4" x14ac:dyDescent="0.25">
      <c r="C2694" s="1"/>
      <c r="D2694" s="2"/>
    </row>
    <row r="2695" spans="3:4" x14ac:dyDescent="0.25">
      <c r="C2695" s="1"/>
      <c r="D2695" s="2"/>
    </row>
    <row r="2696" spans="3:4" x14ac:dyDescent="0.25">
      <c r="C2696" s="1"/>
      <c r="D2696" s="2"/>
    </row>
    <row r="2697" spans="3:4" x14ac:dyDescent="0.25">
      <c r="C2697" s="1"/>
      <c r="D2697" s="2"/>
    </row>
    <row r="2698" spans="3:4" x14ac:dyDescent="0.25">
      <c r="C2698" s="1"/>
      <c r="D2698" s="2"/>
    </row>
    <row r="2699" spans="3:4" x14ac:dyDescent="0.25">
      <c r="C2699" s="1"/>
      <c r="D2699" s="2"/>
    </row>
    <row r="2700" spans="3:4" x14ac:dyDescent="0.25">
      <c r="C2700" s="1"/>
      <c r="D2700" s="2"/>
    </row>
    <row r="2701" spans="3:4" x14ac:dyDescent="0.25">
      <c r="C2701" s="1"/>
      <c r="D2701" s="2"/>
    </row>
    <row r="2702" spans="3:4" x14ac:dyDescent="0.25">
      <c r="C2702" s="1"/>
      <c r="D2702" s="2"/>
    </row>
    <row r="2703" spans="3:4" x14ac:dyDescent="0.25">
      <c r="C2703" s="1"/>
      <c r="D2703" s="2"/>
    </row>
    <row r="2704" spans="3:4" x14ac:dyDescent="0.25">
      <c r="C2704" s="1"/>
      <c r="D2704" s="2"/>
    </row>
    <row r="2705" spans="3:4" x14ac:dyDescent="0.25">
      <c r="C2705" s="1"/>
      <c r="D2705" s="2"/>
    </row>
    <row r="2706" spans="3:4" x14ac:dyDescent="0.25">
      <c r="C2706" s="1"/>
      <c r="D2706" s="2"/>
    </row>
    <row r="2707" spans="3:4" x14ac:dyDescent="0.25">
      <c r="C2707" s="1"/>
      <c r="D2707" s="2"/>
    </row>
    <row r="2708" spans="3:4" x14ac:dyDescent="0.25">
      <c r="C2708" s="1"/>
      <c r="D2708" s="2"/>
    </row>
    <row r="2709" spans="3:4" x14ac:dyDescent="0.25">
      <c r="C2709" s="1"/>
      <c r="D2709" s="2"/>
    </row>
    <row r="2710" spans="3:4" x14ac:dyDescent="0.25">
      <c r="C2710" s="1"/>
      <c r="D2710" s="2"/>
    </row>
    <row r="2711" spans="3:4" x14ac:dyDescent="0.25">
      <c r="C2711" s="1"/>
      <c r="D2711" s="2"/>
    </row>
    <row r="2712" spans="3:4" x14ac:dyDescent="0.25">
      <c r="C2712" s="1"/>
      <c r="D2712" s="2"/>
    </row>
    <row r="2713" spans="3:4" x14ac:dyDescent="0.25">
      <c r="C2713" s="1"/>
      <c r="D2713" s="2"/>
    </row>
    <row r="2714" spans="3:4" x14ac:dyDescent="0.25">
      <c r="C2714" s="1"/>
      <c r="D2714" s="2"/>
    </row>
    <row r="2715" spans="3:4" x14ac:dyDescent="0.25">
      <c r="C2715" s="1"/>
      <c r="D2715" s="2"/>
    </row>
    <row r="2716" spans="3:4" x14ac:dyDescent="0.25">
      <c r="C2716" s="1"/>
      <c r="D2716" s="2"/>
    </row>
    <row r="2717" spans="3:4" x14ac:dyDescent="0.25">
      <c r="C2717" s="1"/>
      <c r="D2717" s="2"/>
    </row>
    <row r="2718" spans="3:4" x14ac:dyDescent="0.25">
      <c r="C2718" s="1"/>
      <c r="D2718" s="2"/>
    </row>
    <row r="2719" spans="3:4" x14ac:dyDescent="0.25">
      <c r="C2719" s="1"/>
      <c r="D2719" s="2"/>
    </row>
    <row r="2720" spans="3:4" x14ac:dyDescent="0.25">
      <c r="C2720" s="1"/>
      <c r="D2720" s="2"/>
    </row>
    <row r="2721" spans="3:4" x14ac:dyDescent="0.25">
      <c r="C2721" s="1"/>
      <c r="D2721" s="2"/>
    </row>
    <row r="2722" spans="3:4" x14ac:dyDescent="0.25">
      <c r="C2722" s="1"/>
      <c r="D2722" s="2"/>
    </row>
    <row r="2723" spans="3:4" x14ac:dyDescent="0.25">
      <c r="C2723" s="1"/>
      <c r="D2723" s="2"/>
    </row>
    <row r="2724" spans="3:4" x14ac:dyDescent="0.25">
      <c r="C2724" s="1"/>
      <c r="D2724" s="2"/>
    </row>
    <row r="2725" spans="3:4" x14ac:dyDescent="0.25">
      <c r="C2725" s="1"/>
      <c r="D2725" s="2"/>
    </row>
    <row r="2726" spans="3:4" x14ac:dyDescent="0.25">
      <c r="C2726" s="1"/>
      <c r="D2726" s="2"/>
    </row>
    <row r="2727" spans="3:4" x14ac:dyDescent="0.25">
      <c r="C2727" s="1"/>
      <c r="D2727" s="2"/>
    </row>
    <row r="2728" spans="3:4" x14ac:dyDescent="0.25">
      <c r="C2728" s="1"/>
      <c r="D2728" s="2"/>
    </row>
    <row r="2729" spans="3:4" x14ac:dyDescent="0.25">
      <c r="C2729" s="1"/>
      <c r="D2729" s="2"/>
    </row>
    <row r="2730" spans="3:4" x14ac:dyDescent="0.25">
      <c r="C2730" s="1"/>
      <c r="D2730" s="2"/>
    </row>
    <row r="2731" spans="3:4" x14ac:dyDescent="0.25">
      <c r="C2731" s="1"/>
      <c r="D2731" s="2"/>
    </row>
    <row r="2732" spans="3:4" x14ac:dyDescent="0.25">
      <c r="C2732" s="1"/>
      <c r="D2732" s="2"/>
    </row>
    <row r="2733" spans="3:4" x14ac:dyDescent="0.25">
      <c r="C2733" s="1"/>
      <c r="D2733" s="2"/>
    </row>
    <row r="2734" spans="3:4" x14ac:dyDescent="0.25">
      <c r="C2734" s="1"/>
      <c r="D2734" s="2"/>
    </row>
    <row r="2735" spans="3:4" x14ac:dyDescent="0.25">
      <c r="C2735" s="1"/>
      <c r="D2735" s="2"/>
    </row>
    <row r="2736" spans="3:4" x14ac:dyDescent="0.25">
      <c r="C2736" s="1"/>
      <c r="D2736" s="2"/>
    </row>
    <row r="2737" spans="3:4" x14ac:dyDescent="0.25">
      <c r="C2737" s="1"/>
      <c r="D2737" s="2"/>
    </row>
    <row r="2738" spans="3:4" x14ac:dyDescent="0.25">
      <c r="C2738" s="1"/>
      <c r="D2738" s="2"/>
    </row>
    <row r="2739" spans="3:4" x14ac:dyDescent="0.25">
      <c r="C2739" s="1"/>
      <c r="D2739" s="2"/>
    </row>
    <row r="2740" spans="3:4" x14ac:dyDescent="0.25">
      <c r="C2740" s="1"/>
      <c r="D2740" s="2"/>
    </row>
    <row r="2741" spans="3:4" x14ac:dyDescent="0.25">
      <c r="C2741" s="1"/>
      <c r="D2741" s="2"/>
    </row>
    <row r="2742" spans="3:4" x14ac:dyDescent="0.25">
      <c r="C2742" s="1"/>
      <c r="D2742" s="2"/>
    </row>
    <row r="2743" spans="3:4" x14ac:dyDescent="0.25">
      <c r="C2743" s="1"/>
      <c r="D2743" s="2"/>
    </row>
    <row r="2744" spans="3:4" x14ac:dyDescent="0.25">
      <c r="C2744" s="1"/>
      <c r="D2744" s="2"/>
    </row>
    <row r="2745" spans="3:4" x14ac:dyDescent="0.25">
      <c r="C2745" s="1"/>
      <c r="D2745" s="2"/>
    </row>
    <row r="2746" spans="3:4" x14ac:dyDescent="0.25">
      <c r="C2746" s="1"/>
      <c r="D2746" s="2"/>
    </row>
    <row r="2747" spans="3:4" x14ac:dyDescent="0.25">
      <c r="C2747" s="1"/>
      <c r="D2747" s="2"/>
    </row>
    <row r="2748" spans="3:4" x14ac:dyDescent="0.25">
      <c r="C2748" s="1"/>
      <c r="D2748" s="2"/>
    </row>
    <row r="2749" spans="3:4" x14ac:dyDescent="0.25">
      <c r="C2749" s="1"/>
      <c r="D2749" s="2"/>
    </row>
    <row r="2750" spans="3:4" x14ac:dyDescent="0.25">
      <c r="C2750" s="1"/>
      <c r="D2750" s="2"/>
    </row>
    <row r="2751" spans="3:4" x14ac:dyDescent="0.25">
      <c r="C2751" s="1"/>
      <c r="D2751" s="2"/>
    </row>
    <row r="2752" spans="3:4" x14ac:dyDescent="0.25">
      <c r="C2752" s="1"/>
      <c r="D2752" s="2"/>
    </row>
    <row r="2753" spans="3:4" x14ac:dyDescent="0.25">
      <c r="C2753" s="1"/>
      <c r="D2753" s="2"/>
    </row>
    <row r="2754" spans="3:4" x14ac:dyDescent="0.25">
      <c r="C2754" s="1"/>
      <c r="D2754" s="2"/>
    </row>
    <row r="2755" spans="3:4" x14ac:dyDescent="0.25">
      <c r="C2755" s="1"/>
      <c r="D2755" s="2"/>
    </row>
    <row r="2756" spans="3:4" x14ac:dyDescent="0.25">
      <c r="C2756" s="1"/>
      <c r="D2756" s="2"/>
    </row>
    <row r="2757" spans="3:4" x14ac:dyDescent="0.25">
      <c r="C2757" s="1"/>
      <c r="D2757" s="2"/>
    </row>
    <row r="2758" spans="3:4" x14ac:dyDescent="0.25">
      <c r="C2758" s="1"/>
      <c r="D2758" s="2"/>
    </row>
    <row r="2759" spans="3:4" x14ac:dyDescent="0.25">
      <c r="C2759" s="1"/>
      <c r="D2759" s="2"/>
    </row>
    <row r="2760" spans="3:4" x14ac:dyDescent="0.25">
      <c r="C2760" s="1"/>
      <c r="D2760" s="2"/>
    </row>
    <row r="2761" spans="3:4" x14ac:dyDescent="0.25">
      <c r="C2761" s="1"/>
      <c r="D2761" s="2"/>
    </row>
    <row r="2762" spans="3:4" x14ac:dyDescent="0.25">
      <c r="C2762" s="1"/>
      <c r="D2762" s="2"/>
    </row>
    <row r="2763" spans="3:4" x14ac:dyDescent="0.25">
      <c r="C2763" s="1"/>
      <c r="D2763" s="2"/>
    </row>
    <row r="2764" spans="3:4" x14ac:dyDescent="0.25">
      <c r="C2764" s="1"/>
      <c r="D2764" s="2"/>
    </row>
    <row r="2765" spans="3:4" x14ac:dyDescent="0.25">
      <c r="C2765" s="1"/>
      <c r="D2765" s="2"/>
    </row>
    <row r="2766" spans="3:4" x14ac:dyDescent="0.25">
      <c r="C2766" s="1"/>
      <c r="D2766" s="2"/>
    </row>
    <row r="2767" spans="3:4" x14ac:dyDescent="0.25">
      <c r="C2767" s="1"/>
      <c r="D2767" s="2"/>
    </row>
    <row r="2768" spans="3:4" x14ac:dyDescent="0.25">
      <c r="C2768" s="1"/>
      <c r="D2768" s="2"/>
    </row>
    <row r="2769" spans="3:4" x14ac:dyDescent="0.25">
      <c r="C2769" s="1"/>
      <c r="D2769" s="2"/>
    </row>
    <row r="2770" spans="3:4" x14ac:dyDescent="0.25">
      <c r="C2770" s="1"/>
      <c r="D2770" s="2"/>
    </row>
    <row r="2771" spans="3:4" x14ac:dyDescent="0.25">
      <c r="C2771" s="1"/>
      <c r="D2771" s="2"/>
    </row>
    <row r="2772" spans="3:4" x14ac:dyDescent="0.25">
      <c r="C2772" s="1"/>
      <c r="D2772" s="2"/>
    </row>
    <row r="2773" spans="3:4" x14ac:dyDescent="0.25">
      <c r="C2773" s="1"/>
      <c r="D2773" s="2"/>
    </row>
    <row r="2774" spans="3:4" x14ac:dyDescent="0.25">
      <c r="C2774" s="1"/>
      <c r="D2774" s="2"/>
    </row>
    <row r="2775" spans="3:4" x14ac:dyDescent="0.25">
      <c r="C2775" s="1"/>
      <c r="D2775" s="2"/>
    </row>
    <row r="2776" spans="3:4" x14ac:dyDescent="0.25">
      <c r="C2776" s="1"/>
      <c r="D2776" s="2"/>
    </row>
    <row r="2777" spans="3:4" x14ac:dyDescent="0.25">
      <c r="C2777" s="1"/>
      <c r="D2777" s="2"/>
    </row>
    <row r="2778" spans="3:4" x14ac:dyDescent="0.25">
      <c r="C2778" s="1"/>
      <c r="D2778" s="2"/>
    </row>
    <row r="2779" spans="3:4" x14ac:dyDescent="0.25">
      <c r="C2779" s="1"/>
      <c r="D2779" s="2"/>
    </row>
    <row r="2780" spans="3:4" x14ac:dyDescent="0.25">
      <c r="C2780" s="1"/>
      <c r="D2780" s="2"/>
    </row>
    <row r="2781" spans="3:4" x14ac:dyDescent="0.25">
      <c r="C2781" s="1"/>
      <c r="D2781" s="2"/>
    </row>
    <row r="2782" spans="3:4" x14ac:dyDescent="0.25">
      <c r="C2782" s="1"/>
      <c r="D2782" s="2"/>
    </row>
    <row r="2783" spans="3:4" x14ac:dyDescent="0.25">
      <c r="C2783" s="1"/>
      <c r="D2783" s="2"/>
    </row>
    <row r="2784" spans="3:4" x14ac:dyDescent="0.25">
      <c r="C2784" s="1"/>
      <c r="D2784" s="2"/>
    </row>
    <row r="2785" spans="3:4" x14ac:dyDescent="0.25">
      <c r="C2785" s="1"/>
      <c r="D2785" s="2"/>
    </row>
    <row r="2786" spans="3:4" x14ac:dyDescent="0.25">
      <c r="C2786" s="1"/>
      <c r="D2786" s="2"/>
    </row>
    <row r="2787" spans="3:4" x14ac:dyDescent="0.25">
      <c r="C2787" s="1"/>
      <c r="D2787" s="2"/>
    </row>
    <row r="2788" spans="3:4" x14ac:dyDescent="0.25">
      <c r="C2788" s="1"/>
      <c r="D2788" s="2"/>
    </row>
    <row r="2789" spans="3:4" x14ac:dyDescent="0.25">
      <c r="C2789" s="1"/>
      <c r="D2789" s="2"/>
    </row>
    <row r="2790" spans="3:4" x14ac:dyDescent="0.25">
      <c r="C2790" s="1"/>
      <c r="D2790" s="2"/>
    </row>
    <row r="2791" spans="3:4" x14ac:dyDescent="0.25">
      <c r="C2791" s="1"/>
      <c r="D2791" s="2"/>
    </row>
    <row r="2792" spans="3:4" x14ac:dyDescent="0.25">
      <c r="C2792" s="1"/>
      <c r="D2792" s="2"/>
    </row>
    <row r="2793" spans="3:4" x14ac:dyDescent="0.25">
      <c r="C2793" s="1"/>
      <c r="D2793" s="2"/>
    </row>
    <row r="2794" spans="3:4" x14ac:dyDescent="0.25">
      <c r="C2794" s="1"/>
      <c r="D2794" s="2"/>
    </row>
    <row r="2795" spans="3:4" x14ac:dyDescent="0.25">
      <c r="C2795" s="1"/>
      <c r="D2795" s="2"/>
    </row>
    <row r="2796" spans="3:4" x14ac:dyDescent="0.25">
      <c r="C2796" s="1"/>
      <c r="D2796" s="2"/>
    </row>
    <row r="2797" spans="3:4" x14ac:dyDescent="0.25">
      <c r="C2797" s="1"/>
      <c r="D2797" s="2"/>
    </row>
    <row r="2798" spans="3:4" x14ac:dyDescent="0.25">
      <c r="C2798" s="1"/>
      <c r="D2798" s="2"/>
    </row>
    <row r="2799" spans="3:4" x14ac:dyDescent="0.25">
      <c r="C2799" s="1"/>
      <c r="D2799" s="2"/>
    </row>
    <row r="2800" spans="3:4" x14ac:dyDescent="0.25">
      <c r="C2800" s="1"/>
      <c r="D2800" s="2"/>
    </row>
    <row r="2801" spans="3:4" x14ac:dyDescent="0.25">
      <c r="C2801" s="1"/>
      <c r="D2801" s="2"/>
    </row>
    <row r="2802" spans="3:4" x14ac:dyDescent="0.25">
      <c r="C2802" s="1"/>
      <c r="D2802" s="2"/>
    </row>
    <row r="2803" spans="3:4" x14ac:dyDescent="0.25">
      <c r="C2803" s="1"/>
      <c r="D2803" s="2"/>
    </row>
    <row r="2804" spans="3:4" x14ac:dyDescent="0.25">
      <c r="C2804" s="1"/>
      <c r="D2804" s="2"/>
    </row>
    <row r="2805" spans="3:4" x14ac:dyDescent="0.25">
      <c r="C2805" s="1"/>
      <c r="D2805" s="2"/>
    </row>
    <row r="2806" spans="3:4" x14ac:dyDescent="0.25">
      <c r="C2806" s="1"/>
      <c r="D2806" s="2"/>
    </row>
    <row r="2807" spans="3:4" x14ac:dyDescent="0.25">
      <c r="C2807" s="1"/>
      <c r="D2807" s="2"/>
    </row>
    <row r="2808" spans="3:4" x14ac:dyDescent="0.25">
      <c r="C2808" s="1"/>
      <c r="D2808" s="2"/>
    </row>
    <row r="2809" spans="3:4" x14ac:dyDescent="0.25">
      <c r="C2809" s="1"/>
      <c r="D2809" s="2"/>
    </row>
    <row r="2810" spans="3:4" x14ac:dyDescent="0.25">
      <c r="C2810" s="1"/>
      <c r="D2810" s="2"/>
    </row>
    <row r="2811" spans="3:4" x14ac:dyDescent="0.25">
      <c r="C2811" s="1"/>
      <c r="D2811" s="2"/>
    </row>
    <row r="2812" spans="3:4" x14ac:dyDescent="0.25">
      <c r="C2812" s="1"/>
      <c r="D2812" s="2"/>
    </row>
    <row r="2813" spans="3:4" x14ac:dyDescent="0.25">
      <c r="C2813" s="1"/>
      <c r="D2813" s="2"/>
    </row>
    <row r="2814" spans="3:4" x14ac:dyDescent="0.25">
      <c r="C2814" s="1"/>
      <c r="D2814" s="2"/>
    </row>
    <row r="2815" spans="3:4" x14ac:dyDescent="0.25">
      <c r="C2815" s="1"/>
      <c r="D2815" s="2"/>
    </row>
    <row r="2816" spans="3:4" x14ac:dyDescent="0.25">
      <c r="C2816" s="1"/>
      <c r="D2816" s="2"/>
    </row>
    <row r="2817" spans="3:4" x14ac:dyDescent="0.25">
      <c r="C2817" s="1"/>
      <c r="D2817" s="2"/>
    </row>
    <row r="2818" spans="3:4" x14ac:dyDescent="0.25">
      <c r="C2818" s="1"/>
      <c r="D2818" s="2"/>
    </row>
    <row r="2819" spans="3:4" x14ac:dyDescent="0.25">
      <c r="C2819" s="1"/>
      <c r="D2819" s="2"/>
    </row>
    <row r="2820" spans="3:4" x14ac:dyDescent="0.25">
      <c r="C2820" s="1"/>
      <c r="D2820" s="2"/>
    </row>
    <row r="2821" spans="3:4" x14ac:dyDescent="0.25">
      <c r="C2821" s="1"/>
      <c r="D2821" s="2"/>
    </row>
    <row r="2822" spans="3:4" x14ac:dyDescent="0.25">
      <c r="C2822" s="1"/>
      <c r="D2822" s="2"/>
    </row>
    <row r="2823" spans="3:4" x14ac:dyDescent="0.25">
      <c r="C2823" s="1"/>
      <c r="D2823" s="2"/>
    </row>
    <row r="2824" spans="3:4" x14ac:dyDescent="0.25">
      <c r="C2824" s="1"/>
      <c r="D2824" s="2"/>
    </row>
    <row r="2825" spans="3:4" x14ac:dyDescent="0.25">
      <c r="C2825" s="1"/>
      <c r="D2825" s="2"/>
    </row>
    <row r="2826" spans="3:4" x14ac:dyDescent="0.25">
      <c r="C2826" s="1"/>
      <c r="D2826" s="2"/>
    </row>
    <row r="2827" spans="3:4" x14ac:dyDescent="0.25">
      <c r="C2827" s="1"/>
      <c r="D2827" s="2"/>
    </row>
    <row r="2828" spans="3:4" x14ac:dyDescent="0.25">
      <c r="C2828" s="1"/>
      <c r="D2828" s="2"/>
    </row>
    <row r="2829" spans="3:4" x14ac:dyDescent="0.25">
      <c r="C2829" s="1"/>
      <c r="D2829" s="2"/>
    </row>
    <row r="2830" spans="3:4" x14ac:dyDescent="0.25">
      <c r="C2830" s="1"/>
      <c r="D2830" s="2"/>
    </row>
    <row r="2831" spans="3:4" x14ac:dyDescent="0.25">
      <c r="C2831" s="1"/>
      <c r="D2831" s="2"/>
    </row>
    <row r="2832" spans="3:4" x14ac:dyDescent="0.25">
      <c r="C2832" s="1"/>
      <c r="D2832" s="2"/>
    </row>
    <row r="2833" spans="3:4" x14ac:dyDescent="0.25">
      <c r="C2833" s="1"/>
      <c r="D2833" s="2"/>
    </row>
    <row r="2834" spans="3:4" x14ac:dyDescent="0.25">
      <c r="C2834" s="1"/>
      <c r="D2834" s="2"/>
    </row>
    <row r="2835" spans="3:4" x14ac:dyDescent="0.25">
      <c r="C2835" s="1"/>
      <c r="D2835" s="2"/>
    </row>
    <row r="2836" spans="3:4" x14ac:dyDescent="0.25">
      <c r="C2836" s="1"/>
      <c r="D2836" s="2"/>
    </row>
    <row r="2837" spans="3:4" x14ac:dyDescent="0.25">
      <c r="C2837" s="1"/>
      <c r="D2837" s="2"/>
    </row>
    <row r="2838" spans="3:4" x14ac:dyDescent="0.25">
      <c r="C2838" s="1"/>
      <c r="D2838" s="2"/>
    </row>
    <row r="2839" spans="3:4" x14ac:dyDescent="0.25">
      <c r="C2839" s="1"/>
      <c r="D2839" s="2"/>
    </row>
    <row r="2840" spans="3:4" x14ac:dyDescent="0.25">
      <c r="C2840" s="1"/>
      <c r="D2840" s="2"/>
    </row>
    <row r="2841" spans="3:4" x14ac:dyDescent="0.25">
      <c r="C2841" s="1"/>
      <c r="D2841" s="2"/>
    </row>
    <row r="2842" spans="3:4" x14ac:dyDescent="0.25">
      <c r="C2842" s="1"/>
      <c r="D2842" s="2"/>
    </row>
    <row r="2843" spans="3:4" x14ac:dyDescent="0.25">
      <c r="C2843" s="1"/>
      <c r="D2843" s="2"/>
    </row>
    <row r="2844" spans="3:4" x14ac:dyDescent="0.25">
      <c r="C2844" s="1"/>
      <c r="D2844" s="2"/>
    </row>
    <row r="2845" spans="3:4" x14ac:dyDescent="0.25">
      <c r="C2845" s="1"/>
      <c r="D2845" s="2"/>
    </row>
    <row r="2846" spans="3:4" x14ac:dyDescent="0.25">
      <c r="C2846" s="1"/>
      <c r="D2846" s="2"/>
    </row>
    <row r="2847" spans="3:4" x14ac:dyDescent="0.25">
      <c r="C2847" s="1"/>
      <c r="D2847" s="2"/>
    </row>
    <row r="2848" spans="3:4" x14ac:dyDescent="0.25">
      <c r="C2848" s="1"/>
      <c r="D2848" s="2"/>
    </row>
    <row r="2849" spans="3:4" x14ac:dyDescent="0.25">
      <c r="C2849" s="1"/>
      <c r="D2849" s="2"/>
    </row>
    <row r="2850" spans="3:4" x14ac:dyDescent="0.25">
      <c r="C2850" s="1"/>
      <c r="D2850" s="2"/>
    </row>
    <row r="2851" spans="3:4" x14ac:dyDescent="0.25">
      <c r="C2851" s="1"/>
      <c r="D2851" s="2"/>
    </row>
    <row r="2852" spans="3:4" x14ac:dyDescent="0.25">
      <c r="C2852" s="1"/>
      <c r="D2852" s="2"/>
    </row>
    <row r="2853" spans="3:4" x14ac:dyDescent="0.25">
      <c r="C2853" s="1"/>
      <c r="D2853" s="2"/>
    </row>
    <row r="2854" spans="3:4" x14ac:dyDescent="0.25">
      <c r="C2854" s="1"/>
      <c r="D2854" s="2"/>
    </row>
    <row r="2855" spans="3:4" x14ac:dyDescent="0.25">
      <c r="C2855" s="1"/>
      <c r="D2855" s="2"/>
    </row>
    <row r="2856" spans="3:4" x14ac:dyDescent="0.25">
      <c r="C2856" s="1"/>
      <c r="D2856" s="2"/>
    </row>
    <row r="2857" spans="3:4" x14ac:dyDescent="0.25">
      <c r="C2857" s="1"/>
      <c r="D2857" s="2"/>
    </row>
    <row r="2858" spans="3:4" x14ac:dyDescent="0.25">
      <c r="C2858" s="1"/>
      <c r="D2858" s="2"/>
    </row>
    <row r="2859" spans="3:4" x14ac:dyDescent="0.25">
      <c r="C2859" s="1"/>
      <c r="D2859" s="2"/>
    </row>
    <row r="2860" spans="3:4" x14ac:dyDescent="0.25">
      <c r="C2860" s="1"/>
      <c r="D2860" s="2"/>
    </row>
    <row r="2861" spans="3:4" x14ac:dyDescent="0.25">
      <c r="C2861" s="1"/>
      <c r="D2861" s="2"/>
    </row>
    <row r="2862" spans="3:4" x14ac:dyDescent="0.25">
      <c r="C2862" s="1"/>
      <c r="D2862" s="2"/>
    </row>
    <row r="2863" spans="3:4" x14ac:dyDescent="0.25">
      <c r="C2863" s="1"/>
      <c r="D2863" s="2"/>
    </row>
    <row r="2864" spans="3:4" x14ac:dyDescent="0.25">
      <c r="C2864" s="1"/>
      <c r="D2864" s="2"/>
    </row>
    <row r="2865" spans="3:4" x14ac:dyDescent="0.25">
      <c r="C2865" s="1"/>
      <c r="D2865" s="2"/>
    </row>
    <row r="2866" spans="3:4" x14ac:dyDescent="0.25">
      <c r="C2866" s="1"/>
      <c r="D2866" s="2"/>
    </row>
    <row r="2867" spans="3:4" x14ac:dyDescent="0.25">
      <c r="C2867" s="1"/>
      <c r="D2867" s="2"/>
    </row>
    <row r="2868" spans="3:4" x14ac:dyDescent="0.25">
      <c r="C2868" s="1"/>
      <c r="D2868" s="2"/>
    </row>
    <row r="2869" spans="3:4" x14ac:dyDescent="0.25">
      <c r="C2869" s="1"/>
      <c r="D2869" s="2"/>
    </row>
    <row r="2870" spans="3:4" x14ac:dyDescent="0.25">
      <c r="C2870" s="1"/>
      <c r="D2870" s="2"/>
    </row>
    <row r="2871" spans="3:4" x14ac:dyDescent="0.25">
      <c r="C2871" s="1"/>
      <c r="D2871" s="2"/>
    </row>
    <row r="2872" spans="3:4" x14ac:dyDescent="0.25">
      <c r="C2872" s="1"/>
      <c r="D2872" s="2"/>
    </row>
    <row r="2873" spans="3:4" x14ac:dyDescent="0.25">
      <c r="C2873" s="1"/>
      <c r="D2873" s="2"/>
    </row>
    <row r="2874" spans="3:4" x14ac:dyDescent="0.25">
      <c r="C2874" s="1"/>
      <c r="D2874" s="2"/>
    </row>
    <row r="2875" spans="3:4" x14ac:dyDescent="0.25">
      <c r="C2875" s="1"/>
      <c r="D2875" s="2"/>
    </row>
    <row r="2876" spans="3:4" x14ac:dyDescent="0.25">
      <c r="C2876" s="1"/>
      <c r="D2876" s="2"/>
    </row>
    <row r="2877" spans="3:4" x14ac:dyDescent="0.25">
      <c r="C2877" s="1"/>
      <c r="D2877" s="2"/>
    </row>
    <row r="2878" spans="3:4" x14ac:dyDescent="0.25">
      <c r="C2878" s="1"/>
      <c r="D2878" s="2"/>
    </row>
    <row r="2879" spans="3:4" x14ac:dyDescent="0.25">
      <c r="C2879" s="1"/>
      <c r="D2879" s="2"/>
    </row>
    <row r="2880" spans="3:4" x14ac:dyDescent="0.25">
      <c r="C2880" s="1"/>
      <c r="D2880" s="2"/>
    </row>
    <row r="2881" spans="3:4" x14ac:dyDescent="0.25">
      <c r="C2881" s="1"/>
      <c r="D2881" s="2"/>
    </row>
    <row r="2882" spans="3:4" x14ac:dyDescent="0.25">
      <c r="C2882" s="1"/>
      <c r="D2882" s="2"/>
    </row>
    <row r="2883" spans="3:4" x14ac:dyDescent="0.25">
      <c r="C2883" s="1"/>
      <c r="D2883" s="2"/>
    </row>
    <row r="2884" spans="3:4" x14ac:dyDescent="0.25">
      <c r="C2884" s="1"/>
      <c r="D2884" s="2"/>
    </row>
    <row r="2885" spans="3:4" x14ac:dyDescent="0.25">
      <c r="C2885" s="1"/>
      <c r="D2885" s="2"/>
    </row>
    <row r="2886" spans="3:4" x14ac:dyDescent="0.25">
      <c r="C2886" s="1"/>
      <c r="D2886" s="2"/>
    </row>
    <row r="2887" spans="3:4" x14ac:dyDescent="0.25">
      <c r="C2887" s="1"/>
      <c r="D2887" s="2"/>
    </row>
    <row r="2888" spans="3:4" x14ac:dyDescent="0.25">
      <c r="C2888" s="1"/>
      <c r="D2888" s="2"/>
    </row>
    <row r="2889" spans="3:4" x14ac:dyDescent="0.25">
      <c r="C2889" s="1"/>
      <c r="D2889" s="2"/>
    </row>
    <row r="2890" spans="3:4" x14ac:dyDescent="0.25">
      <c r="C2890" s="1"/>
      <c r="D2890" s="2"/>
    </row>
    <row r="2891" spans="3:4" x14ac:dyDescent="0.25">
      <c r="C2891" s="1"/>
      <c r="D2891" s="2"/>
    </row>
    <row r="2892" spans="3:4" x14ac:dyDescent="0.25">
      <c r="C2892" s="1"/>
      <c r="D2892" s="2"/>
    </row>
    <row r="2893" spans="3:4" x14ac:dyDescent="0.25">
      <c r="C2893" s="1"/>
      <c r="D2893" s="2"/>
    </row>
    <row r="2894" spans="3:4" x14ac:dyDescent="0.25">
      <c r="C2894" s="1"/>
      <c r="D2894" s="2"/>
    </row>
    <row r="2895" spans="3:4" x14ac:dyDescent="0.25">
      <c r="C2895" s="1"/>
      <c r="D2895" s="2"/>
    </row>
    <row r="2896" spans="3:4" x14ac:dyDescent="0.25">
      <c r="C2896" s="1"/>
      <c r="D2896" s="2"/>
    </row>
    <row r="2897" spans="3:4" x14ac:dyDescent="0.25">
      <c r="C2897" s="1"/>
      <c r="D2897" s="2"/>
    </row>
    <row r="2898" spans="3:4" x14ac:dyDescent="0.25">
      <c r="C2898" s="1"/>
      <c r="D2898" s="2"/>
    </row>
    <row r="2899" spans="3:4" x14ac:dyDescent="0.25">
      <c r="C2899" s="1"/>
      <c r="D2899" s="2"/>
    </row>
    <row r="2900" spans="3:4" x14ac:dyDescent="0.25">
      <c r="C2900" s="1"/>
      <c r="D2900" s="2"/>
    </row>
    <row r="2901" spans="3:4" x14ac:dyDescent="0.25">
      <c r="C2901" s="1"/>
      <c r="D2901" s="2"/>
    </row>
    <row r="2902" spans="3:4" x14ac:dyDescent="0.25">
      <c r="C2902" s="1"/>
      <c r="D2902" s="2"/>
    </row>
    <row r="2903" spans="3:4" x14ac:dyDescent="0.25">
      <c r="C2903" s="1"/>
      <c r="D2903" s="2"/>
    </row>
    <row r="2904" spans="3:4" x14ac:dyDescent="0.25">
      <c r="C2904" s="1"/>
      <c r="D2904" s="2"/>
    </row>
    <row r="2905" spans="3:4" x14ac:dyDescent="0.25">
      <c r="C2905" s="1"/>
      <c r="D2905" s="2"/>
    </row>
    <row r="2906" spans="3:4" x14ac:dyDescent="0.25">
      <c r="C2906" s="1"/>
      <c r="D2906" s="2"/>
    </row>
    <row r="2907" spans="3:4" x14ac:dyDescent="0.25">
      <c r="C2907" s="1"/>
      <c r="D2907" s="2"/>
    </row>
    <row r="2908" spans="3:4" x14ac:dyDescent="0.25">
      <c r="C2908" s="1"/>
      <c r="D2908" s="2"/>
    </row>
    <row r="2909" spans="3:4" x14ac:dyDescent="0.25">
      <c r="C2909" s="1"/>
      <c r="D2909" s="2"/>
    </row>
    <row r="2910" spans="3:4" x14ac:dyDescent="0.25">
      <c r="C2910" s="1"/>
      <c r="D2910" s="2"/>
    </row>
    <row r="2911" spans="3:4" x14ac:dyDescent="0.25">
      <c r="C2911" s="1"/>
      <c r="D2911" s="2"/>
    </row>
    <row r="2912" spans="3:4" x14ac:dyDescent="0.25">
      <c r="C2912" s="1"/>
      <c r="D2912" s="2"/>
    </row>
    <row r="2913" spans="3:4" x14ac:dyDescent="0.25">
      <c r="C2913" s="1"/>
      <c r="D2913" s="2"/>
    </row>
    <row r="2914" spans="3:4" x14ac:dyDescent="0.25">
      <c r="C2914" s="1"/>
      <c r="D2914" s="2"/>
    </row>
    <row r="2915" spans="3:4" x14ac:dyDescent="0.25">
      <c r="C2915" s="1"/>
      <c r="D2915" s="2"/>
    </row>
    <row r="2916" spans="3:4" x14ac:dyDescent="0.25">
      <c r="C2916" s="1"/>
      <c r="D2916" s="2"/>
    </row>
    <row r="2917" spans="3:4" x14ac:dyDescent="0.25">
      <c r="C2917" s="1"/>
      <c r="D2917" s="2"/>
    </row>
    <row r="2918" spans="3:4" x14ac:dyDescent="0.25">
      <c r="C2918" s="1"/>
      <c r="D2918" s="2"/>
    </row>
    <row r="2919" spans="3:4" x14ac:dyDescent="0.25">
      <c r="C2919" s="1"/>
      <c r="D2919" s="2"/>
    </row>
    <row r="2920" spans="3:4" x14ac:dyDescent="0.25">
      <c r="C2920" s="1"/>
      <c r="D2920" s="2"/>
    </row>
    <row r="2921" spans="3:4" x14ac:dyDescent="0.25">
      <c r="C2921" s="1"/>
      <c r="D2921" s="2"/>
    </row>
    <row r="2922" spans="3:4" x14ac:dyDescent="0.25">
      <c r="C2922" s="1"/>
      <c r="D2922" s="2"/>
    </row>
    <row r="2923" spans="3:4" x14ac:dyDescent="0.25">
      <c r="C2923" s="1"/>
      <c r="D2923" s="2"/>
    </row>
    <row r="2924" spans="3:4" x14ac:dyDescent="0.25">
      <c r="C2924" s="1"/>
      <c r="D2924" s="2"/>
    </row>
    <row r="2925" spans="3:4" x14ac:dyDescent="0.25">
      <c r="C2925" s="1"/>
      <c r="D2925" s="2"/>
    </row>
    <row r="2926" spans="3:4" x14ac:dyDescent="0.25">
      <c r="C2926" s="1"/>
      <c r="D2926" s="2"/>
    </row>
    <row r="2927" spans="3:4" x14ac:dyDescent="0.25">
      <c r="C2927" s="1"/>
      <c r="D2927" s="2"/>
    </row>
    <row r="2928" spans="3:4" x14ac:dyDescent="0.25">
      <c r="C2928" s="1"/>
      <c r="D2928" s="2"/>
    </row>
    <row r="2929" spans="3:4" x14ac:dyDescent="0.25">
      <c r="C2929" s="1"/>
      <c r="D2929" s="2"/>
    </row>
    <row r="2930" spans="3:4" x14ac:dyDescent="0.25">
      <c r="C2930" s="1"/>
      <c r="D2930" s="2"/>
    </row>
    <row r="2931" spans="3:4" x14ac:dyDescent="0.25">
      <c r="C2931" s="1"/>
      <c r="D2931" s="2"/>
    </row>
    <row r="2932" spans="3:4" x14ac:dyDescent="0.25">
      <c r="C2932" s="1"/>
      <c r="D2932" s="2"/>
    </row>
    <row r="2933" spans="3:4" x14ac:dyDescent="0.25">
      <c r="C2933" s="1"/>
      <c r="D2933" s="2"/>
    </row>
    <row r="2934" spans="3:4" x14ac:dyDescent="0.25">
      <c r="C2934" s="1"/>
      <c r="D2934" s="2"/>
    </row>
    <row r="2935" spans="3:4" x14ac:dyDescent="0.25">
      <c r="C2935" s="1"/>
      <c r="D2935" s="2"/>
    </row>
    <row r="2936" spans="3:4" x14ac:dyDescent="0.25">
      <c r="C2936" s="1"/>
      <c r="D2936" s="2"/>
    </row>
    <row r="2937" spans="3:4" x14ac:dyDescent="0.25">
      <c r="C2937" s="1"/>
      <c r="D2937" s="2"/>
    </row>
    <row r="2938" spans="3:4" x14ac:dyDescent="0.25">
      <c r="C2938" s="1"/>
      <c r="D2938" s="2"/>
    </row>
    <row r="2939" spans="3:4" x14ac:dyDescent="0.25">
      <c r="C2939" s="1"/>
      <c r="D2939" s="2"/>
    </row>
    <row r="2940" spans="3:4" x14ac:dyDescent="0.25">
      <c r="C2940" s="1"/>
      <c r="D2940" s="2"/>
    </row>
    <row r="2941" spans="3:4" x14ac:dyDescent="0.25">
      <c r="C2941" s="1"/>
      <c r="D2941" s="2"/>
    </row>
    <row r="2942" spans="3:4" x14ac:dyDescent="0.25">
      <c r="C2942" s="1"/>
      <c r="D2942" s="2"/>
    </row>
    <row r="2943" spans="3:4" x14ac:dyDescent="0.25">
      <c r="C2943" s="1"/>
      <c r="D2943" s="2"/>
    </row>
    <row r="2944" spans="3:4" x14ac:dyDescent="0.25">
      <c r="C2944" s="1"/>
      <c r="D2944" s="2"/>
    </row>
    <row r="2945" spans="3:4" x14ac:dyDescent="0.25">
      <c r="C2945" s="1"/>
      <c r="D2945" s="2"/>
    </row>
    <row r="2946" spans="3:4" x14ac:dyDescent="0.25">
      <c r="C2946" s="1"/>
      <c r="D2946" s="2"/>
    </row>
    <row r="2947" spans="3:4" x14ac:dyDescent="0.25">
      <c r="C2947" s="1"/>
      <c r="D2947" s="2"/>
    </row>
    <row r="2948" spans="3:4" x14ac:dyDescent="0.25">
      <c r="C2948" s="1"/>
      <c r="D2948" s="2"/>
    </row>
    <row r="2949" spans="3:4" x14ac:dyDescent="0.25">
      <c r="C2949" s="1"/>
      <c r="D2949" s="2"/>
    </row>
    <row r="2950" spans="3:4" x14ac:dyDescent="0.25">
      <c r="C2950" s="1"/>
      <c r="D2950" s="2"/>
    </row>
    <row r="2951" spans="3:4" x14ac:dyDescent="0.25">
      <c r="C2951" s="1"/>
      <c r="D2951" s="2"/>
    </row>
    <row r="2952" spans="3:4" x14ac:dyDescent="0.25">
      <c r="C2952" s="1"/>
      <c r="D2952" s="2"/>
    </row>
    <row r="2953" spans="3:4" x14ac:dyDescent="0.25">
      <c r="C2953" s="1"/>
      <c r="D2953" s="2"/>
    </row>
    <row r="2954" spans="3:4" x14ac:dyDescent="0.25">
      <c r="C2954" s="1"/>
      <c r="D2954" s="2"/>
    </row>
    <row r="2955" spans="3:4" x14ac:dyDescent="0.25">
      <c r="C2955" s="1"/>
      <c r="D2955" s="2"/>
    </row>
    <row r="2956" spans="3:4" x14ac:dyDescent="0.25">
      <c r="C2956" s="1"/>
      <c r="D2956" s="2"/>
    </row>
    <row r="2957" spans="3:4" x14ac:dyDescent="0.25">
      <c r="C2957" s="1"/>
      <c r="D2957" s="2"/>
    </row>
    <row r="2958" spans="3:4" x14ac:dyDescent="0.25">
      <c r="C2958" s="1"/>
      <c r="D2958" s="2"/>
    </row>
    <row r="2959" spans="3:4" x14ac:dyDescent="0.25">
      <c r="C2959" s="1"/>
      <c r="D2959" s="2"/>
    </row>
    <row r="2960" spans="3:4" x14ac:dyDescent="0.25">
      <c r="C2960" s="1"/>
      <c r="D2960" s="2"/>
    </row>
    <row r="2961" spans="3:4" x14ac:dyDescent="0.25">
      <c r="C2961" s="1"/>
      <c r="D2961" s="2"/>
    </row>
    <row r="2962" spans="3:4" x14ac:dyDescent="0.25">
      <c r="C2962" s="1"/>
      <c r="D2962" s="2"/>
    </row>
    <row r="2963" spans="3:4" x14ac:dyDescent="0.25">
      <c r="C2963" s="1"/>
      <c r="D2963" s="2"/>
    </row>
    <row r="2964" spans="3:4" x14ac:dyDescent="0.25">
      <c r="C2964" s="1"/>
      <c r="D2964" s="2"/>
    </row>
    <row r="2965" spans="3:4" x14ac:dyDescent="0.25">
      <c r="C2965" s="1"/>
      <c r="D2965" s="2"/>
    </row>
    <row r="2966" spans="3:4" x14ac:dyDescent="0.25">
      <c r="C2966" s="1"/>
      <c r="D2966" s="2"/>
    </row>
    <row r="2967" spans="3:4" x14ac:dyDescent="0.25">
      <c r="C2967" s="1"/>
      <c r="D2967" s="2"/>
    </row>
    <row r="2968" spans="3:4" x14ac:dyDescent="0.25">
      <c r="C2968" s="1"/>
      <c r="D2968" s="2"/>
    </row>
    <row r="2969" spans="3:4" x14ac:dyDescent="0.25">
      <c r="C2969" s="1"/>
      <c r="D2969" s="2"/>
    </row>
    <row r="2970" spans="3:4" x14ac:dyDescent="0.25">
      <c r="C2970" s="1"/>
      <c r="D2970" s="2"/>
    </row>
    <row r="2971" spans="3:4" x14ac:dyDescent="0.25">
      <c r="C2971" s="1"/>
      <c r="D2971" s="2"/>
    </row>
    <row r="2972" spans="3:4" x14ac:dyDescent="0.25">
      <c r="C2972" s="1"/>
      <c r="D2972" s="2"/>
    </row>
    <row r="2973" spans="3:4" x14ac:dyDescent="0.25">
      <c r="C2973" s="1"/>
      <c r="D2973" s="2"/>
    </row>
    <row r="2974" spans="3:4" x14ac:dyDescent="0.25">
      <c r="C2974" s="1"/>
      <c r="D2974" s="2"/>
    </row>
    <row r="2975" spans="3:4" x14ac:dyDescent="0.25">
      <c r="C2975" s="1"/>
      <c r="D2975" s="2"/>
    </row>
    <row r="2976" spans="3:4" x14ac:dyDescent="0.25">
      <c r="C2976" s="1"/>
      <c r="D2976" s="2"/>
    </row>
    <row r="2977" spans="3:4" x14ac:dyDescent="0.25">
      <c r="C2977" s="1"/>
      <c r="D2977" s="2"/>
    </row>
    <row r="2978" spans="3:4" x14ac:dyDescent="0.25">
      <c r="C2978" s="1"/>
      <c r="D2978" s="2"/>
    </row>
    <row r="2979" spans="3:4" x14ac:dyDescent="0.25">
      <c r="C2979" s="1"/>
      <c r="D2979" s="2"/>
    </row>
    <row r="2980" spans="3:4" x14ac:dyDescent="0.25">
      <c r="C2980" s="1"/>
      <c r="D2980" s="2"/>
    </row>
    <row r="2981" spans="3:4" x14ac:dyDescent="0.25">
      <c r="C2981" s="1"/>
      <c r="D2981" s="2"/>
    </row>
    <row r="2982" spans="3:4" x14ac:dyDescent="0.25">
      <c r="C2982" s="1"/>
      <c r="D2982" s="2"/>
    </row>
    <row r="2983" spans="3:4" x14ac:dyDescent="0.25">
      <c r="C2983" s="1"/>
      <c r="D2983" s="2"/>
    </row>
    <row r="2984" spans="3:4" x14ac:dyDescent="0.25">
      <c r="C2984" s="1"/>
      <c r="D2984" s="2"/>
    </row>
    <row r="2985" spans="3:4" x14ac:dyDescent="0.25">
      <c r="C2985" s="1"/>
      <c r="D2985" s="2"/>
    </row>
    <row r="2986" spans="3:4" x14ac:dyDescent="0.25">
      <c r="C2986" s="1"/>
      <c r="D2986" s="2"/>
    </row>
    <row r="2987" spans="3:4" x14ac:dyDescent="0.25">
      <c r="C2987" s="1"/>
      <c r="D2987" s="2"/>
    </row>
    <row r="2988" spans="3:4" x14ac:dyDescent="0.25">
      <c r="C2988" s="1"/>
      <c r="D2988" s="2"/>
    </row>
    <row r="2989" spans="3:4" x14ac:dyDescent="0.25">
      <c r="C2989" s="1"/>
      <c r="D2989" s="2"/>
    </row>
    <row r="2990" spans="3:4" x14ac:dyDescent="0.25">
      <c r="C2990" s="1"/>
      <c r="D2990" s="2"/>
    </row>
    <row r="2991" spans="3:4" x14ac:dyDescent="0.25">
      <c r="C2991" s="1"/>
      <c r="D2991" s="2"/>
    </row>
    <row r="2992" spans="3:4" x14ac:dyDescent="0.25">
      <c r="C2992" s="1"/>
      <c r="D2992" s="2"/>
    </row>
    <row r="2993" spans="3:4" x14ac:dyDescent="0.25">
      <c r="C2993" s="1"/>
      <c r="D2993" s="2"/>
    </row>
    <row r="2994" spans="3:4" x14ac:dyDescent="0.25">
      <c r="C2994" s="1"/>
      <c r="D2994" s="2"/>
    </row>
    <row r="2995" spans="3:4" x14ac:dyDescent="0.25">
      <c r="C2995" s="1"/>
      <c r="D2995" s="2"/>
    </row>
    <row r="2996" spans="3:4" x14ac:dyDescent="0.25">
      <c r="C2996" s="1"/>
      <c r="D2996" s="2"/>
    </row>
    <row r="2997" spans="3:4" x14ac:dyDescent="0.25">
      <c r="C2997" s="1"/>
      <c r="D2997" s="2"/>
    </row>
    <row r="2998" spans="3:4" x14ac:dyDescent="0.25">
      <c r="C2998" s="1"/>
      <c r="D2998" s="2"/>
    </row>
    <row r="2999" spans="3:4" x14ac:dyDescent="0.25">
      <c r="C2999" s="1"/>
      <c r="D2999" s="2"/>
    </row>
    <row r="3000" spans="3:4" x14ac:dyDescent="0.25">
      <c r="C3000" s="1"/>
      <c r="D3000" s="2"/>
    </row>
    <row r="3001" spans="3:4" x14ac:dyDescent="0.25">
      <c r="C3001" s="1"/>
      <c r="D3001" s="2"/>
    </row>
    <row r="3002" spans="3:4" x14ac:dyDescent="0.25">
      <c r="C3002" s="1"/>
      <c r="D3002" s="2"/>
    </row>
    <row r="3003" spans="3:4" x14ac:dyDescent="0.25">
      <c r="C3003" s="1"/>
      <c r="D3003" s="2"/>
    </row>
    <row r="3004" spans="3:4" x14ac:dyDescent="0.25">
      <c r="C3004" s="1"/>
      <c r="D3004" s="2"/>
    </row>
    <row r="3005" spans="3:4" x14ac:dyDescent="0.25">
      <c r="C3005" s="1"/>
      <c r="D3005" s="2"/>
    </row>
    <row r="3006" spans="3:4" x14ac:dyDescent="0.25">
      <c r="C3006" s="1"/>
      <c r="D3006" s="2"/>
    </row>
    <row r="3007" spans="3:4" x14ac:dyDescent="0.25">
      <c r="C3007" s="1"/>
      <c r="D3007" s="2"/>
    </row>
    <row r="3008" spans="3:4" x14ac:dyDescent="0.25">
      <c r="C3008" s="1"/>
      <c r="D3008" s="2"/>
    </row>
    <row r="3009" spans="3:4" x14ac:dyDescent="0.25">
      <c r="C3009" s="1"/>
      <c r="D3009" s="2"/>
    </row>
    <row r="3010" spans="3:4" x14ac:dyDescent="0.25">
      <c r="C3010" s="1"/>
      <c r="D3010" s="2"/>
    </row>
    <row r="3011" spans="3:4" x14ac:dyDescent="0.25">
      <c r="C3011" s="1"/>
      <c r="D3011" s="2"/>
    </row>
    <row r="3012" spans="3:4" x14ac:dyDescent="0.25">
      <c r="C3012" s="1"/>
      <c r="D3012" s="2"/>
    </row>
    <row r="3013" spans="3:4" x14ac:dyDescent="0.25">
      <c r="C3013" s="1"/>
      <c r="D3013" s="2"/>
    </row>
    <row r="3014" spans="3:4" x14ac:dyDescent="0.25">
      <c r="C3014" s="1"/>
      <c r="D3014" s="2"/>
    </row>
    <row r="3015" spans="3:4" x14ac:dyDescent="0.25">
      <c r="C3015" s="1"/>
      <c r="D3015" s="2"/>
    </row>
    <row r="3016" spans="3:4" x14ac:dyDescent="0.25">
      <c r="C3016" s="1"/>
      <c r="D3016" s="2"/>
    </row>
    <row r="3017" spans="3:4" x14ac:dyDescent="0.25">
      <c r="C3017" s="1"/>
      <c r="D3017" s="2"/>
    </row>
    <row r="3018" spans="3:4" x14ac:dyDescent="0.25">
      <c r="C3018" s="1"/>
      <c r="D3018" s="2"/>
    </row>
    <row r="3019" spans="3:4" x14ac:dyDescent="0.25">
      <c r="C3019" s="1"/>
      <c r="D3019" s="2"/>
    </row>
    <row r="3020" spans="3:4" x14ac:dyDescent="0.25">
      <c r="C3020" s="1"/>
      <c r="D3020" s="2"/>
    </row>
    <row r="3021" spans="3:4" x14ac:dyDescent="0.25">
      <c r="C3021" s="1"/>
      <c r="D3021" s="2"/>
    </row>
    <row r="3022" spans="3:4" x14ac:dyDescent="0.25">
      <c r="C3022" s="1"/>
      <c r="D3022" s="2"/>
    </row>
    <row r="3023" spans="3:4" x14ac:dyDescent="0.25">
      <c r="C3023" s="1"/>
      <c r="D3023" s="2"/>
    </row>
    <row r="3024" spans="3:4" x14ac:dyDescent="0.25">
      <c r="C3024" s="1"/>
      <c r="D3024" s="2"/>
    </row>
    <row r="3025" spans="3:4" x14ac:dyDescent="0.25">
      <c r="C3025" s="1"/>
      <c r="D3025" s="2"/>
    </row>
    <row r="3026" spans="3:4" x14ac:dyDescent="0.25">
      <c r="C3026" s="1"/>
      <c r="D3026" s="2"/>
    </row>
    <row r="3027" spans="3:4" x14ac:dyDescent="0.25">
      <c r="C3027" s="1"/>
      <c r="D3027" s="2"/>
    </row>
    <row r="3028" spans="3:4" x14ac:dyDescent="0.25">
      <c r="C3028" s="1"/>
      <c r="D3028" s="2"/>
    </row>
    <row r="3029" spans="3:4" x14ac:dyDescent="0.25">
      <c r="C3029" s="1"/>
      <c r="D3029" s="2"/>
    </row>
    <row r="3030" spans="3:4" x14ac:dyDescent="0.25">
      <c r="C3030" s="1"/>
      <c r="D3030" s="2"/>
    </row>
    <row r="3031" spans="3:4" x14ac:dyDescent="0.25">
      <c r="C3031" s="1"/>
      <c r="D3031" s="2"/>
    </row>
    <row r="3032" spans="3:4" x14ac:dyDescent="0.25">
      <c r="C3032" s="1"/>
      <c r="D3032" s="2"/>
    </row>
    <row r="3033" spans="3:4" x14ac:dyDescent="0.25">
      <c r="C3033" s="1"/>
      <c r="D3033" s="2"/>
    </row>
    <row r="3034" spans="3:4" x14ac:dyDescent="0.25">
      <c r="C3034" s="1"/>
      <c r="D3034" s="2"/>
    </row>
    <row r="3035" spans="3:4" x14ac:dyDescent="0.25">
      <c r="C3035" s="1"/>
      <c r="D3035" s="2"/>
    </row>
    <row r="3036" spans="3:4" x14ac:dyDescent="0.25">
      <c r="C3036" s="1"/>
      <c r="D3036" s="2"/>
    </row>
    <row r="3037" spans="3:4" x14ac:dyDescent="0.25">
      <c r="C3037" s="1"/>
      <c r="D3037" s="2"/>
    </row>
    <row r="3038" spans="3:4" x14ac:dyDescent="0.25">
      <c r="C3038" s="1"/>
      <c r="D3038" s="2"/>
    </row>
    <row r="3039" spans="3:4" x14ac:dyDescent="0.25">
      <c r="C3039" s="1"/>
      <c r="D3039" s="2"/>
    </row>
    <row r="3040" spans="3:4" x14ac:dyDescent="0.25">
      <c r="C3040" s="1"/>
      <c r="D3040" s="2"/>
    </row>
    <row r="3041" spans="3:4" x14ac:dyDescent="0.25">
      <c r="C3041" s="1"/>
      <c r="D3041" s="2"/>
    </row>
    <row r="3042" spans="3:4" x14ac:dyDescent="0.25">
      <c r="C3042" s="1"/>
      <c r="D3042" s="2"/>
    </row>
    <row r="3043" spans="3:4" x14ac:dyDescent="0.25">
      <c r="C3043" s="1"/>
      <c r="D3043" s="2"/>
    </row>
    <row r="3044" spans="3:4" x14ac:dyDescent="0.25">
      <c r="C3044" s="1"/>
      <c r="D3044" s="2"/>
    </row>
    <row r="3045" spans="3:4" x14ac:dyDescent="0.25">
      <c r="C3045" s="1"/>
      <c r="D3045" s="2"/>
    </row>
    <row r="3046" spans="3:4" x14ac:dyDescent="0.25">
      <c r="C3046" s="1"/>
      <c r="D3046" s="2"/>
    </row>
    <row r="3047" spans="3:4" x14ac:dyDescent="0.25">
      <c r="C3047" s="1"/>
      <c r="D3047" s="2"/>
    </row>
    <row r="3048" spans="3:4" x14ac:dyDescent="0.25">
      <c r="C3048" s="1"/>
      <c r="D3048" s="2"/>
    </row>
    <row r="3049" spans="3:4" x14ac:dyDescent="0.25">
      <c r="C3049" s="1"/>
      <c r="D3049" s="2"/>
    </row>
    <row r="3050" spans="3:4" x14ac:dyDescent="0.25">
      <c r="C3050" s="1"/>
      <c r="D3050" s="2"/>
    </row>
    <row r="3051" spans="3:4" x14ac:dyDescent="0.25">
      <c r="C3051" s="1"/>
      <c r="D3051" s="2"/>
    </row>
    <row r="3052" spans="3:4" x14ac:dyDescent="0.25">
      <c r="C3052" s="1"/>
      <c r="D3052" s="2"/>
    </row>
    <row r="3053" spans="3:4" x14ac:dyDescent="0.25">
      <c r="C3053" s="1"/>
      <c r="D3053" s="2"/>
    </row>
    <row r="3054" spans="3:4" x14ac:dyDescent="0.25">
      <c r="C3054" s="1"/>
      <c r="D3054" s="2"/>
    </row>
    <row r="3055" spans="3:4" x14ac:dyDescent="0.25">
      <c r="C3055" s="1"/>
      <c r="D3055" s="2"/>
    </row>
    <row r="3056" spans="3:4" x14ac:dyDescent="0.25">
      <c r="C3056" s="1"/>
      <c r="D3056" s="2"/>
    </row>
    <row r="3057" spans="3:4" x14ac:dyDescent="0.25">
      <c r="C3057" s="1"/>
      <c r="D3057" s="2"/>
    </row>
    <row r="3058" spans="3:4" x14ac:dyDescent="0.25">
      <c r="C3058" s="1"/>
      <c r="D3058" s="2"/>
    </row>
    <row r="3059" spans="3:4" x14ac:dyDescent="0.25">
      <c r="C3059" s="1"/>
      <c r="D3059" s="2"/>
    </row>
    <row r="3060" spans="3:4" x14ac:dyDescent="0.25">
      <c r="C3060" s="1"/>
      <c r="D3060" s="2"/>
    </row>
    <row r="3061" spans="3:4" x14ac:dyDescent="0.25">
      <c r="C3061" s="1"/>
      <c r="D3061" s="2"/>
    </row>
    <row r="3062" spans="3:4" x14ac:dyDescent="0.25">
      <c r="C3062" s="1"/>
      <c r="D3062" s="2"/>
    </row>
    <row r="3063" spans="3:4" x14ac:dyDescent="0.25">
      <c r="C3063" s="1"/>
      <c r="D3063" s="2"/>
    </row>
    <row r="3064" spans="3:4" x14ac:dyDescent="0.25">
      <c r="C3064" s="1"/>
      <c r="D3064" s="2"/>
    </row>
    <row r="3065" spans="3:4" x14ac:dyDescent="0.25">
      <c r="C3065" s="1"/>
      <c r="D3065" s="2"/>
    </row>
    <row r="3066" spans="3:4" x14ac:dyDescent="0.25">
      <c r="C3066" s="1"/>
      <c r="D3066" s="2"/>
    </row>
    <row r="3067" spans="3:4" x14ac:dyDescent="0.25">
      <c r="C3067" s="1"/>
      <c r="D3067" s="2"/>
    </row>
    <row r="3068" spans="3:4" x14ac:dyDescent="0.25">
      <c r="C3068" s="1"/>
      <c r="D3068" s="2"/>
    </row>
    <row r="3069" spans="3:4" x14ac:dyDescent="0.25">
      <c r="C3069" s="1"/>
      <c r="D3069" s="2"/>
    </row>
    <row r="3070" spans="3:4" x14ac:dyDescent="0.25">
      <c r="C3070" s="1"/>
      <c r="D3070" s="2"/>
    </row>
    <row r="3071" spans="3:4" x14ac:dyDescent="0.25">
      <c r="C3071" s="1"/>
      <c r="D3071" s="2"/>
    </row>
    <row r="3072" spans="3:4" x14ac:dyDescent="0.25">
      <c r="C3072" s="1"/>
      <c r="D3072" s="2"/>
    </row>
    <row r="3073" spans="3:4" x14ac:dyDescent="0.25">
      <c r="C3073" s="1"/>
      <c r="D3073" s="2"/>
    </row>
    <row r="3074" spans="3:4" x14ac:dyDescent="0.25">
      <c r="C3074" s="1"/>
      <c r="D3074" s="2"/>
    </row>
    <row r="3075" spans="3:4" x14ac:dyDescent="0.25">
      <c r="C3075" s="1"/>
      <c r="D3075" s="2"/>
    </row>
    <row r="3076" spans="3:4" x14ac:dyDescent="0.25">
      <c r="C3076" s="1"/>
      <c r="D3076" s="2"/>
    </row>
    <row r="3077" spans="3:4" x14ac:dyDescent="0.25">
      <c r="C3077" s="1"/>
      <c r="D3077" s="2"/>
    </row>
    <row r="3078" spans="3:4" x14ac:dyDescent="0.25">
      <c r="C3078" s="1"/>
      <c r="D3078" s="2"/>
    </row>
    <row r="3079" spans="3:4" x14ac:dyDescent="0.25">
      <c r="C3079" s="1"/>
      <c r="D3079" s="2"/>
    </row>
    <row r="3080" spans="3:4" x14ac:dyDescent="0.25">
      <c r="C3080" s="1"/>
      <c r="D3080" s="2"/>
    </row>
    <row r="3081" spans="3:4" x14ac:dyDescent="0.25">
      <c r="C3081" s="1"/>
      <c r="D3081" s="2"/>
    </row>
    <row r="3082" spans="3:4" x14ac:dyDescent="0.25">
      <c r="C3082" s="1"/>
      <c r="D3082" s="2"/>
    </row>
    <row r="3083" spans="3:4" x14ac:dyDescent="0.25">
      <c r="C3083" s="1"/>
      <c r="D3083" s="2"/>
    </row>
    <row r="3084" spans="3:4" x14ac:dyDescent="0.25">
      <c r="C3084" s="1"/>
      <c r="D3084" s="2"/>
    </row>
    <row r="3085" spans="3:4" x14ac:dyDescent="0.25">
      <c r="C3085" s="1"/>
      <c r="D3085" s="2"/>
    </row>
    <row r="3086" spans="3:4" x14ac:dyDescent="0.25">
      <c r="C3086" s="1"/>
      <c r="D3086" s="2"/>
    </row>
    <row r="3087" spans="3:4" x14ac:dyDescent="0.25">
      <c r="C3087" s="1"/>
      <c r="D3087" s="2"/>
    </row>
    <row r="3088" spans="3:4" x14ac:dyDescent="0.25">
      <c r="C3088" s="1"/>
      <c r="D3088" s="2"/>
    </row>
    <row r="3089" spans="3:4" x14ac:dyDescent="0.25">
      <c r="C3089" s="1"/>
      <c r="D3089" s="2"/>
    </row>
    <row r="3090" spans="3:4" x14ac:dyDescent="0.25">
      <c r="C3090" s="1"/>
      <c r="D3090" s="2"/>
    </row>
    <row r="3091" spans="3:4" x14ac:dyDescent="0.25">
      <c r="C3091" s="1"/>
      <c r="D3091" s="2"/>
    </row>
    <row r="3092" spans="3:4" x14ac:dyDescent="0.25">
      <c r="C3092" s="1"/>
      <c r="D3092" s="2"/>
    </row>
    <row r="3093" spans="3:4" x14ac:dyDescent="0.25">
      <c r="C3093" s="1"/>
      <c r="D3093" s="2"/>
    </row>
    <row r="3094" spans="3:4" x14ac:dyDescent="0.25">
      <c r="C3094" s="1"/>
      <c r="D3094" s="2"/>
    </row>
    <row r="3095" spans="3:4" x14ac:dyDescent="0.25">
      <c r="C3095" s="1"/>
      <c r="D3095" s="2"/>
    </row>
    <row r="3096" spans="3:4" x14ac:dyDescent="0.25">
      <c r="C3096" s="1"/>
      <c r="D3096" s="2"/>
    </row>
    <row r="3097" spans="3:4" x14ac:dyDescent="0.25">
      <c r="C3097" s="1"/>
      <c r="D3097" s="2"/>
    </row>
    <row r="3098" spans="3:4" x14ac:dyDescent="0.25">
      <c r="C3098" s="1"/>
      <c r="D3098" s="2"/>
    </row>
    <row r="3099" spans="3:4" x14ac:dyDescent="0.25">
      <c r="C3099" s="1"/>
      <c r="D3099" s="2"/>
    </row>
    <row r="3100" spans="3:4" x14ac:dyDescent="0.25">
      <c r="C3100" s="1"/>
      <c r="D3100" s="2"/>
    </row>
    <row r="3101" spans="3:4" x14ac:dyDescent="0.25">
      <c r="C3101" s="1"/>
      <c r="D3101" s="2"/>
    </row>
    <row r="3102" spans="3:4" x14ac:dyDescent="0.25">
      <c r="C3102" s="1"/>
      <c r="D3102" s="2"/>
    </row>
    <row r="3103" spans="3:4" x14ac:dyDescent="0.25">
      <c r="C3103" s="1"/>
      <c r="D3103" s="2"/>
    </row>
    <row r="3104" spans="3:4" x14ac:dyDescent="0.25">
      <c r="C3104" s="1"/>
      <c r="D3104" s="2"/>
    </row>
    <row r="3105" spans="3:4" x14ac:dyDescent="0.25">
      <c r="C3105" s="1"/>
      <c r="D3105" s="2"/>
    </row>
    <row r="3106" spans="3:4" x14ac:dyDescent="0.25">
      <c r="C3106" s="1"/>
      <c r="D3106" s="2"/>
    </row>
    <row r="3107" spans="3:4" x14ac:dyDescent="0.25">
      <c r="C3107" s="1"/>
      <c r="D3107" s="2"/>
    </row>
    <row r="3108" spans="3:4" x14ac:dyDescent="0.25">
      <c r="C3108" s="1"/>
      <c r="D3108" s="2"/>
    </row>
    <row r="3109" spans="3:4" x14ac:dyDescent="0.25">
      <c r="C3109" s="1"/>
      <c r="D3109" s="2"/>
    </row>
    <row r="3110" spans="3:4" x14ac:dyDescent="0.25">
      <c r="C3110" s="1"/>
      <c r="D3110" s="2"/>
    </row>
    <row r="3111" spans="3:4" x14ac:dyDescent="0.25">
      <c r="C3111" s="1"/>
      <c r="D3111" s="2"/>
    </row>
    <row r="3112" spans="3:4" x14ac:dyDescent="0.25">
      <c r="C3112" s="1"/>
      <c r="D3112" s="2"/>
    </row>
    <row r="3113" spans="3:4" x14ac:dyDescent="0.25">
      <c r="C3113" s="1"/>
      <c r="D3113" s="2"/>
    </row>
    <row r="3114" spans="3:4" x14ac:dyDescent="0.25">
      <c r="C3114" s="1"/>
      <c r="D3114" s="2"/>
    </row>
    <row r="3115" spans="3:4" x14ac:dyDescent="0.25">
      <c r="C3115" s="1"/>
      <c r="D3115" s="2"/>
    </row>
    <row r="3116" spans="3:4" x14ac:dyDescent="0.25">
      <c r="C3116" s="1"/>
      <c r="D3116" s="2"/>
    </row>
    <row r="3117" spans="3:4" x14ac:dyDescent="0.25">
      <c r="C3117" s="1"/>
      <c r="D3117" s="2"/>
    </row>
    <row r="3118" spans="3:4" x14ac:dyDescent="0.25">
      <c r="C3118" s="1"/>
      <c r="D3118" s="2"/>
    </row>
    <row r="3119" spans="3:4" x14ac:dyDescent="0.25">
      <c r="C3119" s="1"/>
      <c r="D3119" s="2"/>
    </row>
    <row r="3120" spans="3:4" x14ac:dyDescent="0.25">
      <c r="C3120" s="1"/>
      <c r="D3120" s="2"/>
    </row>
    <row r="3121" spans="3:4" x14ac:dyDescent="0.25">
      <c r="C3121" s="1"/>
      <c r="D3121" s="2"/>
    </row>
    <row r="3122" spans="3:4" x14ac:dyDescent="0.25">
      <c r="C3122" s="1"/>
      <c r="D3122" s="2"/>
    </row>
    <row r="3123" spans="3:4" x14ac:dyDescent="0.25">
      <c r="C3123" s="1"/>
      <c r="D3123" s="2"/>
    </row>
    <row r="3124" spans="3:4" x14ac:dyDescent="0.25">
      <c r="C3124" s="1"/>
      <c r="D3124" s="2"/>
    </row>
    <row r="3125" spans="3:4" x14ac:dyDescent="0.25">
      <c r="C3125" s="1"/>
      <c r="D3125" s="2"/>
    </row>
    <row r="3126" spans="3:4" x14ac:dyDescent="0.25">
      <c r="C3126" s="1"/>
      <c r="D3126" s="2"/>
    </row>
    <row r="3127" spans="3:4" x14ac:dyDescent="0.25">
      <c r="C3127" s="1"/>
      <c r="D3127" s="2"/>
    </row>
    <row r="3128" spans="3:4" x14ac:dyDescent="0.25">
      <c r="C3128" s="1"/>
      <c r="D3128" s="2"/>
    </row>
    <row r="3129" spans="3:4" x14ac:dyDescent="0.25">
      <c r="C3129" s="1"/>
      <c r="D3129" s="2"/>
    </row>
    <row r="3130" spans="3:4" x14ac:dyDescent="0.25">
      <c r="C3130" s="1"/>
      <c r="D3130" s="2"/>
    </row>
    <row r="3131" spans="3:4" x14ac:dyDescent="0.25">
      <c r="C3131" s="1"/>
      <c r="D3131" s="2"/>
    </row>
    <row r="3132" spans="3:4" x14ac:dyDescent="0.25">
      <c r="C3132" s="1"/>
      <c r="D3132" s="2"/>
    </row>
    <row r="3133" spans="3:4" x14ac:dyDescent="0.25">
      <c r="C3133" s="1"/>
      <c r="D3133" s="2"/>
    </row>
    <row r="3134" spans="3:4" x14ac:dyDescent="0.25">
      <c r="C3134" s="1"/>
      <c r="D3134" s="2"/>
    </row>
    <row r="3135" spans="3:4" x14ac:dyDescent="0.25">
      <c r="C3135" s="1"/>
      <c r="D3135" s="2"/>
    </row>
    <row r="3136" spans="3:4" x14ac:dyDescent="0.25">
      <c r="C3136" s="1"/>
      <c r="D3136" s="2"/>
    </row>
    <row r="3137" spans="3:4" x14ac:dyDescent="0.25">
      <c r="C3137" s="1"/>
      <c r="D3137" s="2"/>
    </row>
    <row r="3138" spans="3:4" x14ac:dyDescent="0.25">
      <c r="C3138" s="1"/>
      <c r="D3138" s="2"/>
    </row>
    <row r="3139" spans="3:4" x14ac:dyDescent="0.25">
      <c r="C3139" s="1"/>
      <c r="D3139" s="2"/>
    </row>
    <row r="3140" spans="3:4" x14ac:dyDescent="0.25">
      <c r="C3140" s="1"/>
      <c r="D3140" s="2"/>
    </row>
    <row r="3141" spans="3:4" x14ac:dyDescent="0.25">
      <c r="C3141" s="1"/>
      <c r="D3141" s="2"/>
    </row>
    <row r="3142" spans="3:4" x14ac:dyDescent="0.25">
      <c r="C3142" s="1"/>
      <c r="D3142" s="2"/>
    </row>
    <row r="3143" spans="3:4" x14ac:dyDescent="0.25">
      <c r="C3143" s="1"/>
      <c r="D3143" s="2"/>
    </row>
    <row r="3144" spans="3:4" x14ac:dyDescent="0.25">
      <c r="C3144" s="1"/>
      <c r="D3144" s="2"/>
    </row>
    <row r="3145" spans="3:4" x14ac:dyDescent="0.25">
      <c r="C3145" s="1"/>
      <c r="D3145" s="2"/>
    </row>
    <row r="3146" spans="3:4" x14ac:dyDescent="0.25">
      <c r="C3146" s="1"/>
      <c r="D3146" s="2"/>
    </row>
    <row r="3147" spans="3:4" x14ac:dyDescent="0.25">
      <c r="C3147" s="1"/>
      <c r="D3147" s="2"/>
    </row>
    <row r="3148" spans="3:4" x14ac:dyDescent="0.25">
      <c r="C3148" s="1"/>
      <c r="D3148" s="2"/>
    </row>
    <row r="3149" spans="3:4" x14ac:dyDescent="0.25">
      <c r="C3149" s="1"/>
      <c r="D3149" s="2"/>
    </row>
    <row r="3150" spans="3:4" x14ac:dyDescent="0.25">
      <c r="C3150" s="1"/>
      <c r="D3150" s="2"/>
    </row>
    <row r="3151" spans="3:4" x14ac:dyDescent="0.25">
      <c r="C3151" s="1"/>
      <c r="D3151" s="2"/>
    </row>
    <row r="3152" spans="3:4" x14ac:dyDescent="0.25">
      <c r="C3152" s="1"/>
      <c r="D3152" s="2"/>
    </row>
    <row r="3153" spans="3:4" x14ac:dyDescent="0.25">
      <c r="C3153" s="1"/>
      <c r="D3153" s="2"/>
    </row>
    <row r="3154" spans="3:4" x14ac:dyDescent="0.25">
      <c r="C3154" s="1"/>
      <c r="D3154" s="2"/>
    </row>
    <row r="3155" spans="3:4" x14ac:dyDescent="0.25">
      <c r="C3155" s="1"/>
      <c r="D3155" s="2"/>
    </row>
    <row r="3156" spans="3:4" x14ac:dyDescent="0.25">
      <c r="C3156" s="1"/>
      <c r="D3156" s="2"/>
    </row>
    <row r="3157" spans="3:4" x14ac:dyDescent="0.25">
      <c r="C3157" s="1"/>
      <c r="D3157" s="2"/>
    </row>
    <row r="3158" spans="3:4" x14ac:dyDescent="0.25">
      <c r="C3158" s="1"/>
      <c r="D3158" s="2"/>
    </row>
    <row r="3159" spans="3:4" x14ac:dyDescent="0.25">
      <c r="C3159" s="1"/>
      <c r="D3159" s="2"/>
    </row>
    <row r="3160" spans="3:4" x14ac:dyDescent="0.25">
      <c r="C3160" s="1"/>
      <c r="D3160" s="2"/>
    </row>
    <row r="3161" spans="3:4" x14ac:dyDescent="0.25">
      <c r="C3161" s="1"/>
      <c r="D3161" s="2"/>
    </row>
    <row r="3162" spans="3:4" x14ac:dyDescent="0.25">
      <c r="C3162" s="1"/>
      <c r="D3162" s="2"/>
    </row>
    <row r="3163" spans="3:4" x14ac:dyDescent="0.25">
      <c r="C3163" s="1"/>
      <c r="D3163" s="2"/>
    </row>
    <row r="3164" spans="3:4" x14ac:dyDescent="0.25">
      <c r="C3164" s="1"/>
      <c r="D3164" s="2"/>
    </row>
    <row r="3165" spans="3:4" x14ac:dyDescent="0.25">
      <c r="C3165" s="1"/>
      <c r="D3165" s="2"/>
    </row>
    <row r="3166" spans="3:4" x14ac:dyDescent="0.25">
      <c r="C3166" s="1"/>
      <c r="D3166" s="2"/>
    </row>
    <row r="3167" spans="3:4" x14ac:dyDescent="0.25">
      <c r="C3167" s="1"/>
      <c r="D3167" s="2"/>
    </row>
    <row r="3168" spans="3:4" x14ac:dyDescent="0.25">
      <c r="C3168" s="1"/>
      <c r="D3168" s="2"/>
    </row>
    <row r="3169" spans="3:4" x14ac:dyDescent="0.25">
      <c r="C3169" s="1"/>
      <c r="D3169" s="2"/>
    </row>
    <row r="3170" spans="3:4" x14ac:dyDescent="0.25">
      <c r="C3170" s="1"/>
      <c r="D3170" s="2"/>
    </row>
    <row r="3171" spans="3:4" x14ac:dyDescent="0.25">
      <c r="C3171" s="1"/>
      <c r="D3171" s="2"/>
    </row>
    <row r="3172" spans="3:4" x14ac:dyDescent="0.25">
      <c r="C3172" s="1"/>
      <c r="D3172" s="2"/>
    </row>
    <row r="3173" spans="3:4" x14ac:dyDescent="0.25">
      <c r="C3173" s="1"/>
      <c r="D3173" s="2"/>
    </row>
    <row r="3174" spans="3:4" x14ac:dyDescent="0.25">
      <c r="C3174" s="1"/>
      <c r="D3174" s="2"/>
    </row>
    <row r="3175" spans="3:4" x14ac:dyDescent="0.25">
      <c r="C3175" s="1"/>
      <c r="D3175" s="2"/>
    </row>
    <row r="3176" spans="3:4" x14ac:dyDescent="0.25">
      <c r="C3176" s="1"/>
      <c r="D3176" s="2"/>
    </row>
    <row r="3177" spans="3:4" x14ac:dyDescent="0.25">
      <c r="C3177" s="1"/>
      <c r="D3177" s="2"/>
    </row>
    <row r="3178" spans="3:4" x14ac:dyDescent="0.25">
      <c r="C3178" s="1"/>
      <c r="D3178" s="2"/>
    </row>
    <row r="3179" spans="3:4" x14ac:dyDescent="0.25">
      <c r="C3179" s="1"/>
      <c r="D3179" s="2"/>
    </row>
    <row r="3180" spans="3:4" x14ac:dyDescent="0.25">
      <c r="C3180" s="1"/>
      <c r="D3180" s="2"/>
    </row>
    <row r="3181" spans="3:4" x14ac:dyDescent="0.25">
      <c r="C3181" s="1"/>
      <c r="D3181" s="2"/>
    </row>
    <row r="3182" spans="3:4" x14ac:dyDescent="0.25">
      <c r="C3182" s="1"/>
      <c r="D3182" s="2"/>
    </row>
    <row r="3183" spans="3:4" x14ac:dyDescent="0.25">
      <c r="C3183" s="1"/>
      <c r="D3183" s="2"/>
    </row>
    <row r="3184" spans="3:4" x14ac:dyDescent="0.25">
      <c r="C3184" s="1"/>
      <c r="D3184" s="2"/>
    </row>
    <row r="3185" spans="3:4" x14ac:dyDescent="0.25">
      <c r="C3185" s="1"/>
      <c r="D3185" s="2"/>
    </row>
    <row r="3186" spans="3:4" x14ac:dyDescent="0.25">
      <c r="C3186" s="1"/>
      <c r="D3186" s="2"/>
    </row>
    <row r="3187" spans="3:4" x14ac:dyDescent="0.25">
      <c r="C3187" s="1"/>
      <c r="D3187" s="2"/>
    </row>
    <row r="3188" spans="3:4" x14ac:dyDescent="0.25">
      <c r="C3188" s="1"/>
      <c r="D3188" s="2"/>
    </row>
    <row r="3189" spans="3:4" x14ac:dyDescent="0.25">
      <c r="C3189" s="1"/>
      <c r="D3189" s="2"/>
    </row>
    <row r="3190" spans="3:4" x14ac:dyDescent="0.25">
      <c r="C3190" s="1"/>
      <c r="D3190" s="2"/>
    </row>
    <row r="3191" spans="3:4" x14ac:dyDescent="0.25">
      <c r="C3191" s="1"/>
      <c r="D3191" s="2"/>
    </row>
    <row r="3192" spans="3:4" x14ac:dyDescent="0.25">
      <c r="C3192" s="1"/>
      <c r="D3192" s="2"/>
    </row>
    <row r="3193" spans="3:4" x14ac:dyDescent="0.25">
      <c r="C3193" s="1"/>
      <c r="D3193" s="2"/>
    </row>
    <row r="3194" spans="3:4" x14ac:dyDescent="0.25">
      <c r="C3194" s="1"/>
      <c r="D3194" s="2"/>
    </row>
    <row r="3195" spans="3:4" x14ac:dyDescent="0.25">
      <c r="C3195" s="1"/>
      <c r="D3195" s="2"/>
    </row>
    <row r="3196" spans="3:4" x14ac:dyDescent="0.25">
      <c r="C3196" s="1"/>
      <c r="D3196" s="2"/>
    </row>
    <row r="3197" spans="3:4" x14ac:dyDescent="0.25">
      <c r="C3197" s="1"/>
      <c r="D3197" s="2"/>
    </row>
    <row r="3198" spans="3:4" x14ac:dyDescent="0.25">
      <c r="C3198" s="1"/>
      <c r="D3198" s="2"/>
    </row>
    <row r="3199" spans="3:4" x14ac:dyDescent="0.25">
      <c r="C3199" s="1"/>
      <c r="D3199" s="2"/>
    </row>
    <row r="3200" spans="3:4" x14ac:dyDescent="0.25">
      <c r="C3200" s="1"/>
      <c r="D3200" s="2"/>
    </row>
    <row r="3201" spans="3:4" x14ac:dyDescent="0.25">
      <c r="C3201" s="1"/>
      <c r="D3201" s="2"/>
    </row>
    <row r="3202" spans="3:4" x14ac:dyDescent="0.25">
      <c r="C3202" s="1"/>
      <c r="D3202" s="2"/>
    </row>
    <row r="3203" spans="3:4" x14ac:dyDescent="0.25">
      <c r="C3203" s="1"/>
      <c r="D3203" s="2"/>
    </row>
    <row r="3204" spans="3:4" x14ac:dyDescent="0.25">
      <c r="C3204" s="1"/>
      <c r="D3204" s="2"/>
    </row>
    <row r="3205" spans="3:4" x14ac:dyDescent="0.25">
      <c r="C3205" s="1"/>
      <c r="D3205" s="2"/>
    </row>
    <row r="3206" spans="3:4" x14ac:dyDescent="0.25">
      <c r="C3206" s="1"/>
      <c r="D3206" s="2"/>
    </row>
    <row r="3207" spans="3:4" x14ac:dyDescent="0.25">
      <c r="C3207" s="1"/>
      <c r="D3207" s="2"/>
    </row>
    <row r="3208" spans="3:4" x14ac:dyDescent="0.25">
      <c r="C3208" s="1"/>
      <c r="D3208" s="2"/>
    </row>
    <row r="3209" spans="3:4" x14ac:dyDescent="0.25">
      <c r="C3209" s="1"/>
      <c r="D3209" s="2"/>
    </row>
    <row r="3210" spans="3:4" x14ac:dyDescent="0.25">
      <c r="C3210" s="1"/>
      <c r="D3210" s="2"/>
    </row>
    <row r="3211" spans="3:4" x14ac:dyDescent="0.25">
      <c r="C3211" s="1"/>
      <c r="D3211" s="2"/>
    </row>
    <row r="3212" spans="3:4" x14ac:dyDescent="0.25">
      <c r="C3212" s="1"/>
      <c r="D3212" s="2"/>
    </row>
    <row r="3213" spans="3:4" x14ac:dyDescent="0.25">
      <c r="C3213" s="1"/>
      <c r="D3213" s="2"/>
    </row>
    <row r="3214" spans="3:4" x14ac:dyDescent="0.25">
      <c r="C3214" s="1"/>
      <c r="D3214" s="2"/>
    </row>
    <row r="3215" spans="3:4" x14ac:dyDescent="0.25">
      <c r="C3215" s="1"/>
      <c r="D3215" s="2"/>
    </row>
    <row r="3216" spans="3:4" x14ac:dyDescent="0.25">
      <c r="C3216" s="1"/>
      <c r="D3216" s="2"/>
    </row>
    <row r="3217" spans="3:4" x14ac:dyDescent="0.25">
      <c r="C3217" s="1"/>
      <c r="D3217" s="2"/>
    </row>
    <row r="3218" spans="3:4" x14ac:dyDescent="0.25">
      <c r="C3218" s="1"/>
      <c r="D3218" s="2"/>
    </row>
    <row r="3219" spans="3:4" x14ac:dyDescent="0.25">
      <c r="C3219" s="1"/>
      <c r="D3219" s="2"/>
    </row>
    <row r="3220" spans="3:4" x14ac:dyDescent="0.25">
      <c r="C3220" s="1"/>
      <c r="D3220" s="2"/>
    </row>
    <row r="3221" spans="3:4" x14ac:dyDescent="0.25">
      <c r="C3221" s="1"/>
      <c r="D3221" s="2"/>
    </row>
    <row r="3222" spans="3:4" x14ac:dyDescent="0.25">
      <c r="C3222" s="1"/>
      <c r="D3222" s="2"/>
    </row>
    <row r="3223" spans="3:4" x14ac:dyDescent="0.25">
      <c r="C3223" s="1"/>
      <c r="D3223" s="2"/>
    </row>
    <row r="3224" spans="3:4" x14ac:dyDescent="0.25">
      <c r="C3224" s="1"/>
      <c r="D3224" s="2"/>
    </row>
    <row r="3225" spans="3:4" x14ac:dyDescent="0.25">
      <c r="C3225" s="1"/>
      <c r="D3225" s="2"/>
    </row>
    <row r="3226" spans="3:4" x14ac:dyDescent="0.25">
      <c r="C3226" s="1"/>
      <c r="D3226" s="2"/>
    </row>
    <row r="3227" spans="3:4" x14ac:dyDescent="0.25">
      <c r="C3227" s="1"/>
      <c r="D3227" s="2"/>
    </row>
    <row r="3228" spans="3:4" x14ac:dyDescent="0.25">
      <c r="C3228" s="1"/>
      <c r="D3228" s="2"/>
    </row>
    <row r="3229" spans="3:4" x14ac:dyDescent="0.25">
      <c r="C3229" s="1"/>
      <c r="D3229" s="2"/>
    </row>
    <row r="3230" spans="3:4" x14ac:dyDescent="0.25">
      <c r="C3230" s="1"/>
      <c r="D3230" s="2"/>
    </row>
    <row r="3231" spans="3:4" x14ac:dyDescent="0.25">
      <c r="C3231" s="1"/>
      <c r="D3231" s="2"/>
    </row>
    <row r="3232" spans="3:4" x14ac:dyDescent="0.25">
      <c r="C3232" s="1"/>
      <c r="D3232" s="2"/>
    </row>
    <row r="3233" spans="3:4" x14ac:dyDescent="0.25">
      <c r="C3233" s="1"/>
      <c r="D3233" s="2"/>
    </row>
    <row r="3234" spans="3:4" x14ac:dyDescent="0.25">
      <c r="C3234" s="1"/>
      <c r="D3234" s="2"/>
    </row>
    <row r="3235" spans="3:4" x14ac:dyDescent="0.25">
      <c r="C3235" s="1"/>
      <c r="D3235" s="2"/>
    </row>
    <row r="3236" spans="3:4" x14ac:dyDescent="0.25">
      <c r="C3236" s="1"/>
      <c r="D3236" s="2"/>
    </row>
    <row r="3237" spans="3:4" x14ac:dyDescent="0.25">
      <c r="C3237" s="1"/>
      <c r="D3237" s="2"/>
    </row>
    <row r="3238" spans="3:4" x14ac:dyDescent="0.25">
      <c r="C3238" s="1"/>
      <c r="D3238" s="2"/>
    </row>
    <row r="3239" spans="3:4" x14ac:dyDescent="0.25">
      <c r="C3239" s="1"/>
      <c r="D3239" s="2"/>
    </row>
    <row r="3240" spans="3:4" x14ac:dyDescent="0.25">
      <c r="C3240" s="1"/>
      <c r="D3240" s="2"/>
    </row>
    <row r="3241" spans="3:4" x14ac:dyDescent="0.25">
      <c r="C3241" s="1"/>
      <c r="D3241" s="2"/>
    </row>
    <row r="3242" spans="3:4" x14ac:dyDescent="0.25">
      <c r="C3242" s="1"/>
      <c r="D3242" s="2"/>
    </row>
    <row r="3243" spans="3:4" x14ac:dyDescent="0.25">
      <c r="C3243" s="1"/>
      <c r="D3243" s="2"/>
    </row>
    <row r="3244" spans="3:4" x14ac:dyDescent="0.25">
      <c r="C3244" s="1"/>
      <c r="D3244" s="2"/>
    </row>
    <row r="3245" spans="3:4" x14ac:dyDescent="0.25">
      <c r="C3245" s="1"/>
      <c r="D3245" s="2"/>
    </row>
    <row r="3246" spans="3:4" x14ac:dyDescent="0.25">
      <c r="C3246" s="1"/>
      <c r="D3246" s="2"/>
    </row>
    <row r="3247" spans="3:4" x14ac:dyDescent="0.25">
      <c r="C3247" s="1"/>
      <c r="D3247" s="2"/>
    </row>
    <row r="3248" spans="3:4" x14ac:dyDescent="0.25">
      <c r="C3248" s="1"/>
      <c r="D3248" s="2"/>
    </row>
    <row r="3249" spans="3:4" x14ac:dyDescent="0.25">
      <c r="C3249" s="1"/>
      <c r="D3249" s="2"/>
    </row>
    <row r="3250" spans="3:4" x14ac:dyDescent="0.25">
      <c r="C3250" s="1"/>
      <c r="D3250" s="2"/>
    </row>
    <row r="3251" spans="3:4" x14ac:dyDescent="0.25">
      <c r="C3251" s="1"/>
      <c r="D3251" s="2"/>
    </row>
    <row r="3252" spans="3:4" x14ac:dyDescent="0.25">
      <c r="C3252" s="1"/>
      <c r="D3252" s="2"/>
    </row>
    <row r="3253" spans="3:4" x14ac:dyDescent="0.25">
      <c r="C3253" s="1"/>
      <c r="D3253" s="2"/>
    </row>
    <row r="3254" spans="3:4" x14ac:dyDescent="0.25">
      <c r="C3254" s="1"/>
      <c r="D3254" s="2"/>
    </row>
    <row r="3255" spans="3:4" x14ac:dyDescent="0.25">
      <c r="C3255" s="1"/>
      <c r="D3255" s="2"/>
    </row>
    <row r="3256" spans="3:4" x14ac:dyDescent="0.25">
      <c r="C3256" s="1"/>
      <c r="D3256" s="2"/>
    </row>
    <row r="3257" spans="3:4" x14ac:dyDescent="0.25">
      <c r="C3257" s="1"/>
      <c r="D3257" s="2"/>
    </row>
    <row r="3258" spans="3:4" x14ac:dyDescent="0.25">
      <c r="C3258" s="1"/>
      <c r="D3258" s="2"/>
    </row>
    <row r="3259" spans="3:4" x14ac:dyDescent="0.25">
      <c r="C3259" s="1"/>
      <c r="D3259" s="2"/>
    </row>
    <row r="3260" spans="3:4" x14ac:dyDescent="0.25">
      <c r="C3260" s="1"/>
      <c r="D3260" s="2"/>
    </row>
    <row r="3261" spans="3:4" x14ac:dyDescent="0.25">
      <c r="C3261" s="1"/>
      <c r="D3261" s="2"/>
    </row>
    <row r="3262" spans="3:4" x14ac:dyDescent="0.25">
      <c r="C3262" s="1"/>
      <c r="D3262" s="2"/>
    </row>
    <row r="3263" spans="3:4" x14ac:dyDescent="0.25">
      <c r="C3263" s="1"/>
      <c r="D3263" s="2"/>
    </row>
    <row r="3264" spans="3:4" x14ac:dyDescent="0.25">
      <c r="C3264" s="1"/>
      <c r="D3264" s="2"/>
    </row>
    <row r="3265" spans="3:4" x14ac:dyDescent="0.25">
      <c r="C3265" s="1"/>
      <c r="D3265" s="2"/>
    </row>
    <row r="3266" spans="3:4" x14ac:dyDescent="0.25">
      <c r="C3266" s="1"/>
      <c r="D3266" s="2"/>
    </row>
    <row r="3267" spans="3:4" x14ac:dyDescent="0.25">
      <c r="C3267" s="1"/>
      <c r="D3267" s="2"/>
    </row>
    <row r="3268" spans="3:4" x14ac:dyDescent="0.25">
      <c r="C3268" s="1"/>
      <c r="D3268" s="2"/>
    </row>
    <row r="3269" spans="3:4" x14ac:dyDescent="0.25">
      <c r="C3269" s="1"/>
      <c r="D3269" s="2"/>
    </row>
    <row r="3270" spans="3:4" x14ac:dyDescent="0.25">
      <c r="C3270" s="1"/>
      <c r="D3270" s="2"/>
    </row>
    <row r="3271" spans="3:4" x14ac:dyDescent="0.25">
      <c r="C3271" s="1"/>
      <c r="D3271" s="2"/>
    </row>
    <row r="3272" spans="3:4" x14ac:dyDescent="0.25">
      <c r="C3272" s="1"/>
      <c r="D3272" s="2"/>
    </row>
    <row r="3273" spans="3:4" x14ac:dyDescent="0.25">
      <c r="C3273" s="1"/>
      <c r="D3273" s="2"/>
    </row>
    <row r="3274" spans="3:4" x14ac:dyDescent="0.25">
      <c r="C3274" s="1"/>
      <c r="D3274" s="2"/>
    </row>
    <row r="3275" spans="3:4" x14ac:dyDescent="0.25">
      <c r="C3275" s="1"/>
      <c r="D3275" s="2"/>
    </row>
    <row r="3276" spans="3:4" x14ac:dyDescent="0.25">
      <c r="C3276" s="1"/>
      <c r="D3276" s="2"/>
    </row>
    <row r="3277" spans="3:4" x14ac:dyDescent="0.25">
      <c r="C3277" s="1"/>
      <c r="D3277" s="2"/>
    </row>
    <row r="3278" spans="3:4" x14ac:dyDescent="0.25">
      <c r="C3278" s="1"/>
      <c r="D3278" s="2"/>
    </row>
    <row r="3279" spans="3:4" x14ac:dyDescent="0.25">
      <c r="C3279" s="1"/>
      <c r="D3279" s="2"/>
    </row>
    <row r="3280" spans="3:4" x14ac:dyDescent="0.25">
      <c r="C3280" s="1"/>
      <c r="D3280" s="2"/>
    </row>
    <row r="3281" spans="3:4" x14ac:dyDescent="0.25">
      <c r="C3281" s="1"/>
      <c r="D3281" s="2"/>
    </row>
    <row r="3282" spans="3:4" x14ac:dyDescent="0.25">
      <c r="C3282" s="1"/>
      <c r="D3282" s="2"/>
    </row>
    <row r="3283" spans="3:4" x14ac:dyDescent="0.25">
      <c r="C3283" s="1"/>
      <c r="D3283" s="2"/>
    </row>
    <row r="3284" spans="3:4" x14ac:dyDescent="0.25">
      <c r="C3284" s="1"/>
      <c r="D3284" s="2"/>
    </row>
    <row r="3285" spans="3:4" x14ac:dyDescent="0.25">
      <c r="C3285" s="1"/>
      <c r="D3285" s="2"/>
    </row>
    <row r="3286" spans="3:4" x14ac:dyDescent="0.25">
      <c r="C3286" s="1"/>
      <c r="D3286" s="2"/>
    </row>
    <row r="3287" spans="3:4" x14ac:dyDescent="0.25">
      <c r="C3287" s="1"/>
      <c r="D3287" s="2"/>
    </row>
    <row r="3288" spans="3:4" x14ac:dyDescent="0.25">
      <c r="C3288" s="1"/>
      <c r="D3288" s="2"/>
    </row>
    <row r="3289" spans="3:4" x14ac:dyDescent="0.25">
      <c r="C3289" s="1"/>
      <c r="D3289" s="2"/>
    </row>
    <row r="3290" spans="3:4" x14ac:dyDescent="0.25">
      <c r="C3290" s="1"/>
      <c r="D3290" s="2"/>
    </row>
    <row r="3291" spans="3:4" x14ac:dyDescent="0.25">
      <c r="C3291" s="1"/>
      <c r="D3291" s="2"/>
    </row>
    <row r="3292" spans="3:4" x14ac:dyDescent="0.25">
      <c r="C3292" s="1"/>
      <c r="D3292" s="2"/>
    </row>
    <row r="3293" spans="3:4" x14ac:dyDescent="0.25">
      <c r="C3293" s="1"/>
      <c r="D3293" s="2"/>
    </row>
    <row r="3294" spans="3:4" x14ac:dyDescent="0.25">
      <c r="C3294" s="1"/>
      <c r="D3294" s="2"/>
    </row>
    <row r="3295" spans="3:4" x14ac:dyDescent="0.25">
      <c r="C3295" s="1"/>
      <c r="D3295" s="2"/>
    </row>
    <row r="3296" spans="3:4" x14ac:dyDescent="0.25">
      <c r="C3296" s="1"/>
      <c r="D3296" s="2"/>
    </row>
    <row r="3297" spans="3:4" x14ac:dyDescent="0.25">
      <c r="C3297" s="1"/>
      <c r="D3297" s="2"/>
    </row>
    <row r="3298" spans="3:4" x14ac:dyDescent="0.25">
      <c r="C3298" s="1"/>
      <c r="D3298" s="2"/>
    </row>
    <row r="3299" spans="3:4" x14ac:dyDescent="0.25">
      <c r="C3299" s="1"/>
      <c r="D3299" s="2"/>
    </row>
    <row r="3300" spans="3:4" x14ac:dyDescent="0.25">
      <c r="C3300" s="1"/>
      <c r="D3300" s="2"/>
    </row>
    <row r="3301" spans="3:4" x14ac:dyDescent="0.25">
      <c r="C3301" s="1"/>
      <c r="D3301" s="2"/>
    </row>
    <row r="3302" spans="3:4" x14ac:dyDescent="0.25">
      <c r="C3302" s="1"/>
      <c r="D3302" s="2"/>
    </row>
    <row r="3303" spans="3:4" x14ac:dyDescent="0.25">
      <c r="C3303" s="1"/>
      <c r="D3303" s="2"/>
    </row>
    <row r="3304" spans="3:4" x14ac:dyDescent="0.25">
      <c r="C3304" s="1"/>
      <c r="D3304" s="2"/>
    </row>
    <row r="3305" spans="3:4" x14ac:dyDescent="0.25">
      <c r="C3305" s="1"/>
      <c r="D3305" s="2"/>
    </row>
    <row r="3306" spans="3:4" x14ac:dyDescent="0.25">
      <c r="C3306" s="1"/>
      <c r="D3306" s="2"/>
    </row>
    <row r="3307" spans="3:4" x14ac:dyDescent="0.25">
      <c r="C3307" s="1"/>
      <c r="D3307" s="2"/>
    </row>
    <row r="3308" spans="3:4" x14ac:dyDescent="0.25">
      <c r="C3308" s="1"/>
      <c r="D3308" s="2"/>
    </row>
    <row r="3309" spans="3:4" x14ac:dyDescent="0.25">
      <c r="C3309" s="1"/>
      <c r="D3309" s="2"/>
    </row>
    <row r="3310" spans="3:4" x14ac:dyDescent="0.25">
      <c r="C3310" s="1"/>
      <c r="D3310" s="2"/>
    </row>
    <row r="3311" spans="3:4" x14ac:dyDescent="0.25">
      <c r="C3311" s="1"/>
      <c r="D3311" s="2"/>
    </row>
    <row r="3312" spans="3:4" x14ac:dyDescent="0.25">
      <c r="C3312" s="1"/>
      <c r="D3312" s="2"/>
    </row>
    <row r="3313" spans="3:4" x14ac:dyDescent="0.25">
      <c r="C3313" s="1"/>
      <c r="D3313" s="2"/>
    </row>
    <row r="3314" spans="3:4" x14ac:dyDescent="0.25">
      <c r="C3314" s="1"/>
      <c r="D3314" s="2"/>
    </row>
    <row r="3315" spans="3:4" x14ac:dyDescent="0.25">
      <c r="C3315" s="1"/>
      <c r="D3315" s="2"/>
    </row>
    <row r="3316" spans="3:4" x14ac:dyDescent="0.25">
      <c r="C3316" s="1"/>
      <c r="D3316" s="2"/>
    </row>
    <row r="3317" spans="3:4" x14ac:dyDescent="0.25">
      <c r="C3317" s="1"/>
      <c r="D3317" s="2"/>
    </row>
    <row r="3318" spans="3:4" x14ac:dyDescent="0.25">
      <c r="C3318" s="1"/>
      <c r="D3318" s="2"/>
    </row>
    <row r="3319" spans="3:4" x14ac:dyDescent="0.25">
      <c r="C3319" s="1"/>
      <c r="D3319" s="2"/>
    </row>
    <row r="3320" spans="3:4" x14ac:dyDescent="0.25">
      <c r="C3320" s="1"/>
      <c r="D3320" s="2"/>
    </row>
    <row r="3321" spans="3:4" x14ac:dyDescent="0.25">
      <c r="C3321" s="1"/>
      <c r="D3321" s="2"/>
    </row>
    <row r="3322" spans="3:4" x14ac:dyDescent="0.25">
      <c r="C3322" s="1"/>
      <c r="D3322" s="2"/>
    </row>
    <row r="3323" spans="3:4" x14ac:dyDescent="0.25">
      <c r="C3323" s="1"/>
      <c r="D3323" s="2"/>
    </row>
    <row r="3324" spans="3:4" x14ac:dyDescent="0.25">
      <c r="C3324" s="1"/>
      <c r="D3324" s="2"/>
    </row>
    <row r="3325" spans="3:4" x14ac:dyDescent="0.25">
      <c r="C3325" s="1"/>
      <c r="D3325" s="2"/>
    </row>
    <row r="3326" spans="3:4" x14ac:dyDescent="0.25">
      <c r="C3326" s="1"/>
      <c r="D3326" s="2"/>
    </row>
    <row r="3327" spans="3:4" x14ac:dyDescent="0.25">
      <c r="C3327" s="1"/>
      <c r="D3327" s="2"/>
    </row>
    <row r="3328" spans="3:4" x14ac:dyDescent="0.25">
      <c r="C3328" s="1"/>
      <c r="D3328" s="2"/>
    </row>
    <row r="3329" spans="3:4" x14ac:dyDescent="0.25">
      <c r="C3329" s="1"/>
      <c r="D3329" s="2"/>
    </row>
    <row r="3330" spans="3:4" x14ac:dyDescent="0.25">
      <c r="C3330" s="1"/>
      <c r="D3330" s="2"/>
    </row>
    <row r="3331" spans="3:4" x14ac:dyDescent="0.25">
      <c r="C3331" s="1"/>
      <c r="D3331" s="2"/>
    </row>
    <row r="3332" spans="3:4" x14ac:dyDescent="0.25">
      <c r="C3332" s="1"/>
      <c r="D3332" s="2"/>
    </row>
    <row r="3333" spans="3:4" x14ac:dyDescent="0.25">
      <c r="C3333" s="1"/>
      <c r="D3333" s="2"/>
    </row>
    <row r="3334" spans="3:4" x14ac:dyDescent="0.25">
      <c r="C3334" s="1"/>
      <c r="D3334" s="2"/>
    </row>
    <row r="3335" spans="3:4" x14ac:dyDescent="0.25">
      <c r="C3335" s="1"/>
      <c r="D3335" s="2"/>
    </row>
    <row r="3336" spans="3:4" x14ac:dyDescent="0.25">
      <c r="C3336" s="1"/>
      <c r="D3336" s="2"/>
    </row>
    <row r="3337" spans="3:4" x14ac:dyDescent="0.25">
      <c r="C3337" s="1"/>
      <c r="D3337" s="2"/>
    </row>
    <row r="3338" spans="3:4" x14ac:dyDescent="0.25">
      <c r="C3338" s="1"/>
      <c r="D3338" s="2"/>
    </row>
    <row r="3339" spans="3:4" x14ac:dyDescent="0.25">
      <c r="C3339" s="1"/>
      <c r="D3339" s="2"/>
    </row>
    <row r="3340" spans="3:4" x14ac:dyDescent="0.25">
      <c r="C3340" s="1"/>
      <c r="D3340" s="2"/>
    </row>
    <row r="3341" spans="3:4" x14ac:dyDescent="0.25">
      <c r="C3341" s="1"/>
      <c r="D3341" s="2"/>
    </row>
    <row r="3342" spans="3:4" x14ac:dyDescent="0.25">
      <c r="C3342" s="1"/>
      <c r="D3342" s="2"/>
    </row>
    <row r="3343" spans="3:4" x14ac:dyDescent="0.25">
      <c r="C3343" s="1"/>
      <c r="D3343" s="2"/>
    </row>
    <row r="3344" spans="3:4" x14ac:dyDescent="0.25">
      <c r="C3344" s="1"/>
      <c r="D3344" s="2"/>
    </row>
    <row r="3345" spans="3:4" x14ac:dyDescent="0.25">
      <c r="C3345" s="1"/>
      <c r="D3345" s="2"/>
    </row>
    <row r="3346" spans="3:4" x14ac:dyDescent="0.25">
      <c r="C3346" s="1"/>
      <c r="D3346" s="2"/>
    </row>
    <row r="3347" spans="3:4" x14ac:dyDescent="0.25">
      <c r="C3347" s="1"/>
      <c r="D3347" s="2"/>
    </row>
    <row r="3348" spans="3:4" x14ac:dyDescent="0.25">
      <c r="C3348" s="1"/>
      <c r="D3348" s="2"/>
    </row>
    <row r="3349" spans="3:4" x14ac:dyDescent="0.25">
      <c r="C3349" s="1"/>
      <c r="D3349" s="2"/>
    </row>
    <row r="3350" spans="3:4" x14ac:dyDescent="0.25">
      <c r="C3350" s="1"/>
      <c r="D3350" s="2"/>
    </row>
    <row r="3351" spans="3:4" x14ac:dyDescent="0.25">
      <c r="C3351" s="1"/>
      <c r="D3351" s="2"/>
    </row>
    <row r="3352" spans="3:4" x14ac:dyDescent="0.25">
      <c r="C3352" s="1"/>
      <c r="D3352" s="2"/>
    </row>
    <row r="3353" spans="3:4" x14ac:dyDescent="0.25">
      <c r="C3353" s="1"/>
      <c r="D3353" s="2"/>
    </row>
    <row r="3354" spans="3:4" x14ac:dyDescent="0.25">
      <c r="C3354" s="1"/>
      <c r="D3354" s="2"/>
    </row>
    <row r="3355" spans="3:4" x14ac:dyDescent="0.25">
      <c r="C3355" s="1"/>
      <c r="D3355" s="2"/>
    </row>
    <row r="3356" spans="3:4" x14ac:dyDescent="0.25">
      <c r="C3356" s="1"/>
      <c r="D3356" s="2"/>
    </row>
    <row r="3357" spans="3:4" x14ac:dyDescent="0.25">
      <c r="C3357" s="1"/>
      <c r="D3357" s="2"/>
    </row>
    <row r="3358" spans="3:4" x14ac:dyDescent="0.25">
      <c r="C3358" s="1"/>
      <c r="D3358" s="2"/>
    </row>
    <row r="3359" spans="3:4" x14ac:dyDescent="0.25">
      <c r="C3359" s="1"/>
      <c r="D3359" s="2"/>
    </row>
    <row r="3360" spans="3:4" x14ac:dyDescent="0.25">
      <c r="C3360" s="1"/>
      <c r="D3360" s="2"/>
    </row>
    <row r="3361" spans="3:4" x14ac:dyDescent="0.25">
      <c r="C3361" s="1"/>
      <c r="D3361" s="2"/>
    </row>
    <row r="3362" spans="3:4" x14ac:dyDescent="0.25">
      <c r="C3362" s="1"/>
      <c r="D3362" s="2"/>
    </row>
    <row r="3363" spans="3:4" x14ac:dyDescent="0.25">
      <c r="C3363" s="1"/>
      <c r="D3363" s="2"/>
    </row>
    <row r="3364" spans="3:4" x14ac:dyDescent="0.25">
      <c r="C3364" s="1"/>
      <c r="D3364" s="2"/>
    </row>
    <row r="3365" spans="3:4" x14ac:dyDescent="0.25">
      <c r="C3365" s="1"/>
      <c r="D3365" s="2"/>
    </row>
    <row r="3366" spans="3:4" x14ac:dyDescent="0.25">
      <c r="C3366" s="1"/>
      <c r="D3366" s="2"/>
    </row>
    <row r="3367" spans="3:4" x14ac:dyDescent="0.25">
      <c r="C3367" s="1"/>
      <c r="D3367" s="2"/>
    </row>
    <row r="3368" spans="3:4" x14ac:dyDescent="0.25">
      <c r="C3368" s="1"/>
      <c r="D3368" s="2"/>
    </row>
    <row r="3369" spans="3:4" x14ac:dyDescent="0.25">
      <c r="C3369" s="1"/>
      <c r="D3369" s="2"/>
    </row>
    <row r="3370" spans="3:4" x14ac:dyDescent="0.25">
      <c r="C3370" s="1"/>
      <c r="D3370" s="2"/>
    </row>
    <row r="3371" spans="3:4" x14ac:dyDescent="0.25">
      <c r="C3371" s="1"/>
      <c r="D3371" s="2"/>
    </row>
    <row r="3372" spans="3:4" x14ac:dyDescent="0.25">
      <c r="C3372" s="1"/>
      <c r="D3372" s="2"/>
    </row>
    <row r="3373" spans="3:4" x14ac:dyDescent="0.25">
      <c r="C3373" s="1"/>
      <c r="D3373" s="2"/>
    </row>
    <row r="3374" spans="3:4" x14ac:dyDescent="0.25">
      <c r="C3374" s="1"/>
      <c r="D3374" s="2"/>
    </row>
    <row r="3375" spans="3:4" x14ac:dyDescent="0.25">
      <c r="C3375" s="1"/>
      <c r="D3375" s="2"/>
    </row>
    <row r="3376" spans="3:4" x14ac:dyDescent="0.25">
      <c r="C3376" s="1"/>
      <c r="D3376" s="2"/>
    </row>
    <row r="3377" spans="3:4" x14ac:dyDescent="0.25">
      <c r="C3377" s="1"/>
      <c r="D3377" s="2"/>
    </row>
    <row r="3378" spans="3:4" x14ac:dyDescent="0.25">
      <c r="C3378" s="1"/>
      <c r="D3378" s="2"/>
    </row>
    <row r="3379" spans="3:4" x14ac:dyDescent="0.25">
      <c r="C3379" s="1"/>
      <c r="D3379" s="2"/>
    </row>
    <row r="3380" spans="3:4" x14ac:dyDescent="0.25">
      <c r="C3380" s="1"/>
      <c r="D3380" s="2"/>
    </row>
    <row r="3381" spans="3:4" x14ac:dyDescent="0.25">
      <c r="C3381" s="1"/>
      <c r="D3381" s="2"/>
    </row>
    <row r="3382" spans="3:4" x14ac:dyDescent="0.25">
      <c r="C3382" s="1"/>
      <c r="D3382" s="2"/>
    </row>
    <row r="3383" spans="3:4" x14ac:dyDescent="0.25">
      <c r="C3383" s="1"/>
      <c r="D3383" s="2"/>
    </row>
    <row r="3384" spans="3:4" x14ac:dyDescent="0.25">
      <c r="C3384" s="1"/>
      <c r="D3384" s="2"/>
    </row>
    <row r="3385" spans="3:4" x14ac:dyDescent="0.25">
      <c r="C3385" s="1"/>
      <c r="D3385" s="2"/>
    </row>
    <row r="3386" spans="3:4" x14ac:dyDescent="0.25">
      <c r="C3386" s="1"/>
      <c r="D3386" s="2"/>
    </row>
    <row r="3387" spans="3:4" x14ac:dyDescent="0.25">
      <c r="C3387" s="1"/>
      <c r="D3387" s="2"/>
    </row>
    <row r="3388" spans="3:4" x14ac:dyDescent="0.25">
      <c r="C3388" s="1"/>
      <c r="D3388" s="2"/>
    </row>
    <row r="3389" spans="3:4" x14ac:dyDescent="0.25">
      <c r="C3389" s="1"/>
      <c r="D3389" s="2"/>
    </row>
    <row r="3390" spans="3:4" x14ac:dyDescent="0.25">
      <c r="C3390" s="1"/>
      <c r="D3390" s="2"/>
    </row>
    <row r="3391" spans="3:4" x14ac:dyDescent="0.25">
      <c r="C3391" s="1"/>
      <c r="D3391" s="2"/>
    </row>
    <row r="3392" spans="3:4" x14ac:dyDescent="0.25">
      <c r="C3392" s="1"/>
      <c r="D3392" s="2"/>
    </row>
    <row r="3393" spans="3:4" x14ac:dyDescent="0.25">
      <c r="C3393" s="1"/>
      <c r="D3393" s="2"/>
    </row>
    <row r="3394" spans="3:4" x14ac:dyDescent="0.25">
      <c r="C3394" s="1"/>
      <c r="D3394" s="2"/>
    </row>
    <row r="3395" spans="3:4" x14ac:dyDescent="0.25">
      <c r="C3395" s="1"/>
      <c r="D3395" s="2"/>
    </row>
    <row r="3396" spans="3:4" x14ac:dyDescent="0.25">
      <c r="C3396" s="1"/>
      <c r="D3396" s="2"/>
    </row>
    <row r="3397" spans="3:4" x14ac:dyDescent="0.25">
      <c r="C3397" s="1"/>
      <c r="D3397" s="2"/>
    </row>
    <row r="3398" spans="3:4" x14ac:dyDescent="0.25">
      <c r="C3398" s="1"/>
      <c r="D3398" s="2"/>
    </row>
    <row r="3399" spans="3:4" x14ac:dyDescent="0.25">
      <c r="C3399" s="1"/>
      <c r="D3399" s="2"/>
    </row>
    <row r="3400" spans="3:4" x14ac:dyDescent="0.25">
      <c r="C3400" s="1"/>
      <c r="D3400" s="2"/>
    </row>
    <row r="3401" spans="3:4" x14ac:dyDescent="0.25">
      <c r="C3401" s="1"/>
      <c r="D3401" s="2"/>
    </row>
    <row r="3402" spans="3:4" x14ac:dyDescent="0.25">
      <c r="C3402" s="1"/>
      <c r="D3402" s="2"/>
    </row>
    <row r="3403" spans="3:4" x14ac:dyDescent="0.25">
      <c r="C3403" s="1"/>
      <c r="D3403" s="2"/>
    </row>
    <row r="3404" spans="3:4" x14ac:dyDescent="0.25">
      <c r="C3404" s="1"/>
      <c r="D3404" s="2"/>
    </row>
    <row r="3405" spans="3:4" x14ac:dyDescent="0.25">
      <c r="C3405" s="1"/>
      <c r="D3405" s="2"/>
    </row>
    <row r="3406" spans="3:4" x14ac:dyDescent="0.25">
      <c r="C3406" s="1"/>
      <c r="D3406" s="2"/>
    </row>
    <row r="3407" spans="3:4" x14ac:dyDescent="0.25">
      <c r="C3407" s="1"/>
      <c r="D3407" s="2"/>
    </row>
    <row r="3408" spans="3:4" x14ac:dyDescent="0.25">
      <c r="C3408" s="1"/>
      <c r="D3408" s="2"/>
    </row>
    <row r="3409" spans="3:4" x14ac:dyDescent="0.25">
      <c r="C3409" s="1"/>
      <c r="D3409" s="2"/>
    </row>
    <row r="3410" spans="3:4" x14ac:dyDescent="0.25">
      <c r="C3410" s="1"/>
      <c r="D3410" s="2"/>
    </row>
    <row r="3411" spans="3:4" x14ac:dyDescent="0.25">
      <c r="C3411" s="1"/>
      <c r="D3411" s="2"/>
    </row>
    <row r="3412" spans="3:4" x14ac:dyDescent="0.25">
      <c r="C3412" s="1"/>
      <c r="D3412" s="2"/>
    </row>
    <row r="3413" spans="3:4" x14ac:dyDescent="0.25">
      <c r="C3413" s="1"/>
      <c r="D3413" s="2"/>
    </row>
    <row r="3414" spans="3:4" x14ac:dyDescent="0.25">
      <c r="C3414" s="1"/>
      <c r="D3414" s="2"/>
    </row>
    <row r="3415" spans="3:4" x14ac:dyDescent="0.25">
      <c r="C3415" s="1"/>
      <c r="D3415" s="2"/>
    </row>
    <row r="3416" spans="3:4" x14ac:dyDescent="0.25">
      <c r="C3416" s="1"/>
      <c r="D3416" s="2"/>
    </row>
    <row r="3417" spans="3:4" x14ac:dyDescent="0.25">
      <c r="C3417" s="1"/>
      <c r="D3417" s="2"/>
    </row>
    <row r="3418" spans="3:4" x14ac:dyDescent="0.25">
      <c r="C3418" s="1"/>
      <c r="D3418" s="2"/>
    </row>
    <row r="3419" spans="3:4" x14ac:dyDescent="0.25">
      <c r="C3419" s="1"/>
      <c r="D3419" s="2"/>
    </row>
    <row r="3420" spans="3:4" x14ac:dyDescent="0.25">
      <c r="C3420" s="1"/>
      <c r="D3420" s="2"/>
    </row>
    <row r="3421" spans="3:4" x14ac:dyDescent="0.25">
      <c r="C3421" s="1"/>
      <c r="D3421" s="2"/>
    </row>
    <row r="3422" spans="3:4" x14ac:dyDescent="0.25">
      <c r="C3422" s="1"/>
      <c r="D3422" s="2"/>
    </row>
    <row r="3423" spans="3:4" x14ac:dyDescent="0.25">
      <c r="C3423" s="1"/>
      <c r="D3423" s="2"/>
    </row>
    <row r="3424" spans="3:4" x14ac:dyDescent="0.25">
      <c r="C3424" s="1"/>
      <c r="D3424" s="2"/>
    </row>
    <row r="3425" spans="3:4" x14ac:dyDescent="0.25">
      <c r="C3425" s="1"/>
      <c r="D3425" s="2"/>
    </row>
    <row r="3426" spans="3:4" x14ac:dyDescent="0.25">
      <c r="C3426" s="1"/>
      <c r="D3426" s="2"/>
    </row>
    <row r="3427" spans="3:4" x14ac:dyDescent="0.25">
      <c r="C3427" s="1"/>
      <c r="D3427" s="2"/>
    </row>
    <row r="3428" spans="3:4" x14ac:dyDescent="0.25">
      <c r="C3428" s="1"/>
      <c r="D3428" s="2"/>
    </row>
    <row r="3429" spans="3:4" x14ac:dyDescent="0.25">
      <c r="C3429" s="1"/>
      <c r="D3429" s="2"/>
    </row>
    <row r="3430" spans="3:4" x14ac:dyDescent="0.25">
      <c r="C3430" s="1"/>
      <c r="D3430" s="2"/>
    </row>
    <row r="3431" spans="3:4" x14ac:dyDescent="0.25">
      <c r="C3431" s="1"/>
      <c r="D3431" s="2"/>
    </row>
    <row r="3432" spans="3:4" x14ac:dyDescent="0.25">
      <c r="C3432" s="1"/>
      <c r="D3432" s="2"/>
    </row>
    <row r="3433" spans="3:4" x14ac:dyDescent="0.25">
      <c r="C3433" s="1"/>
      <c r="D3433" s="2"/>
    </row>
    <row r="3434" spans="3:4" x14ac:dyDescent="0.25">
      <c r="C3434" s="1"/>
      <c r="D3434" s="2"/>
    </row>
    <row r="3435" spans="3:4" x14ac:dyDescent="0.25">
      <c r="C3435" s="1"/>
      <c r="D3435" s="2"/>
    </row>
    <row r="3436" spans="3:4" x14ac:dyDescent="0.25">
      <c r="C3436" s="1"/>
      <c r="D3436" s="2"/>
    </row>
    <row r="3437" spans="3:4" x14ac:dyDescent="0.25">
      <c r="C3437" s="1"/>
      <c r="D3437" s="2"/>
    </row>
    <row r="3438" spans="3:4" x14ac:dyDescent="0.25">
      <c r="C3438" s="1"/>
      <c r="D3438" s="2"/>
    </row>
    <row r="3439" spans="3:4" x14ac:dyDescent="0.25">
      <c r="C3439" s="1"/>
      <c r="D3439" s="2"/>
    </row>
    <row r="3440" spans="3:4" x14ac:dyDescent="0.25">
      <c r="C3440" s="1"/>
      <c r="D3440" s="2"/>
    </row>
    <row r="3441" spans="3:4" x14ac:dyDescent="0.25">
      <c r="C3441" s="1"/>
      <c r="D3441" s="2"/>
    </row>
    <row r="3442" spans="3:4" x14ac:dyDescent="0.25">
      <c r="C3442" s="1"/>
      <c r="D3442" s="2"/>
    </row>
    <row r="3443" spans="3:4" x14ac:dyDescent="0.25">
      <c r="C3443" s="1"/>
      <c r="D3443" s="2"/>
    </row>
    <row r="3444" spans="3:4" x14ac:dyDescent="0.25">
      <c r="C3444" s="1"/>
      <c r="D3444" s="2"/>
    </row>
    <row r="3445" spans="3:4" x14ac:dyDescent="0.25">
      <c r="C3445" s="1"/>
      <c r="D3445" s="2"/>
    </row>
    <row r="3446" spans="3:4" x14ac:dyDescent="0.25">
      <c r="C3446" s="1"/>
      <c r="D3446" s="2"/>
    </row>
    <row r="3447" spans="3:4" x14ac:dyDescent="0.25">
      <c r="C3447" s="1"/>
      <c r="D3447" s="2"/>
    </row>
    <row r="3448" spans="3:4" x14ac:dyDescent="0.25">
      <c r="C3448" s="1"/>
      <c r="D3448" s="2"/>
    </row>
    <row r="3449" spans="3:4" x14ac:dyDescent="0.25">
      <c r="C3449" s="1"/>
      <c r="D3449" s="2"/>
    </row>
    <row r="3450" spans="3:4" x14ac:dyDescent="0.25">
      <c r="C3450" s="1"/>
      <c r="D3450" s="2"/>
    </row>
    <row r="3451" spans="3:4" x14ac:dyDescent="0.25">
      <c r="C3451" s="1"/>
      <c r="D3451" s="2"/>
    </row>
    <row r="3452" spans="3:4" x14ac:dyDescent="0.25">
      <c r="C3452" s="1"/>
      <c r="D3452" s="2"/>
    </row>
    <row r="3453" spans="3:4" x14ac:dyDescent="0.25">
      <c r="C3453" s="1"/>
      <c r="D3453" s="2"/>
    </row>
    <row r="3454" spans="3:4" x14ac:dyDescent="0.25">
      <c r="C3454" s="1"/>
      <c r="D3454" s="2"/>
    </row>
    <row r="3455" spans="3:4" x14ac:dyDescent="0.25">
      <c r="C3455" s="1"/>
      <c r="D3455" s="2"/>
    </row>
    <row r="3456" spans="3:4" x14ac:dyDescent="0.25">
      <c r="C3456" s="1"/>
      <c r="D3456" s="2"/>
    </row>
    <row r="3457" spans="3:4" x14ac:dyDescent="0.25">
      <c r="C3457" s="1"/>
      <c r="D3457" s="2"/>
    </row>
    <row r="3458" spans="3:4" x14ac:dyDescent="0.25">
      <c r="C3458" s="1"/>
      <c r="D3458" s="2"/>
    </row>
    <row r="3459" spans="3:4" x14ac:dyDescent="0.25">
      <c r="C3459" s="1"/>
      <c r="D3459" s="2"/>
    </row>
    <row r="3460" spans="3:4" x14ac:dyDescent="0.25">
      <c r="C3460" s="1"/>
      <c r="D3460" s="2"/>
    </row>
    <row r="3461" spans="3:4" x14ac:dyDescent="0.25">
      <c r="C3461" s="1"/>
      <c r="D3461" s="2"/>
    </row>
    <row r="3462" spans="3:4" x14ac:dyDescent="0.25">
      <c r="C3462" s="1"/>
      <c r="D3462" s="2"/>
    </row>
    <row r="3463" spans="3:4" x14ac:dyDescent="0.25">
      <c r="C3463" s="1"/>
      <c r="D3463" s="2"/>
    </row>
    <row r="3464" spans="3:4" x14ac:dyDescent="0.25">
      <c r="C3464" s="1"/>
      <c r="D3464" s="2"/>
    </row>
    <row r="3465" spans="3:4" x14ac:dyDescent="0.25">
      <c r="C3465" s="1"/>
      <c r="D3465" s="2"/>
    </row>
    <row r="3466" spans="3:4" x14ac:dyDescent="0.25">
      <c r="C3466" s="1"/>
      <c r="D3466" s="2"/>
    </row>
    <row r="3467" spans="3:4" x14ac:dyDescent="0.25">
      <c r="C3467" s="1"/>
      <c r="D3467" s="2"/>
    </row>
    <row r="3468" spans="3:4" x14ac:dyDescent="0.25">
      <c r="C3468" s="1"/>
      <c r="D3468" s="2"/>
    </row>
    <row r="3469" spans="3:4" x14ac:dyDescent="0.25">
      <c r="C3469" s="1"/>
      <c r="D3469" s="2"/>
    </row>
    <row r="3470" spans="3:4" x14ac:dyDescent="0.25">
      <c r="C3470" s="1"/>
      <c r="D3470" s="2"/>
    </row>
    <row r="3471" spans="3:4" x14ac:dyDescent="0.25">
      <c r="C3471" s="1"/>
      <c r="D3471" s="2"/>
    </row>
    <row r="3472" spans="3:4" x14ac:dyDescent="0.25">
      <c r="C3472" s="1"/>
      <c r="D3472" s="2"/>
    </row>
    <row r="3473" spans="3:4" x14ac:dyDescent="0.25">
      <c r="C3473" s="1"/>
      <c r="D3473" s="2"/>
    </row>
    <row r="3474" spans="3:4" x14ac:dyDescent="0.25">
      <c r="C3474" s="1"/>
      <c r="D3474" s="2"/>
    </row>
    <row r="3475" spans="3:4" x14ac:dyDescent="0.25">
      <c r="C3475" s="1"/>
      <c r="D3475" s="2"/>
    </row>
    <row r="3476" spans="3:4" x14ac:dyDescent="0.25">
      <c r="C3476" s="1"/>
      <c r="D3476" s="2"/>
    </row>
    <row r="3477" spans="3:4" x14ac:dyDescent="0.25">
      <c r="C3477" s="1"/>
      <c r="D3477" s="2"/>
    </row>
    <row r="3478" spans="3:4" x14ac:dyDescent="0.25">
      <c r="C3478" s="1"/>
      <c r="D3478" s="2"/>
    </row>
    <row r="3479" spans="3:4" x14ac:dyDescent="0.25">
      <c r="C3479" s="1"/>
      <c r="D3479" s="2"/>
    </row>
    <row r="3480" spans="3:4" x14ac:dyDescent="0.25">
      <c r="C3480" s="1"/>
      <c r="D3480" s="2"/>
    </row>
    <row r="3481" spans="3:4" x14ac:dyDescent="0.25">
      <c r="C3481" s="1"/>
      <c r="D3481" s="2"/>
    </row>
    <row r="3482" spans="3:4" x14ac:dyDescent="0.25">
      <c r="C3482" s="1"/>
      <c r="D3482" s="2"/>
    </row>
    <row r="3483" spans="3:4" x14ac:dyDescent="0.25">
      <c r="C3483" s="1"/>
      <c r="D3483" s="2"/>
    </row>
    <row r="3484" spans="3:4" x14ac:dyDescent="0.25">
      <c r="C3484" s="1"/>
      <c r="D3484" s="2"/>
    </row>
    <row r="3485" spans="3:4" x14ac:dyDescent="0.25">
      <c r="C3485" s="1"/>
      <c r="D3485" s="2"/>
    </row>
    <row r="3486" spans="3:4" x14ac:dyDescent="0.25">
      <c r="C3486" s="1"/>
      <c r="D3486" s="2"/>
    </row>
    <row r="3487" spans="3:4" x14ac:dyDescent="0.25">
      <c r="C3487" s="1"/>
      <c r="D3487" s="2"/>
    </row>
    <row r="3488" spans="3:4" x14ac:dyDescent="0.25">
      <c r="C3488" s="1"/>
      <c r="D3488" s="2"/>
    </row>
    <row r="3489" spans="3:4" x14ac:dyDescent="0.25">
      <c r="C3489" s="1"/>
      <c r="D3489" s="2"/>
    </row>
    <row r="3490" spans="3:4" x14ac:dyDescent="0.25">
      <c r="C3490" s="1"/>
      <c r="D3490" s="2"/>
    </row>
    <row r="3491" spans="3:4" x14ac:dyDescent="0.25">
      <c r="C3491" s="1"/>
      <c r="D3491" s="2"/>
    </row>
    <row r="3492" spans="3:4" x14ac:dyDescent="0.25">
      <c r="C3492" s="1"/>
      <c r="D3492" s="2"/>
    </row>
    <row r="3493" spans="3:4" x14ac:dyDescent="0.25">
      <c r="C3493" s="1"/>
      <c r="D3493" s="2"/>
    </row>
    <row r="3494" spans="3:4" x14ac:dyDescent="0.25">
      <c r="C3494" s="1"/>
      <c r="D3494" s="2"/>
    </row>
    <row r="3495" spans="3:4" x14ac:dyDescent="0.25">
      <c r="C3495" s="1"/>
      <c r="D3495" s="2"/>
    </row>
    <row r="3496" spans="3:4" x14ac:dyDescent="0.25">
      <c r="C3496" s="1"/>
      <c r="D3496" s="2"/>
    </row>
    <row r="3497" spans="3:4" x14ac:dyDescent="0.25">
      <c r="C3497" s="1"/>
      <c r="D3497" s="2"/>
    </row>
    <row r="3498" spans="3:4" x14ac:dyDescent="0.25">
      <c r="C3498" s="1"/>
      <c r="D3498" s="2"/>
    </row>
    <row r="3499" spans="3:4" x14ac:dyDescent="0.25">
      <c r="C3499" s="1"/>
      <c r="D3499" s="2"/>
    </row>
    <row r="3500" spans="3:4" x14ac:dyDescent="0.25">
      <c r="C3500" s="1"/>
      <c r="D3500" s="2"/>
    </row>
    <row r="3501" spans="3:4" x14ac:dyDescent="0.25">
      <c r="C3501" s="1"/>
      <c r="D3501" s="2"/>
    </row>
    <row r="3502" spans="3:4" x14ac:dyDescent="0.25">
      <c r="C3502" s="1"/>
      <c r="D3502" s="2"/>
    </row>
    <row r="3503" spans="3:4" x14ac:dyDescent="0.25">
      <c r="C3503" s="1"/>
      <c r="D3503" s="2"/>
    </row>
    <row r="3504" spans="3:4" x14ac:dyDescent="0.25">
      <c r="C3504" s="1"/>
      <c r="D3504" s="2"/>
    </row>
    <row r="3505" spans="3:4" x14ac:dyDescent="0.25">
      <c r="C3505" s="1"/>
      <c r="D3505" s="2"/>
    </row>
    <row r="3506" spans="3:4" x14ac:dyDescent="0.25">
      <c r="C3506" s="1"/>
      <c r="D3506" s="2"/>
    </row>
    <row r="3507" spans="3:4" x14ac:dyDescent="0.25">
      <c r="C3507" s="1"/>
      <c r="D3507" s="2"/>
    </row>
    <row r="3508" spans="3:4" x14ac:dyDescent="0.25">
      <c r="C3508" s="1"/>
      <c r="D3508" s="2"/>
    </row>
    <row r="3509" spans="3:4" x14ac:dyDescent="0.25">
      <c r="C3509" s="1"/>
      <c r="D3509" s="2"/>
    </row>
    <row r="3510" spans="3:4" x14ac:dyDescent="0.25">
      <c r="C3510" s="1"/>
      <c r="D3510" s="2"/>
    </row>
    <row r="3511" spans="3:4" x14ac:dyDescent="0.25">
      <c r="C3511" s="1"/>
      <c r="D3511" s="2"/>
    </row>
    <row r="3512" spans="3:4" x14ac:dyDescent="0.25">
      <c r="C3512" s="1"/>
      <c r="D3512" s="2"/>
    </row>
    <row r="3513" spans="3:4" x14ac:dyDescent="0.25">
      <c r="C3513" s="1"/>
      <c r="D3513" s="2"/>
    </row>
    <row r="3514" spans="3:4" x14ac:dyDescent="0.25">
      <c r="C3514" s="1"/>
      <c r="D3514" s="2"/>
    </row>
    <row r="3515" spans="3:4" x14ac:dyDescent="0.25">
      <c r="C3515" s="1"/>
      <c r="D3515" s="2"/>
    </row>
    <row r="3516" spans="3:4" x14ac:dyDescent="0.25">
      <c r="C3516" s="1"/>
      <c r="D3516" s="2"/>
    </row>
    <row r="3517" spans="3:4" x14ac:dyDescent="0.25">
      <c r="C3517" s="1"/>
      <c r="D3517" s="2"/>
    </row>
    <row r="3518" spans="3:4" x14ac:dyDescent="0.25">
      <c r="C3518" s="1"/>
      <c r="D3518" s="2"/>
    </row>
    <row r="3519" spans="3:4" x14ac:dyDescent="0.25">
      <c r="C3519" s="1"/>
      <c r="D3519" s="2"/>
    </row>
    <row r="3520" spans="3:4" x14ac:dyDescent="0.25">
      <c r="C3520" s="1"/>
      <c r="D3520" s="2"/>
    </row>
    <row r="3521" spans="3:4" x14ac:dyDescent="0.25">
      <c r="C3521" s="1"/>
      <c r="D3521" s="2"/>
    </row>
    <row r="3522" spans="3:4" x14ac:dyDescent="0.25">
      <c r="C3522" s="1"/>
      <c r="D3522" s="2"/>
    </row>
    <row r="3523" spans="3:4" x14ac:dyDescent="0.25">
      <c r="C3523" s="1"/>
      <c r="D3523" s="2"/>
    </row>
    <row r="3524" spans="3:4" x14ac:dyDescent="0.25">
      <c r="C3524" s="1"/>
      <c r="D3524" s="2"/>
    </row>
    <row r="3525" spans="3:4" x14ac:dyDescent="0.25">
      <c r="C3525" s="1"/>
      <c r="D3525" s="2"/>
    </row>
    <row r="3526" spans="3:4" x14ac:dyDescent="0.25">
      <c r="C3526" s="1"/>
      <c r="D3526" s="2"/>
    </row>
    <row r="3527" spans="3:4" x14ac:dyDescent="0.25">
      <c r="C3527" s="1"/>
      <c r="D3527" s="2"/>
    </row>
    <row r="3528" spans="3:4" x14ac:dyDescent="0.25">
      <c r="C3528" s="1"/>
      <c r="D3528" s="2"/>
    </row>
    <row r="3529" spans="3:4" x14ac:dyDescent="0.25">
      <c r="C3529" s="1"/>
      <c r="D3529" s="2"/>
    </row>
    <row r="3530" spans="3:4" x14ac:dyDescent="0.25">
      <c r="C3530" s="1"/>
      <c r="D3530" s="2"/>
    </row>
    <row r="3531" spans="3:4" x14ac:dyDescent="0.25">
      <c r="C3531" s="1"/>
      <c r="D3531" s="2"/>
    </row>
    <row r="3532" spans="3:4" x14ac:dyDescent="0.25">
      <c r="C3532" s="1"/>
      <c r="D3532" s="2"/>
    </row>
    <row r="3533" spans="3:4" x14ac:dyDescent="0.25">
      <c r="C3533" s="1"/>
      <c r="D3533" s="2"/>
    </row>
    <row r="3534" spans="3:4" x14ac:dyDescent="0.25">
      <c r="C3534" s="1"/>
      <c r="D3534" s="2"/>
    </row>
    <row r="3535" spans="3:4" x14ac:dyDescent="0.25">
      <c r="C3535" s="1"/>
      <c r="D3535" s="2"/>
    </row>
    <row r="3536" spans="3:4" x14ac:dyDescent="0.25">
      <c r="C3536" s="1"/>
      <c r="D3536" s="2"/>
    </row>
    <row r="3537" spans="3:4" x14ac:dyDescent="0.25">
      <c r="C3537" s="1"/>
      <c r="D3537" s="2"/>
    </row>
    <row r="3538" spans="3:4" x14ac:dyDescent="0.25">
      <c r="C3538" s="1"/>
      <c r="D3538" s="2"/>
    </row>
    <row r="3539" spans="3:4" x14ac:dyDescent="0.25">
      <c r="C3539" s="1"/>
      <c r="D3539" s="2"/>
    </row>
    <row r="3540" spans="3:4" x14ac:dyDescent="0.25">
      <c r="C3540" s="1"/>
      <c r="D3540" s="2"/>
    </row>
    <row r="3541" spans="3:4" x14ac:dyDescent="0.25">
      <c r="C3541" s="1"/>
      <c r="D3541" s="2"/>
    </row>
    <row r="3542" spans="3:4" x14ac:dyDescent="0.25">
      <c r="C3542" s="1"/>
      <c r="D3542" s="2"/>
    </row>
    <row r="3543" spans="3:4" x14ac:dyDescent="0.25">
      <c r="C3543" s="1"/>
      <c r="D3543" s="2"/>
    </row>
    <row r="3544" spans="3:4" x14ac:dyDescent="0.25">
      <c r="C3544" s="1"/>
      <c r="D3544" s="2"/>
    </row>
    <row r="3545" spans="3:4" x14ac:dyDescent="0.25">
      <c r="C3545" s="1"/>
      <c r="D3545" s="2"/>
    </row>
    <row r="3546" spans="3:4" x14ac:dyDescent="0.25">
      <c r="C3546" s="1"/>
      <c r="D3546" s="2"/>
    </row>
    <row r="3547" spans="3:4" x14ac:dyDescent="0.25">
      <c r="C3547" s="1"/>
      <c r="D3547" s="2"/>
    </row>
    <row r="3548" spans="3:4" x14ac:dyDescent="0.25">
      <c r="C3548" s="1"/>
      <c r="D3548" s="2"/>
    </row>
    <row r="3549" spans="3:4" x14ac:dyDescent="0.25">
      <c r="C3549" s="1"/>
      <c r="D3549" s="2"/>
    </row>
    <row r="3550" spans="3:4" x14ac:dyDescent="0.25">
      <c r="C3550" s="1"/>
      <c r="D3550" s="2"/>
    </row>
    <row r="3551" spans="3:4" x14ac:dyDescent="0.25">
      <c r="C3551" s="1"/>
      <c r="D3551" s="2"/>
    </row>
    <row r="3552" spans="3:4" x14ac:dyDescent="0.25">
      <c r="C3552" s="1"/>
      <c r="D3552" s="2"/>
    </row>
    <row r="3553" spans="3:4" x14ac:dyDescent="0.25">
      <c r="C3553" s="1"/>
      <c r="D3553" s="2"/>
    </row>
    <row r="3554" spans="3:4" x14ac:dyDescent="0.25">
      <c r="C3554" s="1"/>
      <c r="D3554" s="2"/>
    </row>
    <row r="3555" spans="3:4" x14ac:dyDescent="0.25">
      <c r="C3555" s="1"/>
      <c r="D3555" s="2"/>
    </row>
    <row r="3556" spans="3:4" x14ac:dyDescent="0.25">
      <c r="C3556" s="1"/>
      <c r="D3556" s="2"/>
    </row>
    <row r="3557" spans="3:4" x14ac:dyDescent="0.25">
      <c r="C3557" s="1"/>
      <c r="D3557" s="2"/>
    </row>
    <row r="3558" spans="3:4" x14ac:dyDescent="0.25">
      <c r="C3558" s="1"/>
      <c r="D3558" s="2"/>
    </row>
    <row r="3559" spans="3:4" x14ac:dyDescent="0.25">
      <c r="C3559" s="1"/>
      <c r="D3559" s="2"/>
    </row>
    <row r="3560" spans="3:4" x14ac:dyDescent="0.25">
      <c r="C3560" s="1"/>
      <c r="D3560" s="2"/>
    </row>
    <row r="3561" spans="3:4" x14ac:dyDescent="0.25">
      <c r="C3561" s="1"/>
      <c r="D3561" s="2"/>
    </row>
    <row r="3562" spans="3:4" x14ac:dyDescent="0.25">
      <c r="C3562" s="1"/>
      <c r="D3562" s="2"/>
    </row>
    <row r="3563" spans="3:4" x14ac:dyDescent="0.25">
      <c r="C3563" s="1"/>
      <c r="D3563" s="2"/>
    </row>
    <row r="3564" spans="3:4" x14ac:dyDescent="0.25">
      <c r="C3564" s="1"/>
      <c r="D3564" s="2"/>
    </row>
    <row r="3565" spans="3:4" x14ac:dyDescent="0.25">
      <c r="C3565" s="1"/>
      <c r="D3565" s="2"/>
    </row>
    <row r="3566" spans="3:4" x14ac:dyDescent="0.25">
      <c r="C3566" s="1"/>
      <c r="D3566" s="2"/>
    </row>
    <row r="3567" spans="3:4" x14ac:dyDescent="0.25">
      <c r="C3567" s="1"/>
      <c r="D3567" s="2"/>
    </row>
    <row r="3568" spans="3:4" x14ac:dyDescent="0.25">
      <c r="C3568" s="1"/>
      <c r="D3568" s="2"/>
    </row>
    <row r="3569" spans="3:4" x14ac:dyDescent="0.25">
      <c r="C3569" s="1"/>
      <c r="D3569" s="2"/>
    </row>
    <row r="3570" spans="3:4" x14ac:dyDescent="0.25">
      <c r="C3570" s="1"/>
      <c r="D3570" s="2"/>
    </row>
    <row r="3571" spans="3:4" x14ac:dyDescent="0.25">
      <c r="C3571" s="1"/>
      <c r="D3571" s="2"/>
    </row>
    <row r="3572" spans="3:4" x14ac:dyDescent="0.25">
      <c r="C3572" s="1"/>
      <c r="D3572" s="2"/>
    </row>
    <row r="3573" spans="3:4" x14ac:dyDescent="0.25">
      <c r="C3573" s="1"/>
      <c r="D3573" s="2"/>
    </row>
    <row r="3574" spans="3:4" x14ac:dyDescent="0.25">
      <c r="C3574" s="1"/>
      <c r="D3574" s="2"/>
    </row>
    <row r="3575" spans="3:4" x14ac:dyDescent="0.25">
      <c r="C3575" s="1"/>
      <c r="D3575" s="2"/>
    </row>
    <row r="3576" spans="3:4" x14ac:dyDescent="0.25">
      <c r="C3576" s="1"/>
      <c r="D3576" s="2"/>
    </row>
    <row r="3577" spans="3:4" x14ac:dyDescent="0.25">
      <c r="C3577" s="1"/>
      <c r="D3577" s="2"/>
    </row>
    <row r="3578" spans="3:4" x14ac:dyDescent="0.25">
      <c r="C3578" s="1"/>
      <c r="D3578" s="2"/>
    </row>
    <row r="3579" spans="3:4" x14ac:dyDescent="0.25">
      <c r="C3579" s="1"/>
      <c r="D3579" s="2"/>
    </row>
    <row r="3580" spans="3:4" x14ac:dyDescent="0.25">
      <c r="C3580" s="1"/>
      <c r="D3580" s="2"/>
    </row>
    <row r="3581" spans="3:4" x14ac:dyDescent="0.25">
      <c r="C3581" s="1"/>
      <c r="D3581" s="2"/>
    </row>
    <row r="3582" spans="3:4" x14ac:dyDescent="0.25">
      <c r="C3582" s="1"/>
      <c r="D3582" s="2"/>
    </row>
    <row r="3583" spans="3:4" x14ac:dyDescent="0.25">
      <c r="C3583" s="1"/>
      <c r="D3583" s="2"/>
    </row>
    <row r="3584" spans="3:4" x14ac:dyDescent="0.25">
      <c r="C3584" s="1"/>
      <c r="D3584" s="2"/>
    </row>
    <row r="3585" spans="3:4" x14ac:dyDescent="0.25">
      <c r="C3585" s="1"/>
      <c r="D3585" s="2"/>
    </row>
    <row r="3586" spans="3:4" x14ac:dyDescent="0.25">
      <c r="C3586" s="1"/>
      <c r="D3586" s="2"/>
    </row>
    <row r="3587" spans="3:4" x14ac:dyDescent="0.25">
      <c r="C3587" s="1"/>
      <c r="D3587" s="2"/>
    </row>
    <row r="3588" spans="3:4" x14ac:dyDescent="0.25">
      <c r="C3588" s="1"/>
      <c r="D3588" s="2"/>
    </row>
    <row r="3589" spans="3:4" x14ac:dyDescent="0.25">
      <c r="C3589" s="1"/>
      <c r="D3589" s="2"/>
    </row>
    <row r="3590" spans="3:4" x14ac:dyDescent="0.25">
      <c r="C3590" s="1"/>
      <c r="D3590" s="2"/>
    </row>
    <row r="3591" spans="3:4" x14ac:dyDescent="0.25">
      <c r="C3591" s="1"/>
      <c r="D3591" s="2"/>
    </row>
    <row r="3592" spans="3:4" x14ac:dyDescent="0.25">
      <c r="C3592" s="1"/>
      <c r="D3592" s="2"/>
    </row>
    <row r="3593" spans="3:4" x14ac:dyDescent="0.25">
      <c r="C3593" s="1"/>
      <c r="D3593" s="2"/>
    </row>
    <row r="3594" spans="3:4" x14ac:dyDescent="0.25">
      <c r="C3594" s="1"/>
      <c r="D3594" s="2"/>
    </row>
    <row r="3595" spans="3:4" x14ac:dyDescent="0.25">
      <c r="C3595" s="1"/>
      <c r="D3595" s="2"/>
    </row>
    <row r="3596" spans="3:4" x14ac:dyDescent="0.25">
      <c r="C3596" s="1"/>
      <c r="D3596" s="2"/>
    </row>
    <row r="3597" spans="3:4" x14ac:dyDescent="0.25">
      <c r="C3597" s="1"/>
      <c r="D3597" s="2"/>
    </row>
    <row r="3598" spans="3:4" x14ac:dyDescent="0.25">
      <c r="C3598" s="1"/>
      <c r="D3598" s="2"/>
    </row>
    <row r="3599" spans="3:4" x14ac:dyDescent="0.25">
      <c r="C3599" s="1"/>
      <c r="D3599" s="2"/>
    </row>
    <row r="3600" spans="3:4" x14ac:dyDescent="0.25">
      <c r="C3600" s="1"/>
      <c r="D3600" s="2"/>
    </row>
    <row r="3601" spans="3:4" x14ac:dyDescent="0.25">
      <c r="C3601" s="1"/>
      <c r="D3601" s="2"/>
    </row>
    <row r="3602" spans="3:4" x14ac:dyDescent="0.25">
      <c r="C3602" s="1"/>
      <c r="D3602" s="2"/>
    </row>
    <row r="3603" spans="3:4" x14ac:dyDescent="0.25">
      <c r="C3603" s="1"/>
      <c r="D3603" s="2"/>
    </row>
    <row r="3604" spans="3:4" x14ac:dyDescent="0.25">
      <c r="C3604" s="1"/>
      <c r="D3604" s="2"/>
    </row>
    <row r="3605" spans="3:4" x14ac:dyDescent="0.25">
      <c r="C3605" s="1"/>
      <c r="D3605" s="2"/>
    </row>
    <row r="3606" spans="3:4" x14ac:dyDescent="0.25">
      <c r="C3606" s="1"/>
      <c r="D3606" s="2"/>
    </row>
    <row r="3607" spans="3:4" x14ac:dyDescent="0.25">
      <c r="C3607" s="1"/>
      <c r="D3607" s="2"/>
    </row>
    <row r="3608" spans="3:4" x14ac:dyDescent="0.25">
      <c r="C3608" s="1"/>
      <c r="D3608" s="2"/>
    </row>
    <row r="3609" spans="3:4" x14ac:dyDescent="0.25">
      <c r="C3609" s="1"/>
      <c r="D3609" s="2"/>
    </row>
    <row r="3610" spans="3:4" x14ac:dyDescent="0.25">
      <c r="C3610" s="1"/>
      <c r="D3610" s="2"/>
    </row>
    <row r="3611" spans="3:4" x14ac:dyDescent="0.25">
      <c r="C3611" s="1"/>
      <c r="D3611" s="2"/>
    </row>
    <row r="3612" spans="3:4" x14ac:dyDescent="0.25">
      <c r="C3612" s="1"/>
      <c r="D3612" s="2"/>
    </row>
    <row r="3613" spans="3:4" x14ac:dyDescent="0.25">
      <c r="C3613" s="1"/>
      <c r="D3613" s="2"/>
    </row>
    <row r="3614" spans="3:4" x14ac:dyDescent="0.25">
      <c r="C3614" s="1"/>
      <c r="D3614" s="2"/>
    </row>
    <row r="3615" spans="3:4" x14ac:dyDescent="0.25">
      <c r="C3615" s="1"/>
      <c r="D3615" s="2"/>
    </row>
    <row r="3616" spans="3:4" x14ac:dyDescent="0.25">
      <c r="C3616" s="1"/>
      <c r="D3616" s="2"/>
    </row>
    <row r="3617" spans="3:4" x14ac:dyDescent="0.25">
      <c r="C3617" s="1"/>
      <c r="D3617" s="2"/>
    </row>
    <row r="3618" spans="3:4" x14ac:dyDescent="0.25">
      <c r="C3618" s="1"/>
      <c r="D3618" s="2"/>
    </row>
    <row r="3619" spans="3:4" x14ac:dyDescent="0.25">
      <c r="C3619" s="1"/>
      <c r="D3619" s="2"/>
    </row>
    <row r="3620" spans="3:4" x14ac:dyDescent="0.25">
      <c r="C3620" s="1"/>
      <c r="D3620" s="2"/>
    </row>
    <row r="3621" spans="3:4" x14ac:dyDescent="0.25">
      <c r="C3621" s="1"/>
      <c r="D3621" s="2"/>
    </row>
    <row r="3622" spans="3:4" x14ac:dyDescent="0.25">
      <c r="C3622" s="1"/>
      <c r="D3622" s="2"/>
    </row>
    <row r="3623" spans="3:4" x14ac:dyDescent="0.25">
      <c r="C3623" s="1"/>
      <c r="D3623" s="2"/>
    </row>
    <row r="3624" spans="3:4" x14ac:dyDescent="0.25">
      <c r="C3624" s="1"/>
      <c r="D3624" s="2"/>
    </row>
    <row r="3625" spans="3:4" x14ac:dyDescent="0.25">
      <c r="C3625" s="1"/>
      <c r="D3625" s="2"/>
    </row>
    <row r="3626" spans="3:4" x14ac:dyDescent="0.25">
      <c r="C3626" s="1"/>
      <c r="D3626" s="2"/>
    </row>
    <row r="3627" spans="3:4" x14ac:dyDescent="0.25">
      <c r="C3627" s="1"/>
      <c r="D3627" s="2"/>
    </row>
    <row r="3628" spans="3:4" x14ac:dyDescent="0.25">
      <c r="C3628" s="1"/>
      <c r="D3628" s="2"/>
    </row>
    <row r="3629" spans="3:4" x14ac:dyDescent="0.25">
      <c r="C3629" s="1"/>
      <c r="D3629" s="2"/>
    </row>
    <row r="3630" spans="3:4" x14ac:dyDescent="0.25">
      <c r="C3630" s="1"/>
      <c r="D3630" s="2"/>
    </row>
    <row r="3631" spans="3:4" x14ac:dyDescent="0.25">
      <c r="C3631" s="1"/>
      <c r="D3631" s="2"/>
    </row>
    <row r="3632" spans="3:4" x14ac:dyDescent="0.25">
      <c r="C3632" s="1"/>
      <c r="D3632" s="2"/>
    </row>
    <row r="3633" spans="3:4" x14ac:dyDescent="0.25">
      <c r="C3633" s="1"/>
      <c r="D3633" s="2"/>
    </row>
    <row r="3634" spans="3:4" x14ac:dyDescent="0.25">
      <c r="C3634" s="1"/>
      <c r="D3634" s="2"/>
    </row>
    <row r="3635" spans="3:4" x14ac:dyDescent="0.25">
      <c r="C3635" s="1"/>
      <c r="D3635" s="2"/>
    </row>
    <row r="3636" spans="3:4" x14ac:dyDescent="0.25">
      <c r="C3636" s="1"/>
      <c r="D3636" s="2"/>
    </row>
    <row r="3637" spans="3:4" x14ac:dyDescent="0.25">
      <c r="C3637" s="1"/>
      <c r="D3637" s="2"/>
    </row>
    <row r="3638" spans="3:4" x14ac:dyDescent="0.25">
      <c r="C3638" s="1"/>
      <c r="D3638" s="2"/>
    </row>
    <row r="3639" spans="3:4" x14ac:dyDescent="0.25">
      <c r="C3639" s="1"/>
      <c r="D3639" s="2"/>
    </row>
    <row r="3640" spans="3:4" x14ac:dyDescent="0.25">
      <c r="C3640" s="1"/>
      <c r="D3640" s="2"/>
    </row>
    <row r="3641" spans="3:4" x14ac:dyDescent="0.25">
      <c r="C3641" s="1"/>
      <c r="D3641" s="2"/>
    </row>
    <row r="3642" spans="3:4" x14ac:dyDescent="0.25">
      <c r="C3642" s="1"/>
      <c r="D3642" s="2"/>
    </row>
    <row r="3643" spans="3:4" x14ac:dyDescent="0.25">
      <c r="C3643" s="1"/>
      <c r="D3643" s="2"/>
    </row>
    <row r="3644" spans="3:4" x14ac:dyDescent="0.25">
      <c r="C3644" s="1"/>
      <c r="D3644" s="2"/>
    </row>
    <row r="3645" spans="3:4" x14ac:dyDescent="0.25">
      <c r="C3645" s="1"/>
      <c r="D3645" s="2"/>
    </row>
    <row r="3646" spans="3:4" x14ac:dyDescent="0.25">
      <c r="C3646" s="1"/>
      <c r="D3646" s="2"/>
    </row>
    <row r="3647" spans="3:4" x14ac:dyDescent="0.25">
      <c r="C3647" s="1"/>
      <c r="D3647" s="2"/>
    </row>
    <row r="3648" spans="3:4" x14ac:dyDescent="0.25">
      <c r="C3648" s="1"/>
      <c r="D3648" s="2"/>
    </row>
    <row r="3649" spans="3:4" x14ac:dyDescent="0.25">
      <c r="C3649" s="1"/>
      <c r="D3649" s="2"/>
    </row>
    <row r="3650" spans="3:4" x14ac:dyDescent="0.25">
      <c r="C3650" s="1"/>
      <c r="D3650" s="2"/>
    </row>
    <row r="3651" spans="3:4" x14ac:dyDescent="0.25">
      <c r="C3651" s="1"/>
      <c r="D3651" s="2"/>
    </row>
    <row r="3652" spans="3:4" x14ac:dyDescent="0.25">
      <c r="C3652" s="1"/>
      <c r="D3652" s="2"/>
    </row>
    <row r="3653" spans="3:4" x14ac:dyDescent="0.25">
      <c r="C3653" s="1"/>
      <c r="D3653" s="2"/>
    </row>
    <row r="3654" spans="3:4" x14ac:dyDescent="0.25">
      <c r="C3654" s="1"/>
      <c r="D3654" s="2"/>
    </row>
    <row r="3655" spans="3:4" x14ac:dyDescent="0.25">
      <c r="C3655" s="1"/>
      <c r="D3655" s="2"/>
    </row>
    <row r="3656" spans="3:4" x14ac:dyDescent="0.25">
      <c r="C3656" s="1"/>
      <c r="D3656" s="2"/>
    </row>
    <row r="3657" spans="3:4" x14ac:dyDescent="0.25">
      <c r="C3657" s="1"/>
      <c r="D3657" s="2"/>
    </row>
    <row r="3658" spans="3:4" x14ac:dyDescent="0.25">
      <c r="C3658" s="1"/>
      <c r="D3658" s="2"/>
    </row>
    <row r="3659" spans="3:4" x14ac:dyDescent="0.25">
      <c r="C3659" s="1"/>
      <c r="D3659" s="2"/>
    </row>
    <row r="3660" spans="3:4" x14ac:dyDescent="0.25">
      <c r="C3660" s="1"/>
      <c r="D3660" s="2"/>
    </row>
    <row r="3661" spans="3:4" x14ac:dyDescent="0.25">
      <c r="C3661" s="1"/>
      <c r="D3661" s="2"/>
    </row>
    <row r="3662" spans="3:4" x14ac:dyDescent="0.25">
      <c r="C3662" s="1"/>
      <c r="D3662" s="2"/>
    </row>
    <row r="3663" spans="3:4" x14ac:dyDescent="0.25">
      <c r="C3663" s="1"/>
      <c r="D3663" s="2"/>
    </row>
    <row r="3664" spans="3:4" x14ac:dyDescent="0.25">
      <c r="C3664" s="1"/>
      <c r="D3664" s="2"/>
    </row>
    <row r="3665" spans="3:4" x14ac:dyDescent="0.25">
      <c r="C3665" s="1"/>
      <c r="D3665" s="2"/>
    </row>
    <row r="3666" spans="3:4" x14ac:dyDescent="0.25">
      <c r="C3666" s="1"/>
      <c r="D3666" s="2"/>
    </row>
    <row r="3667" spans="3:4" x14ac:dyDescent="0.25">
      <c r="C3667" s="1"/>
      <c r="D3667" s="2"/>
    </row>
    <row r="3668" spans="3:4" x14ac:dyDescent="0.25">
      <c r="C3668" s="1"/>
      <c r="D3668" s="2"/>
    </row>
    <row r="3669" spans="3:4" x14ac:dyDescent="0.25">
      <c r="C3669" s="1"/>
      <c r="D3669" s="2"/>
    </row>
    <row r="3670" spans="3:4" x14ac:dyDescent="0.25">
      <c r="C3670" s="1"/>
      <c r="D3670" s="2"/>
    </row>
    <row r="3671" spans="3:4" x14ac:dyDescent="0.25">
      <c r="C3671" s="1"/>
      <c r="D3671" s="2"/>
    </row>
    <row r="3672" spans="3:4" x14ac:dyDescent="0.25">
      <c r="C3672" s="1"/>
      <c r="D3672" s="2"/>
    </row>
    <row r="3673" spans="3:4" x14ac:dyDescent="0.25">
      <c r="C3673" s="1"/>
      <c r="D3673" s="2"/>
    </row>
    <row r="3674" spans="3:4" x14ac:dyDescent="0.25">
      <c r="C3674" s="1"/>
      <c r="D3674" s="2"/>
    </row>
    <row r="3675" spans="3:4" x14ac:dyDescent="0.25">
      <c r="C3675" s="1"/>
      <c r="D3675" s="2"/>
    </row>
    <row r="3676" spans="3:4" x14ac:dyDescent="0.25">
      <c r="C3676" s="1"/>
      <c r="D3676" s="2"/>
    </row>
    <row r="3677" spans="3:4" x14ac:dyDescent="0.25">
      <c r="C3677" s="1"/>
      <c r="D3677" s="2"/>
    </row>
    <row r="3678" spans="3:4" x14ac:dyDescent="0.25">
      <c r="C3678" s="1"/>
      <c r="D3678" s="2"/>
    </row>
    <row r="3679" spans="3:4" x14ac:dyDescent="0.25">
      <c r="C3679" s="1"/>
      <c r="D3679" s="2"/>
    </row>
    <row r="3680" spans="3:4" x14ac:dyDescent="0.25">
      <c r="C3680" s="1"/>
      <c r="D3680" s="2"/>
    </row>
    <row r="3681" spans="3:4" x14ac:dyDescent="0.25">
      <c r="C3681" s="1"/>
      <c r="D3681" s="2"/>
    </row>
    <row r="3682" spans="3:4" x14ac:dyDescent="0.25">
      <c r="C3682" s="1"/>
      <c r="D3682" s="2"/>
    </row>
    <row r="3683" spans="3:4" x14ac:dyDescent="0.25">
      <c r="C3683" s="1"/>
      <c r="D3683" s="2"/>
    </row>
    <row r="3684" spans="3:4" x14ac:dyDescent="0.25">
      <c r="C3684" s="1"/>
      <c r="D3684" s="2"/>
    </row>
    <row r="3685" spans="3:4" x14ac:dyDescent="0.25">
      <c r="C3685" s="1"/>
      <c r="D3685" s="2"/>
    </row>
    <row r="3686" spans="3:4" x14ac:dyDescent="0.25">
      <c r="C3686" s="1"/>
      <c r="D3686" s="2"/>
    </row>
    <row r="3687" spans="3:4" x14ac:dyDescent="0.25">
      <c r="C3687" s="1"/>
      <c r="D3687" s="2"/>
    </row>
    <row r="3688" spans="3:4" x14ac:dyDescent="0.25">
      <c r="C3688" s="1"/>
      <c r="D3688" s="2"/>
    </row>
    <row r="3689" spans="3:4" x14ac:dyDescent="0.25">
      <c r="C3689" s="1"/>
      <c r="D3689" s="2"/>
    </row>
    <row r="3690" spans="3:4" x14ac:dyDescent="0.25">
      <c r="C3690" s="1"/>
      <c r="D3690" s="2"/>
    </row>
    <row r="3691" spans="3:4" x14ac:dyDescent="0.25">
      <c r="C3691" s="1"/>
      <c r="D3691" s="2"/>
    </row>
    <row r="3692" spans="3:4" x14ac:dyDescent="0.25">
      <c r="C3692" s="1"/>
      <c r="D3692" s="2"/>
    </row>
    <row r="3693" spans="3:4" x14ac:dyDescent="0.25">
      <c r="C3693" s="1"/>
      <c r="D3693" s="2"/>
    </row>
    <row r="3694" spans="3:4" x14ac:dyDescent="0.25">
      <c r="C3694" s="1"/>
      <c r="D3694" s="2"/>
    </row>
    <row r="3695" spans="3:4" x14ac:dyDescent="0.25">
      <c r="C3695" s="1"/>
      <c r="D3695" s="2"/>
    </row>
    <row r="3696" spans="3:4" x14ac:dyDescent="0.25">
      <c r="C3696" s="1"/>
      <c r="D3696" s="2"/>
    </row>
    <row r="3697" spans="3:4" x14ac:dyDescent="0.25">
      <c r="C3697" s="1"/>
      <c r="D3697" s="2"/>
    </row>
    <row r="3698" spans="3:4" x14ac:dyDescent="0.25">
      <c r="C3698" s="1"/>
      <c r="D3698" s="2"/>
    </row>
    <row r="3699" spans="3:4" x14ac:dyDescent="0.25">
      <c r="C3699" s="1"/>
      <c r="D3699" s="2"/>
    </row>
    <row r="3700" spans="3:4" x14ac:dyDescent="0.25">
      <c r="C3700" s="1"/>
      <c r="D3700" s="2"/>
    </row>
    <row r="3701" spans="3:4" x14ac:dyDescent="0.25">
      <c r="C3701" s="1"/>
      <c r="D3701" s="2"/>
    </row>
    <row r="3702" spans="3:4" x14ac:dyDescent="0.25">
      <c r="C3702" s="1"/>
      <c r="D3702" s="2"/>
    </row>
    <row r="3703" spans="3:4" x14ac:dyDescent="0.25">
      <c r="C3703" s="1"/>
      <c r="D3703" s="2"/>
    </row>
    <row r="3704" spans="3:4" x14ac:dyDescent="0.25">
      <c r="C3704" s="1"/>
      <c r="D3704" s="2"/>
    </row>
    <row r="3705" spans="3:4" x14ac:dyDescent="0.25">
      <c r="C3705" s="1"/>
      <c r="D3705" s="2"/>
    </row>
    <row r="3706" spans="3:4" x14ac:dyDescent="0.25">
      <c r="C3706" s="1"/>
      <c r="D3706" s="2"/>
    </row>
    <row r="3707" spans="3:4" x14ac:dyDescent="0.25">
      <c r="C3707" s="1"/>
      <c r="D3707" s="2"/>
    </row>
    <row r="3708" spans="3:4" x14ac:dyDescent="0.25">
      <c r="C3708" s="1"/>
      <c r="D3708" s="2"/>
    </row>
    <row r="3709" spans="3:4" x14ac:dyDescent="0.25">
      <c r="C3709" s="1"/>
      <c r="D3709" s="2"/>
    </row>
    <row r="3710" spans="3:4" x14ac:dyDescent="0.25">
      <c r="C3710" s="1"/>
      <c r="D3710" s="2"/>
    </row>
    <row r="3711" spans="3:4" x14ac:dyDescent="0.25">
      <c r="C3711" s="1"/>
      <c r="D3711" s="2"/>
    </row>
    <row r="3712" spans="3:4" x14ac:dyDescent="0.25">
      <c r="C3712" s="1"/>
      <c r="D3712" s="2"/>
    </row>
    <row r="3713" spans="3:4" x14ac:dyDescent="0.25">
      <c r="C3713" s="1"/>
      <c r="D3713" s="2"/>
    </row>
    <row r="3714" spans="3:4" x14ac:dyDescent="0.25">
      <c r="C3714" s="1"/>
      <c r="D3714" s="2"/>
    </row>
    <row r="3715" spans="3:4" x14ac:dyDescent="0.25">
      <c r="C3715" s="1"/>
      <c r="D3715" s="2"/>
    </row>
    <row r="3716" spans="3:4" x14ac:dyDescent="0.25">
      <c r="C3716" s="1"/>
      <c r="D3716" s="2"/>
    </row>
    <row r="3717" spans="3:4" x14ac:dyDescent="0.25">
      <c r="C3717" s="1"/>
      <c r="D3717" s="2"/>
    </row>
    <row r="3718" spans="3:4" x14ac:dyDescent="0.25">
      <c r="C3718" s="1"/>
      <c r="D3718" s="2"/>
    </row>
    <row r="3719" spans="3:4" x14ac:dyDescent="0.25">
      <c r="C3719" s="1"/>
      <c r="D3719" s="2"/>
    </row>
    <row r="3720" spans="3:4" x14ac:dyDescent="0.25">
      <c r="C3720" s="1"/>
      <c r="D3720" s="2"/>
    </row>
    <row r="3721" spans="3:4" x14ac:dyDescent="0.25">
      <c r="C3721" s="1"/>
      <c r="D3721" s="2"/>
    </row>
    <row r="3722" spans="3:4" x14ac:dyDescent="0.25">
      <c r="C3722" s="1"/>
      <c r="D3722" s="2"/>
    </row>
    <row r="3723" spans="3:4" x14ac:dyDescent="0.25">
      <c r="C3723" s="1"/>
      <c r="D3723" s="2"/>
    </row>
    <row r="3724" spans="3:4" x14ac:dyDescent="0.25">
      <c r="C3724" s="1"/>
      <c r="D3724" s="2"/>
    </row>
    <row r="3725" spans="3:4" x14ac:dyDescent="0.25">
      <c r="C3725" s="1"/>
      <c r="D3725" s="2"/>
    </row>
    <row r="3726" spans="3:4" x14ac:dyDescent="0.25">
      <c r="C3726" s="1"/>
      <c r="D3726" s="2"/>
    </row>
    <row r="3727" spans="3:4" x14ac:dyDescent="0.25">
      <c r="C3727" s="1"/>
      <c r="D3727" s="2"/>
    </row>
    <row r="3728" spans="3:4" x14ac:dyDescent="0.25">
      <c r="C3728" s="1"/>
      <c r="D3728" s="2"/>
    </row>
    <row r="3729" spans="3:4" x14ac:dyDescent="0.25">
      <c r="C3729" s="1"/>
      <c r="D3729" s="2"/>
    </row>
    <row r="3730" spans="3:4" x14ac:dyDescent="0.25">
      <c r="C3730" s="1"/>
      <c r="D3730" s="2"/>
    </row>
    <row r="3731" spans="3:4" x14ac:dyDescent="0.25">
      <c r="C3731" s="1"/>
      <c r="D3731" s="2"/>
    </row>
    <row r="3732" spans="3:4" x14ac:dyDescent="0.25">
      <c r="C3732" s="1"/>
      <c r="D3732" s="2"/>
    </row>
    <row r="3733" spans="3:4" x14ac:dyDescent="0.25">
      <c r="C3733" s="1"/>
      <c r="D3733" s="2"/>
    </row>
    <row r="3734" spans="3:4" x14ac:dyDescent="0.25">
      <c r="C3734" s="1"/>
      <c r="D3734" s="2"/>
    </row>
    <row r="3735" spans="3:4" x14ac:dyDescent="0.25">
      <c r="C3735" s="1"/>
      <c r="D3735" s="2"/>
    </row>
    <row r="3736" spans="3:4" x14ac:dyDescent="0.25">
      <c r="C3736" s="1"/>
      <c r="D3736" s="2"/>
    </row>
    <row r="3737" spans="3:4" x14ac:dyDescent="0.25">
      <c r="C3737" s="1"/>
      <c r="D3737" s="2"/>
    </row>
    <row r="3738" spans="3:4" x14ac:dyDescent="0.25">
      <c r="C3738" s="1"/>
      <c r="D3738" s="2"/>
    </row>
    <row r="3739" spans="3:4" x14ac:dyDescent="0.25">
      <c r="C3739" s="1"/>
      <c r="D3739" s="2"/>
    </row>
    <row r="3740" spans="3:4" x14ac:dyDescent="0.25">
      <c r="C3740" s="1"/>
      <c r="D3740" s="2"/>
    </row>
    <row r="3741" spans="3:4" x14ac:dyDescent="0.25">
      <c r="C3741" s="1"/>
      <c r="D3741" s="2"/>
    </row>
    <row r="3742" spans="3:4" x14ac:dyDescent="0.25">
      <c r="C3742" s="1"/>
      <c r="D3742" s="2"/>
    </row>
    <row r="3743" spans="3:4" x14ac:dyDescent="0.25">
      <c r="C3743" s="1"/>
      <c r="D3743" s="2"/>
    </row>
    <row r="3744" spans="3:4" x14ac:dyDescent="0.25">
      <c r="C3744" s="1"/>
      <c r="D3744" s="2"/>
    </row>
    <row r="3745" spans="3:4" x14ac:dyDescent="0.25">
      <c r="C3745" s="1"/>
      <c r="D3745" s="2"/>
    </row>
    <row r="3746" spans="3:4" x14ac:dyDescent="0.25">
      <c r="C3746" s="1"/>
      <c r="D3746" s="2"/>
    </row>
    <row r="3747" spans="3:4" x14ac:dyDescent="0.25">
      <c r="C3747" s="1"/>
      <c r="D3747" s="2"/>
    </row>
    <row r="3748" spans="3:4" x14ac:dyDescent="0.25">
      <c r="C3748" s="1"/>
      <c r="D3748" s="2"/>
    </row>
    <row r="3749" spans="3:4" x14ac:dyDescent="0.25">
      <c r="C3749" s="1"/>
      <c r="D3749" s="2"/>
    </row>
    <row r="3750" spans="3:4" x14ac:dyDescent="0.25">
      <c r="C3750" s="1"/>
      <c r="D3750" s="2"/>
    </row>
    <row r="3751" spans="3:4" x14ac:dyDescent="0.25">
      <c r="C3751" s="1"/>
      <c r="D3751" s="2"/>
    </row>
    <row r="3752" spans="3:4" x14ac:dyDescent="0.25">
      <c r="C3752" s="1"/>
      <c r="D3752" s="2"/>
    </row>
    <row r="3753" spans="3:4" x14ac:dyDescent="0.25">
      <c r="C3753" s="1"/>
      <c r="D3753" s="2"/>
    </row>
    <row r="3754" spans="3:4" x14ac:dyDescent="0.25">
      <c r="C3754" s="1"/>
      <c r="D3754" s="2"/>
    </row>
    <row r="3755" spans="3:4" x14ac:dyDescent="0.25">
      <c r="C3755" s="1"/>
      <c r="D3755" s="2"/>
    </row>
    <row r="3756" spans="3:4" x14ac:dyDescent="0.25">
      <c r="C3756" s="1"/>
      <c r="D3756" s="2"/>
    </row>
    <row r="3757" spans="3:4" x14ac:dyDescent="0.25">
      <c r="C3757" s="1"/>
      <c r="D3757" s="2"/>
    </row>
    <row r="3758" spans="3:4" x14ac:dyDescent="0.25">
      <c r="C3758" s="1"/>
      <c r="D3758" s="2"/>
    </row>
    <row r="3759" spans="3:4" x14ac:dyDescent="0.25">
      <c r="C3759" s="1"/>
      <c r="D3759" s="2"/>
    </row>
    <row r="3760" spans="3:4" x14ac:dyDescent="0.25">
      <c r="C3760" s="1"/>
      <c r="D3760" s="2"/>
    </row>
    <row r="3761" spans="3:4" x14ac:dyDescent="0.25">
      <c r="C3761" s="1"/>
      <c r="D3761" s="2"/>
    </row>
    <row r="3762" spans="3:4" x14ac:dyDescent="0.25">
      <c r="C3762" s="1"/>
      <c r="D3762" s="2"/>
    </row>
    <row r="3763" spans="3:4" x14ac:dyDescent="0.25">
      <c r="C3763" s="1"/>
      <c r="D3763" s="2"/>
    </row>
    <row r="3764" spans="3:4" x14ac:dyDescent="0.25">
      <c r="C3764" s="1"/>
      <c r="D3764" s="2"/>
    </row>
    <row r="3765" spans="3:4" x14ac:dyDescent="0.25">
      <c r="C3765" s="1"/>
      <c r="D3765" s="2"/>
    </row>
    <row r="3766" spans="3:4" x14ac:dyDescent="0.25">
      <c r="C3766" s="1"/>
      <c r="D3766" s="2"/>
    </row>
    <row r="3767" spans="3:4" x14ac:dyDescent="0.25">
      <c r="C3767" s="1"/>
      <c r="D3767" s="2"/>
    </row>
    <row r="3768" spans="3:4" x14ac:dyDescent="0.25">
      <c r="C3768" s="1"/>
      <c r="D3768" s="2"/>
    </row>
    <row r="3769" spans="3:4" x14ac:dyDescent="0.25">
      <c r="C3769" s="1"/>
      <c r="D3769" s="2"/>
    </row>
    <row r="3770" spans="3:4" x14ac:dyDescent="0.25">
      <c r="C3770" s="1"/>
      <c r="D3770" s="2"/>
    </row>
    <row r="3771" spans="3:4" x14ac:dyDescent="0.25">
      <c r="C3771" s="1"/>
      <c r="D3771" s="2"/>
    </row>
    <row r="3772" spans="3:4" x14ac:dyDescent="0.25">
      <c r="C3772" s="1"/>
      <c r="D3772" s="2"/>
    </row>
    <row r="3773" spans="3:4" x14ac:dyDescent="0.25">
      <c r="C3773" s="1"/>
      <c r="D3773" s="2"/>
    </row>
    <row r="3774" spans="3:4" x14ac:dyDescent="0.25">
      <c r="C3774" s="1"/>
      <c r="D3774" s="2"/>
    </row>
    <row r="3775" spans="3:4" x14ac:dyDescent="0.25">
      <c r="C3775" s="1"/>
      <c r="D3775" s="2"/>
    </row>
    <row r="3776" spans="3:4" x14ac:dyDescent="0.25">
      <c r="C3776" s="1"/>
      <c r="D3776" s="2"/>
    </row>
    <row r="3777" spans="3:4" x14ac:dyDescent="0.25">
      <c r="C3777" s="1"/>
      <c r="D3777" s="2"/>
    </row>
    <row r="3778" spans="3:4" x14ac:dyDescent="0.25">
      <c r="C3778" s="1"/>
      <c r="D3778" s="2"/>
    </row>
    <row r="3779" spans="3:4" x14ac:dyDescent="0.25">
      <c r="C3779" s="1"/>
      <c r="D3779" s="2"/>
    </row>
    <row r="3780" spans="3:4" x14ac:dyDescent="0.25">
      <c r="C3780" s="1"/>
      <c r="D3780" s="2"/>
    </row>
    <row r="3781" spans="3:4" x14ac:dyDescent="0.25">
      <c r="C3781" s="1"/>
      <c r="D3781" s="2"/>
    </row>
    <row r="3782" spans="3:4" x14ac:dyDescent="0.25">
      <c r="C3782" s="1"/>
      <c r="D3782" s="2"/>
    </row>
    <row r="3783" spans="3:4" x14ac:dyDescent="0.25">
      <c r="C3783" s="1"/>
      <c r="D3783" s="2"/>
    </row>
    <row r="3784" spans="3:4" x14ac:dyDescent="0.25">
      <c r="C3784" s="1"/>
      <c r="D3784" s="2"/>
    </row>
    <row r="3785" spans="3:4" x14ac:dyDescent="0.25">
      <c r="C3785" s="1"/>
      <c r="D3785" s="2"/>
    </row>
    <row r="3786" spans="3:4" x14ac:dyDescent="0.25">
      <c r="C3786" s="1"/>
      <c r="D3786" s="2"/>
    </row>
    <row r="3787" spans="3:4" x14ac:dyDescent="0.25">
      <c r="C3787" s="1"/>
      <c r="D3787" s="2"/>
    </row>
    <row r="3788" spans="3:4" x14ac:dyDescent="0.25">
      <c r="C3788" s="1"/>
      <c r="D3788" s="2"/>
    </row>
    <row r="3789" spans="3:4" x14ac:dyDescent="0.25">
      <c r="C3789" s="1"/>
      <c r="D3789" s="2"/>
    </row>
    <row r="3790" spans="3:4" x14ac:dyDescent="0.25">
      <c r="C3790" s="1"/>
      <c r="D3790" s="2"/>
    </row>
    <row r="3791" spans="3:4" x14ac:dyDescent="0.25">
      <c r="C3791" s="1"/>
      <c r="D3791" s="2"/>
    </row>
    <row r="3792" spans="3:4" x14ac:dyDescent="0.25">
      <c r="C3792" s="1"/>
      <c r="D3792" s="2"/>
    </row>
    <row r="3793" spans="3:4" x14ac:dyDescent="0.25">
      <c r="C3793" s="1"/>
      <c r="D3793" s="2"/>
    </row>
    <row r="3794" spans="3:4" x14ac:dyDescent="0.25">
      <c r="C3794" s="1"/>
      <c r="D3794" s="2"/>
    </row>
    <row r="3795" spans="3:4" x14ac:dyDescent="0.25">
      <c r="C3795" s="1"/>
      <c r="D3795" s="2"/>
    </row>
    <row r="3796" spans="3:4" x14ac:dyDescent="0.25">
      <c r="C3796" s="1"/>
      <c r="D3796" s="2"/>
    </row>
    <row r="3797" spans="3:4" x14ac:dyDescent="0.25">
      <c r="C3797" s="1"/>
      <c r="D3797" s="2"/>
    </row>
    <row r="3798" spans="3:4" x14ac:dyDescent="0.25">
      <c r="C3798" s="1"/>
      <c r="D3798" s="2"/>
    </row>
    <row r="3799" spans="3:4" x14ac:dyDescent="0.25">
      <c r="C3799" s="1"/>
      <c r="D3799" s="2"/>
    </row>
    <row r="3800" spans="3:4" x14ac:dyDescent="0.25">
      <c r="C3800" s="1"/>
      <c r="D3800" s="2"/>
    </row>
    <row r="3801" spans="3:4" x14ac:dyDescent="0.25">
      <c r="C3801" s="1"/>
      <c r="D3801" s="2"/>
    </row>
    <row r="3802" spans="3:4" x14ac:dyDescent="0.25">
      <c r="C3802" s="1"/>
      <c r="D3802" s="2"/>
    </row>
    <row r="3803" spans="3:4" x14ac:dyDescent="0.25">
      <c r="C3803" s="1"/>
      <c r="D3803" s="2"/>
    </row>
    <row r="3804" spans="3:4" x14ac:dyDescent="0.25">
      <c r="C3804" s="1"/>
      <c r="D3804" s="2"/>
    </row>
    <row r="3805" spans="3:4" x14ac:dyDescent="0.25">
      <c r="C3805" s="1"/>
      <c r="D3805" s="2"/>
    </row>
    <row r="3806" spans="3:4" x14ac:dyDescent="0.25">
      <c r="C3806" s="1"/>
      <c r="D3806" s="2"/>
    </row>
    <row r="3807" spans="3:4" x14ac:dyDescent="0.25">
      <c r="C3807" s="1"/>
      <c r="D3807" s="2"/>
    </row>
    <row r="3808" spans="3:4" x14ac:dyDescent="0.25">
      <c r="C3808" s="1"/>
      <c r="D3808" s="2"/>
    </row>
    <row r="3809" spans="3:4" x14ac:dyDescent="0.25">
      <c r="C3809" s="1"/>
      <c r="D3809" s="2"/>
    </row>
    <row r="3810" spans="3:4" x14ac:dyDescent="0.25">
      <c r="C3810" s="1"/>
      <c r="D3810" s="2"/>
    </row>
    <row r="3811" spans="3:4" x14ac:dyDescent="0.25">
      <c r="C3811" s="1"/>
      <c r="D3811" s="2"/>
    </row>
    <row r="3812" spans="3:4" x14ac:dyDescent="0.25">
      <c r="C3812" s="1"/>
      <c r="D3812" s="2"/>
    </row>
    <row r="3813" spans="3:4" x14ac:dyDescent="0.25">
      <c r="C3813" s="1"/>
      <c r="D3813" s="2"/>
    </row>
    <row r="3814" spans="3:4" x14ac:dyDescent="0.25">
      <c r="C3814" s="1"/>
      <c r="D3814" s="2"/>
    </row>
    <row r="3815" spans="3:4" x14ac:dyDescent="0.25">
      <c r="C3815" s="1"/>
      <c r="D3815" s="2"/>
    </row>
    <row r="3816" spans="3:4" x14ac:dyDescent="0.25">
      <c r="C3816" s="1"/>
      <c r="D3816" s="2"/>
    </row>
    <row r="3817" spans="3:4" x14ac:dyDescent="0.25">
      <c r="C3817" s="1"/>
      <c r="D3817" s="2"/>
    </row>
    <row r="3818" spans="3:4" x14ac:dyDescent="0.25">
      <c r="C3818" s="1"/>
      <c r="D3818" s="2"/>
    </row>
    <row r="3819" spans="3:4" x14ac:dyDescent="0.25">
      <c r="C3819" s="1"/>
      <c r="D3819" s="2"/>
    </row>
    <row r="3820" spans="3:4" x14ac:dyDescent="0.25">
      <c r="C3820" s="1"/>
      <c r="D3820" s="2"/>
    </row>
    <row r="3821" spans="3:4" x14ac:dyDescent="0.25">
      <c r="C3821" s="1"/>
      <c r="D3821" s="2"/>
    </row>
    <row r="3822" spans="3:4" x14ac:dyDescent="0.25">
      <c r="C3822" s="1"/>
      <c r="D3822" s="2"/>
    </row>
    <row r="3823" spans="3:4" x14ac:dyDescent="0.25">
      <c r="C3823" s="1"/>
      <c r="D3823" s="2"/>
    </row>
    <row r="3824" spans="3:4" x14ac:dyDescent="0.25">
      <c r="C3824" s="1"/>
      <c r="D3824" s="2"/>
    </row>
    <row r="3825" spans="3:4" x14ac:dyDescent="0.25">
      <c r="C3825" s="1"/>
      <c r="D3825" s="2"/>
    </row>
    <row r="3826" spans="3:4" x14ac:dyDescent="0.25">
      <c r="C3826" s="1"/>
      <c r="D3826" s="2"/>
    </row>
    <row r="3827" spans="3:4" x14ac:dyDescent="0.25">
      <c r="C3827" s="1"/>
      <c r="D3827" s="2"/>
    </row>
    <row r="3828" spans="3:4" x14ac:dyDescent="0.25">
      <c r="C3828" s="1"/>
      <c r="D3828" s="2"/>
    </row>
    <row r="3829" spans="3:4" x14ac:dyDescent="0.25">
      <c r="C3829" s="1"/>
      <c r="D3829" s="2"/>
    </row>
    <row r="3830" spans="3:4" x14ac:dyDescent="0.25">
      <c r="C3830" s="1"/>
      <c r="D3830" s="2"/>
    </row>
    <row r="3831" spans="3:4" x14ac:dyDescent="0.25">
      <c r="C3831" s="1"/>
      <c r="D3831" s="2"/>
    </row>
    <row r="3832" spans="3:4" x14ac:dyDescent="0.25">
      <c r="C3832" s="1"/>
      <c r="D3832" s="2"/>
    </row>
    <row r="3833" spans="3:4" x14ac:dyDescent="0.25">
      <c r="C3833" s="1"/>
      <c r="D3833" s="2"/>
    </row>
    <row r="3834" spans="3:4" x14ac:dyDescent="0.25">
      <c r="C3834" s="1"/>
      <c r="D3834" s="2"/>
    </row>
    <row r="3835" spans="3:4" x14ac:dyDescent="0.25">
      <c r="C3835" s="1"/>
      <c r="D3835" s="2"/>
    </row>
    <row r="3836" spans="3:4" x14ac:dyDescent="0.25">
      <c r="C3836" s="1"/>
      <c r="D3836" s="2"/>
    </row>
    <row r="3837" spans="3:4" x14ac:dyDescent="0.25">
      <c r="C3837" s="1"/>
      <c r="D3837" s="2"/>
    </row>
    <row r="3838" spans="3:4" x14ac:dyDescent="0.25">
      <c r="C3838" s="1"/>
      <c r="D3838" s="2"/>
    </row>
    <row r="3839" spans="3:4" x14ac:dyDescent="0.25">
      <c r="C3839" s="1"/>
      <c r="D3839" s="2"/>
    </row>
    <row r="3840" spans="3:4" x14ac:dyDescent="0.25">
      <c r="C3840" s="1"/>
      <c r="D3840" s="2"/>
    </row>
    <row r="3841" spans="3:4" x14ac:dyDescent="0.25">
      <c r="C3841" s="1"/>
      <c r="D3841" s="2"/>
    </row>
    <row r="3842" spans="3:4" x14ac:dyDescent="0.25">
      <c r="C3842" s="1"/>
      <c r="D3842" s="2"/>
    </row>
    <row r="3843" spans="3:4" x14ac:dyDescent="0.25">
      <c r="C3843" s="1"/>
      <c r="D3843" s="2"/>
    </row>
    <row r="3844" spans="3:4" x14ac:dyDescent="0.25">
      <c r="C3844" s="1"/>
      <c r="D3844" s="2"/>
    </row>
    <row r="3845" spans="3:4" x14ac:dyDescent="0.25">
      <c r="C3845" s="1"/>
      <c r="D3845" s="2"/>
    </row>
    <row r="3846" spans="3:4" x14ac:dyDescent="0.25">
      <c r="C3846" s="1"/>
      <c r="D3846" s="2"/>
    </row>
    <row r="3847" spans="3:4" x14ac:dyDescent="0.25">
      <c r="C3847" s="1"/>
      <c r="D3847" s="2"/>
    </row>
    <row r="3848" spans="3:4" x14ac:dyDescent="0.25">
      <c r="C3848" s="1"/>
      <c r="D3848" s="2"/>
    </row>
    <row r="3849" spans="3:4" x14ac:dyDescent="0.25">
      <c r="C3849" s="1"/>
      <c r="D3849" s="2"/>
    </row>
    <row r="3850" spans="3:4" x14ac:dyDescent="0.25">
      <c r="C3850" s="1"/>
      <c r="D3850" s="2"/>
    </row>
    <row r="3851" spans="3:4" x14ac:dyDescent="0.25">
      <c r="C3851" s="1"/>
      <c r="D3851" s="2"/>
    </row>
    <row r="3852" spans="3:4" x14ac:dyDescent="0.25">
      <c r="C3852" s="1"/>
      <c r="D3852" s="2"/>
    </row>
    <row r="3853" spans="3:4" x14ac:dyDescent="0.25">
      <c r="C3853" s="1"/>
      <c r="D3853" s="2"/>
    </row>
    <row r="3854" spans="3:4" x14ac:dyDescent="0.25">
      <c r="C3854" s="1"/>
      <c r="D3854" s="2"/>
    </row>
    <row r="3855" spans="3:4" x14ac:dyDescent="0.25">
      <c r="C3855" s="1"/>
      <c r="D3855" s="2"/>
    </row>
    <row r="3856" spans="3:4" x14ac:dyDescent="0.25">
      <c r="C3856" s="1"/>
      <c r="D3856" s="2"/>
    </row>
    <row r="3857" spans="3:4" x14ac:dyDescent="0.25">
      <c r="C3857" s="1"/>
      <c r="D3857" s="2"/>
    </row>
    <row r="3858" spans="3:4" x14ac:dyDescent="0.25">
      <c r="C3858" s="1"/>
      <c r="D3858" s="2"/>
    </row>
    <row r="3859" spans="3:4" x14ac:dyDescent="0.25">
      <c r="C3859" s="1"/>
      <c r="D3859" s="2"/>
    </row>
    <row r="3860" spans="3:4" x14ac:dyDescent="0.25">
      <c r="C3860" s="1"/>
      <c r="D3860" s="2"/>
    </row>
    <row r="3861" spans="3:4" x14ac:dyDescent="0.25">
      <c r="C3861" s="1"/>
      <c r="D3861" s="2"/>
    </row>
    <row r="3862" spans="3:4" x14ac:dyDescent="0.25">
      <c r="C3862" s="1"/>
      <c r="D3862" s="2"/>
    </row>
    <row r="3863" spans="3:4" x14ac:dyDescent="0.25">
      <c r="C3863" s="1"/>
      <c r="D3863" s="2"/>
    </row>
    <row r="3864" spans="3:4" x14ac:dyDescent="0.25">
      <c r="C3864" s="1"/>
      <c r="D3864" s="2"/>
    </row>
    <row r="3865" spans="3:4" x14ac:dyDescent="0.25">
      <c r="C3865" s="1"/>
      <c r="D3865" s="2"/>
    </row>
    <row r="3866" spans="3:4" x14ac:dyDescent="0.25">
      <c r="C3866" s="1"/>
      <c r="D3866" s="2"/>
    </row>
    <row r="3867" spans="3:4" x14ac:dyDescent="0.25">
      <c r="C3867" s="1"/>
      <c r="D3867" s="2"/>
    </row>
    <row r="3868" spans="3:4" x14ac:dyDescent="0.25">
      <c r="C3868" s="1"/>
      <c r="D3868" s="2"/>
    </row>
    <row r="3869" spans="3:4" x14ac:dyDescent="0.25">
      <c r="C3869" s="1"/>
      <c r="D3869" s="2"/>
    </row>
    <row r="3870" spans="3:4" x14ac:dyDescent="0.25">
      <c r="C3870" s="1"/>
      <c r="D3870" s="2"/>
    </row>
    <row r="3871" spans="3:4" x14ac:dyDescent="0.25">
      <c r="C3871" s="1"/>
      <c r="D3871" s="2"/>
    </row>
    <row r="3872" spans="3:4" x14ac:dyDescent="0.25">
      <c r="C3872" s="1"/>
      <c r="D3872" s="2"/>
    </row>
    <row r="3873" spans="3:4" x14ac:dyDescent="0.25">
      <c r="C3873" s="1"/>
      <c r="D3873" s="2"/>
    </row>
    <row r="3874" spans="3:4" x14ac:dyDescent="0.25">
      <c r="C3874" s="1"/>
      <c r="D3874" s="2"/>
    </row>
    <row r="3875" spans="3:4" x14ac:dyDescent="0.25">
      <c r="C3875" s="1"/>
      <c r="D3875" s="2"/>
    </row>
    <row r="3876" spans="3:4" x14ac:dyDescent="0.25">
      <c r="C3876" s="1"/>
      <c r="D3876" s="2"/>
    </row>
    <row r="3877" spans="3:4" x14ac:dyDescent="0.25">
      <c r="C3877" s="1"/>
      <c r="D3877" s="2"/>
    </row>
    <row r="3878" spans="3:4" x14ac:dyDescent="0.25">
      <c r="C3878" s="1"/>
      <c r="D3878" s="2"/>
    </row>
    <row r="3879" spans="3:4" x14ac:dyDescent="0.25">
      <c r="C3879" s="1"/>
      <c r="D3879" s="2"/>
    </row>
    <row r="3880" spans="3:4" x14ac:dyDescent="0.25">
      <c r="C3880" s="1"/>
      <c r="D3880" s="2"/>
    </row>
    <row r="3881" spans="3:4" x14ac:dyDescent="0.25">
      <c r="C3881" s="1"/>
      <c r="D3881" s="2"/>
    </row>
    <row r="3882" spans="3:4" x14ac:dyDescent="0.25">
      <c r="C3882" s="1"/>
      <c r="D3882" s="2"/>
    </row>
    <row r="3883" spans="3:4" x14ac:dyDescent="0.25">
      <c r="C3883" s="1"/>
      <c r="D3883" s="2"/>
    </row>
    <row r="3884" spans="3:4" x14ac:dyDescent="0.25">
      <c r="C3884" s="1"/>
      <c r="D3884" s="2"/>
    </row>
    <row r="3885" spans="3:4" x14ac:dyDescent="0.25">
      <c r="C3885" s="1"/>
      <c r="D3885" s="2"/>
    </row>
    <row r="3886" spans="3:4" x14ac:dyDescent="0.25">
      <c r="C3886" s="1"/>
      <c r="D3886" s="2"/>
    </row>
    <row r="3887" spans="3:4" x14ac:dyDescent="0.25">
      <c r="C3887" s="1"/>
      <c r="D3887" s="2"/>
    </row>
    <row r="3888" spans="3:4" x14ac:dyDescent="0.25">
      <c r="C3888" s="1"/>
      <c r="D3888" s="2"/>
    </row>
    <row r="3889" spans="3:4" x14ac:dyDescent="0.25">
      <c r="C3889" s="1"/>
      <c r="D3889" s="2"/>
    </row>
    <row r="3890" spans="3:4" x14ac:dyDescent="0.25">
      <c r="C3890" s="1"/>
      <c r="D3890" s="2"/>
    </row>
    <row r="3891" spans="3:4" x14ac:dyDescent="0.25">
      <c r="C3891" s="1"/>
      <c r="D3891" s="2"/>
    </row>
    <row r="3892" spans="3:4" x14ac:dyDescent="0.25">
      <c r="C3892" s="1"/>
      <c r="D3892" s="2"/>
    </row>
    <row r="3893" spans="3:4" x14ac:dyDescent="0.25">
      <c r="C3893" s="1"/>
      <c r="D3893" s="2"/>
    </row>
    <row r="3894" spans="3:4" x14ac:dyDescent="0.25">
      <c r="C3894" s="1"/>
      <c r="D3894" s="2"/>
    </row>
    <row r="3895" spans="3:4" x14ac:dyDescent="0.25">
      <c r="C3895" s="1"/>
      <c r="D3895" s="2"/>
    </row>
    <row r="3896" spans="3:4" x14ac:dyDescent="0.25">
      <c r="C3896" s="1"/>
      <c r="D3896" s="2"/>
    </row>
    <row r="3897" spans="3:4" x14ac:dyDescent="0.25">
      <c r="C3897" s="1"/>
      <c r="D3897" s="2"/>
    </row>
    <row r="3898" spans="3:4" x14ac:dyDescent="0.25">
      <c r="C3898" s="1"/>
      <c r="D3898" s="2"/>
    </row>
    <row r="3899" spans="3:4" x14ac:dyDescent="0.25">
      <c r="C3899" s="1"/>
      <c r="D3899" s="2"/>
    </row>
    <row r="3900" spans="3:4" x14ac:dyDescent="0.25">
      <c r="C3900" s="1"/>
      <c r="D3900" s="2"/>
    </row>
    <row r="3901" spans="3:4" x14ac:dyDescent="0.25">
      <c r="C3901" s="1"/>
      <c r="D3901" s="2"/>
    </row>
    <row r="3902" spans="3:4" x14ac:dyDescent="0.25">
      <c r="C3902" s="1"/>
      <c r="D3902" s="2"/>
    </row>
    <row r="3903" spans="3:4" x14ac:dyDescent="0.25">
      <c r="C3903" s="1"/>
      <c r="D3903" s="2"/>
    </row>
    <row r="3904" spans="3:4" x14ac:dyDescent="0.25">
      <c r="C3904" s="1"/>
      <c r="D3904" s="2"/>
    </row>
    <row r="3905" spans="3:4" x14ac:dyDescent="0.25">
      <c r="C3905" s="1"/>
      <c r="D3905" s="2"/>
    </row>
    <row r="3906" spans="3:4" x14ac:dyDescent="0.25">
      <c r="C3906" s="1"/>
      <c r="D3906" s="2"/>
    </row>
    <row r="3907" spans="3:4" x14ac:dyDescent="0.25">
      <c r="C3907" s="1"/>
      <c r="D3907" s="2"/>
    </row>
    <row r="3908" spans="3:4" x14ac:dyDescent="0.25">
      <c r="C3908" s="1"/>
      <c r="D3908" s="2"/>
    </row>
    <row r="3909" spans="3:4" x14ac:dyDescent="0.25">
      <c r="C3909" s="1"/>
      <c r="D3909" s="2"/>
    </row>
    <row r="3910" spans="3:4" x14ac:dyDescent="0.25">
      <c r="C3910" s="1"/>
      <c r="D3910" s="2"/>
    </row>
    <row r="3911" spans="3:4" x14ac:dyDescent="0.25">
      <c r="C3911" s="1"/>
      <c r="D3911" s="2"/>
    </row>
    <row r="3912" spans="3:4" x14ac:dyDescent="0.25">
      <c r="C3912" s="1"/>
      <c r="D3912" s="2"/>
    </row>
    <row r="3913" spans="3:4" x14ac:dyDescent="0.25">
      <c r="C3913" s="1"/>
      <c r="D3913" s="2"/>
    </row>
    <row r="3914" spans="3:4" x14ac:dyDescent="0.25">
      <c r="C3914" s="1"/>
      <c r="D3914" s="2"/>
    </row>
    <row r="3915" spans="3:4" x14ac:dyDescent="0.25">
      <c r="C3915" s="1"/>
      <c r="D3915" s="2"/>
    </row>
    <row r="3916" spans="3:4" x14ac:dyDescent="0.25">
      <c r="C3916" s="1"/>
      <c r="D3916" s="2"/>
    </row>
    <row r="3917" spans="3:4" x14ac:dyDescent="0.25">
      <c r="C3917" s="1"/>
      <c r="D3917" s="2"/>
    </row>
    <row r="3918" spans="3:4" x14ac:dyDescent="0.25">
      <c r="C3918" s="1"/>
      <c r="D3918" s="2"/>
    </row>
    <row r="3919" spans="3:4" x14ac:dyDescent="0.25">
      <c r="C3919" s="1"/>
      <c r="D3919" s="2"/>
    </row>
    <row r="3920" spans="3:4" x14ac:dyDescent="0.25">
      <c r="C3920" s="1"/>
      <c r="D3920" s="2"/>
    </row>
    <row r="3921" spans="3:4" x14ac:dyDescent="0.25">
      <c r="C3921" s="1"/>
      <c r="D3921" s="2"/>
    </row>
    <row r="3922" spans="3:4" x14ac:dyDescent="0.25">
      <c r="C3922" s="1"/>
      <c r="D3922" s="2"/>
    </row>
    <row r="3923" spans="3:4" x14ac:dyDescent="0.25">
      <c r="C3923" s="1"/>
      <c r="D3923" s="2"/>
    </row>
    <row r="3924" spans="3:4" x14ac:dyDescent="0.25">
      <c r="C3924" s="1"/>
      <c r="D3924" s="2"/>
    </row>
    <row r="3925" spans="3:4" x14ac:dyDescent="0.25">
      <c r="C3925" s="1"/>
      <c r="D3925" s="2"/>
    </row>
    <row r="3926" spans="3:4" x14ac:dyDescent="0.25">
      <c r="C3926" s="1"/>
      <c r="D3926" s="2"/>
    </row>
    <row r="3927" spans="3:4" x14ac:dyDescent="0.25">
      <c r="C3927" s="1"/>
      <c r="D3927" s="2"/>
    </row>
    <row r="3928" spans="3:4" x14ac:dyDescent="0.25">
      <c r="C3928" s="1"/>
      <c r="D3928" s="2"/>
    </row>
    <row r="3929" spans="3:4" x14ac:dyDescent="0.25">
      <c r="C3929" s="1"/>
      <c r="D3929" s="2"/>
    </row>
    <row r="3930" spans="3:4" x14ac:dyDescent="0.25">
      <c r="C3930" s="1"/>
      <c r="D3930" s="2"/>
    </row>
    <row r="3931" spans="3:4" x14ac:dyDescent="0.25">
      <c r="C3931" s="1"/>
      <c r="D3931" s="2"/>
    </row>
    <row r="3932" spans="3:4" x14ac:dyDescent="0.25">
      <c r="C3932" s="1"/>
      <c r="D3932" s="2"/>
    </row>
    <row r="3933" spans="3:4" x14ac:dyDescent="0.25">
      <c r="C3933" s="1"/>
      <c r="D3933" s="2"/>
    </row>
    <row r="3934" spans="3:4" x14ac:dyDescent="0.25">
      <c r="C3934" s="1"/>
      <c r="D3934" s="2"/>
    </row>
    <row r="3935" spans="3:4" x14ac:dyDescent="0.25">
      <c r="C3935" s="1"/>
      <c r="D3935" s="2"/>
    </row>
    <row r="3936" spans="3:4" x14ac:dyDescent="0.25">
      <c r="C3936" s="1"/>
      <c r="D3936" s="2"/>
    </row>
    <row r="3937" spans="3:4" x14ac:dyDescent="0.25">
      <c r="C3937" s="1"/>
      <c r="D3937" s="2"/>
    </row>
    <row r="3938" spans="3:4" x14ac:dyDescent="0.25">
      <c r="C3938" s="1"/>
      <c r="D3938" s="2"/>
    </row>
    <row r="3939" spans="3:4" x14ac:dyDescent="0.25">
      <c r="C3939" s="1"/>
      <c r="D3939" s="2"/>
    </row>
    <row r="3940" spans="3:4" x14ac:dyDescent="0.25">
      <c r="C3940" s="1"/>
      <c r="D3940" s="2"/>
    </row>
    <row r="3941" spans="3:4" x14ac:dyDescent="0.25">
      <c r="C3941" s="1"/>
      <c r="D3941" s="2"/>
    </row>
    <row r="3942" spans="3:4" x14ac:dyDescent="0.25">
      <c r="C3942" s="1"/>
      <c r="D3942" s="2"/>
    </row>
    <row r="3943" spans="3:4" x14ac:dyDescent="0.25">
      <c r="C3943" s="1"/>
      <c r="D3943" s="2"/>
    </row>
    <row r="3944" spans="3:4" x14ac:dyDescent="0.25">
      <c r="C3944" s="1"/>
      <c r="D3944" s="2"/>
    </row>
    <row r="3945" spans="3:4" x14ac:dyDescent="0.25">
      <c r="C3945" s="1"/>
      <c r="D3945" s="2"/>
    </row>
    <row r="3946" spans="3:4" x14ac:dyDescent="0.25">
      <c r="C3946" s="1"/>
      <c r="D3946" s="2"/>
    </row>
    <row r="3947" spans="3:4" x14ac:dyDescent="0.25">
      <c r="C3947" s="1"/>
      <c r="D3947" s="2"/>
    </row>
    <row r="3948" spans="3:4" x14ac:dyDescent="0.25">
      <c r="C3948" s="1"/>
      <c r="D3948" s="2"/>
    </row>
    <row r="3949" spans="3:4" x14ac:dyDescent="0.25">
      <c r="C3949" s="1"/>
      <c r="D3949" s="2"/>
    </row>
    <row r="3950" spans="3:4" x14ac:dyDescent="0.25">
      <c r="C3950" s="1"/>
      <c r="D3950" s="2"/>
    </row>
    <row r="3951" spans="3:4" x14ac:dyDescent="0.25">
      <c r="C3951" s="1"/>
      <c r="D3951" s="2"/>
    </row>
    <row r="3952" spans="3:4" x14ac:dyDescent="0.25">
      <c r="C3952" s="1"/>
      <c r="D3952" s="2"/>
    </row>
    <row r="3953" spans="3:4" x14ac:dyDescent="0.25">
      <c r="C3953" s="1"/>
      <c r="D3953" s="2"/>
    </row>
    <row r="3954" spans="3:4" x14ac:dyDescent="0.25">
      <c r="C3954" s="1"/>
      <c r="D3954" s="2"/>
    </row>
    <row r="3955" spans="3:4" x14ac:dyDescent="0.25">
      <c r="C3955" s="1"/>
      <c r="D3955" s="2"/>
    </row>
    <row r="3956" spans="3:4" x14ac:dyDescent="0.25">
      <c r="C3956" s="1"/>
      <c r="D3956" s="2"/>
    </row>
    <row r="3957" spans="3:4" x14ac:dyDescent="0.25">
      <c r="C3957" s="1"/>
      <c r="D3957" s="2"/>
    </row>
    <row r="3958" spans="3:4" x14ac:dyDescent="0.25">
      <c r="C3958" s="1"/>
      <c r="D3958" s="2"/>
    </row>
    <row r="3959" spans="3:4" x14ac:dyDescent="0.25">
      <c r="C3959" s="1"/>
      <c r="D3959" s="2"/>
    </row>
    <row r="3960" spans="3:4" x14ac:dyDescent="0.25">
      <c r="C3960" s="1"/>
      <c r="D3960" s="2"/>
    </row>
    <row r="3961" spans="3:4" x14ac:dyDescent="0.25">
      <c r="C3961" s="1"/>
      <c r="D3961" s="2"/>
    </row>
    <row r="3962" spans="3:4" x14ac:dyDescent="0.25">
      <c r="C3962" s="1"/>
      <c r="D3962" s="2"/>
    </row>
    <row r="3963" spans="3:4" x14ac:dyDescent="0.25">
      <c r="C3963" s="1"/>
      <c r="D3963" s="2"/>
    </row>
    <row r="3964" spans="3:4" x14ac:dyDescent="0.25">
      <c r="C3964" s="1"/>
      <c r="D3964" s="2"/>
    </row>
    <row r="3965" spans="3:4" x14ac:dyDescent="0.25">
      <c r="C3965" s="1"/>
      <c r="D3965" s="2"/>
    </row>
    <row r="3966" spans="3:4" x14ac:dyDescent="0.25">
      <c r="C3966" s="1"/>
      <c r="D3966" s="2"/>
    </row>
    <row r="3967" spans="3:4" x14ac:dyDescent="0.25">
      <c r="C3967" s="1"/>
      <c r="D3967" s="2"/>
    </row>
    <row r="3968" spans="3:4" x14ac:dyDescent="0.25">
      <c r="C3968" s="1"/>
      <c r="D3968" s="2"/>
    </row>
    <row r="3969" spans="3:4" x14ac:dyDescent="0.25">
      <c r="C3969" s="1"/>
      <c r="D3969" s="2"/>
    </row>
    <row r="3970" spans="3:4" x14ac:dyDescent="0.25">
      <c r="C3970" s="1"/>
      <c r="D3970" s="2"/>
    </row>
    <row r="3971" spans="3:4" x14ac:dyDescent="0.25">
      <c r="C3971" s="1"/>
      <c r="D3971" s="2"/>
    </row>
    <row r="3972" spans="3:4" x14ac:dyDescent="0.25">
      <c r="C3972" s="1"/>
      <c r="D3972" s="2"/>
    </row>
    <row r="3973" spans="3:4" x14ac:dyDescent="0.25">
      <c r="C3973" s="1"/>
      <c r="D3973" s="2"/>
    </row>
    <row r="3974" spans="3:4" x14ac:dyDescent="0.25">
      <c r="C3974" s="1"/>
      <c r="D3974" s="2"/>
    </row>
    <row r="3975" spans="3:4" x14ac:dyDescent="0.25">
      <c r="C3975" s="1"/>
      <c r="D3975" s="2"/>
    </row>
    <row r="3976" spans="3:4" x14ac:dyDescent="0.25">
      <c r="C3976" s="1"/>
      <c r="D3976" s="2"/>
    </row>
    <row r="3977" spans="3:4" x14ac:dyDescent="0.25">
      <c r="C3977" s="1"/>
      <c r="D3977" s="2"/>
    </row>
    <row r="3978" spans="3:4" x14ac:dyDescent="0.25">
      <c r="C3978" s="1"/>
      <c r="D3978" s="2"/>
    </row>
    <row r="3979" spans="3:4" x14ac:dyDescent="0.25">
      <c r="C3979" s="1"/>
      <c r="D3979" s="2"/>
    </row>
    <row r="3980" spans="3:4" x14ac:dyDescent="0.25">
      <c r="C3980" s="1"/>
      <c r="D3980" s="2"/>
    </row>
    <row r="3981" spans="3:4" x14ac:dyDescent="0.25">
      <c r="C3981" s="1"/>
      <c r="D3981" s="2"/>
    </row>
    <row r="3982" spans="3:4" x14ac:dyDescent="0.25">
      <c r="C3982" s="1"/>
      <c r="D3982" s="2"/>
    </row>
    <row r="3983" spans="3:4" x14ac:dyDescent="0.25">
      <c r="C3983" s="1"/>
      <c r="D3983" s="2"/>
    </row>
    <row r="3984" spans="3:4" x14ac:dyDescent="0.25">
      <c r="C3984" s="1"/>
      <c r="D3984" s="2"/>
    </row>
    <row r="3985" spans="3:4" x14ac:dyDescent="0.25">
      <c r="C3985" s="1"/>
      <c r="D3985" s="2"/>
    </row>
    <row r="3986" spans="3:4" x14ac:dyDescent="0.25">
      <c r="C3986" s="1"/>
      <c r="D3986" s="2"/>
    </row>
    <row r="3987" spans="3:4" x14ac:dyDescent="0.25">
      <c r="C3987" s="1"/>
      <c r="D3987" s="2"/>
    </row>
    <row r="3988" spans="3:4" x14ac:dyDescent="0.25">
      <c r="C3988" s="1"/>
      <c r="D3988" s="2"/>
    </row>
    <row r="3989" spans="3:4" x14ac:dyDescent="0.25">
      <c r="C3989" s="1"/>
      <c r="D3989" s="2"/>
    </row>
    <row r="3990" spans="3:4" x14ac:dyDescent="0.25">
      <c r="C3990" s="1"/>
      <c r="D3990" s="2"/>
    </row>
    <row r="3991" spans="3:4" x14ac:dyDescent="0.25">
      <c r="C3991" s="1"/>
      <c r="D3991" s="2"/>
    </row>
    <row r="3992" spans="3:4" x14ac:dyDescent="0.25">
      <c r="C3992" s="1"/>
      <c r="D3992" s="2"/>
    </row>
    <row r="3993" spans="3:4" x14ac:dyDescent="0.25">
      <c r="C3993" s="1"/>
      <c r="D3993" s="2"/>
    </row>
    <row r="3994" spans="3:4" x14ac:dyDescent="0.25">
      <c r="C3994" s="1"/>
      <c r="D3994" s="2"/>
    </row>
    <row r="3995" spans="3:4" x14ac:dyDescent="0.25">
      <c r="C3995" s="1"/>
      <c r="D3995" s="2"/>
    </row>
    <row r="3996" spans="3:4" x14ac:dyDescent="0.25">
      <c r="C3996" s="1"/>
      <c r="D3996" s="2"/>
    </row>
    <row r="3997" spans="3:4" x14ac:dyDescent="0.25">
      <c r="C3997" s="1"/>
      <c r="D3997" s="2"/>
    </row>
    <row r="3998" spans="3:4" x14ac:dyDescent="0.25">
      <c r="C3998" s="1"/>
      <c r="D3998" s="2"/>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TitlePage</vt:lpstr>
      <vt:lpstr>Shift Tracker</vt:lpstr>
      <vt:lpstr>Pay Summary</vt:lpstr>
      <vt:lpstr>Reference</vt:lpstr>
      <vt:lpstr>Dates Reference</vt:lpstr>
      <vt:lpstr>current_date</vt:lpstr>
      <vt:lpstr>Shift_Tracker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Kubisewsky</dc:creator>
  <cp:lastModifiedBy>Michael Kubisewsky</cp:lastModifiedBy>
  <dcterms:created xsi:type="dcterms:W3CDTF">2023-02-01T12:23:49Z</dcterms:created>
  <dcterms:modified xsi:type="dcterms:W3CDTF">2025-12-24T14:17:43Z</dcterms:modified>
</cp:coreProperties>
</file>